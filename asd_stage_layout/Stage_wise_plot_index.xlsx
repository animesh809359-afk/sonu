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ll_plot_dates" sheetId="2" state="visible" r:id="rId4"/>
    <sheet name="Vegetative" sheetId="3" state="visible" r:id="rId5"/>
    <sheet name="Flowering" sheetId="4" state="visible" r:id="rId6"/>
    <sheet name="Pod_formation" sheetId="5" state="visible" r:id="rId7"/>
    <sheet name="Summary" sheetId="6" state="visible" r:id="rId8"/>
  </sheets>
  <definedNames>
    <definedName function="false" hidden="true" localSheetId="1" name="_xlnm._FilterDatabase" vbProcedure="false">All_plot_dates!$A$1:$N$193</definedName>
    <definedName function="false" hidden="true" localSheetId="3" name="_xlnm._FilterDatabase" vbProcedure="false">Flowering!$A$1:$P$89</definedName>
    <definedName function="false" hidden="true" localSheetId="4" name="_xlnm._FilterDatabase" vbProcedure="false">Pod_formation!$A$1:$P$41</definedName>
    <definedName function="false" hidden="true" localSheetId="2" name="_xlnm._FilterDatabase" vbProcedure="false">Vegetative!$A$1:$P$65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<sst xmlns="http://schemas.openxmlformats.org/spreadsheetml/2006/main" count="3560" uniqueCount="310">
  <si>
    <t xml:space="preserve">STAGE-WISE PLOT INDEX - WHITE RUST ASD LEAF SPECTRA, IARI 2025-26</t>
  </si>
  <si>
    <t xml:space="preserve">Every plot-date (48 plots x 4 dates = 192) with its growth stage, treatment and the range of ASD files it holds.</t>
  </si>
  <si>
    <t xml:space="preserve">Source: asd__data_complete_labelled_110226 / 240226 / 030326 / 130326.xlsx and treatment_detail.xlsx (user files).</t>
  </si>
  <si>
    <t xml:space="preserve">Stage, variety and healthy/diseased labels in the ASD files were checked against the layout and stage table: all 192 agree.</t>
  </si>
  <si>
    <t xml:space="preserve">13/03: plots 13, 34, 38, 41, 42 held each of their 15 spectra twice; spectrum counts here exclude the copies.</t>
  </si>
  <si>
    <t xml:space="preserve">TO FILL IN (yellow, blue text): 'Plot DI (%)' on each stage sheet. 'DI class' then follows the conventional PDI bands: 0 Healthy, 0.1-5 Very low, 5.1-10 Low, 10.1-25 Moderate, 25.1-50 High, &gt;50 Very high (Shrivastava et al. 2023).</t>
  </si>
  <si>
    <t xml:space="preserve">Sheets: All_plot_dates; one sheet per stage (the training set of each stage model); Summary (counts by formula).</t>
  </si>
  <si>
    <t xml:space="preserve">Growth stage</t>
  </si>
  <si>
    <t xml:space="preserve">Assessment date</t>
  </si>
  <si>
    <t xml:space="preserve">DAI</t>
  </si>
  <si>
    <t xml:space="preserve">DAS</t>
  </si>
  <si>
    <t xml:space="preserve">Plot</t>
  </si>
  <si>
    <t xml:space="preserve">Treatment</t>
  </si>
  <si>
    <t xml:space="preserve">Sowing</t>
  </si>
  <si>
    <t xml:space="preserve">Variety</t>
  </si>
  <si>
    <t xml:space="preserve">Replication</t>
  </si>
  <si>
    <t xml:space="preserve">Healthy/Diseased</t>
  </si>
  <si>
    <t xml:space="preserve">Unique spectra</t>
  </si>
  <si>
    <t xml:space="preserve">First spectrum file</t>
  </si>
  <si>
    <t xml:space="preserve">Last spectrum file</t>
  </si>
  <si>
    <t xml:space="preserve">Note</t>
  </si>
  <si>
    <t xml:space="preserve">Vegetative</t>
  </si>
  <si>
    <t xml:space="preserve">11/02/2026</t>
  </si>
  <si>
    <t xml:space="preserve">D4V2</t>
  </si>
  <si>
    <t xml:space="preserve">D4</t>
  </si>
  <si>
    <t xml:space="preserve">V2</t>
  </si>
  <si>
    <t xml:space="preserve">Control</t>
  </si>
  <si>
    <t xml:space="preserve">Healthy</t>
  </si>
  <si>
    <t xml:space="preserve">Mustard00001.asd.sco</t>
  </si>
  <si>
    <t xml:space="preserve">Mustard00003.asd.sco</t>
  </si>
  <si>
    <t xml:space="preserve">D2V2</t>
  </si>
  <si>
    <t xml:space="preserve">D2</t>
  </si>
  <si>
    <t xml:space="preserve">Mustard00004.asd.sco</t>
  </si>
  <si>
    <t xml:space="preserve">Mustard00009.asd.sco</t>
  </si>
  <si>
    <t xml:space="preserve">D1V3</t>
  </si>
  <si>
    <t xml:space="preserve">D1</t>
  </si>
  <si>
    <t xml:space="preserve">V3</t>
  </si>
  <si>
    <t xml:space="preserve">Mustard00010.asd.sco</t>
  </si>
  <si>
    <t xml:space="preserve">Mustard00018.asd.sco</t>
  </si>
  <si>
    <t xml:space="preserve">D3V1</t>
  </si>
  <si>
    <t xml:space="preserve">D3</t>
  </si>
  <si>
    <t xml:space="preserve">V1</t>
  </si>
  <si>
    <t xml:space="preserve">Mustard00019.asd.sco</t>
  </si>
  <si>
    <t xml:space="preserve">Mustard00024.asd.sco</t>
  </si>
  <si>
    <t xml:space="preserve">D1V2</t>
  </si>
  <si>
    <t xml:space="preserve">Mustard00025.asd.sco</t>
  </si>
  <si>
    <t xml:space="preserve">Mustard00033.asd.sco</t>
  </si>
  <si>
    <t xml:space="preserve">D4V3</t>
  </si>
  <si>
    <t xml:space="preserve">Mustard00034.asd.sco</t>
  </si>
  <si>
    <t xml:space="preserve">Mustard00036.asd.sco</t>
  </si>
  <si>
    <t xml:space="preserve">D2V3</t>
  </si>
  <si>
    <t xml:space="preserve">Mustard00046.asd.sco</t>
  </si>
  <si>
    <t xml:space="preserve">Mustard00051.asd.sco</t>
  </si>
  <si>
    <t xml:space="preserve">D2V1</t>
  </si>
  <si>
    <t xml:space="preserve">Mustard00052.asd.sco</t>
  </si>
  <si>
    <t xml:space="preserve">Mustard00057.asd.sco</t>
  </si>
  <si>
    <t xml:space="preserve">D3V3</t>
  </si>
  <si>
    <t xml:space="preserve">Mustard00058.asd.sco</t>
  </si>
  <si>
    <t xml:space="preserve">Mustard00063.asd.sco</t>
  </si>
  <si>
    <t xml:space="preserve">D3V2</t>
  </si>
  <si>
    <t xml:space="preserve">Mustard00064.asd.sco</t>
  </si>
  <si>
    <t xml:space="preserve">Mustard00069.asd.sco</t>
  </si>
  <si>
    <t xml:space="preserve">D4V1</t>
  </si>
  <si>
    <t xml:space="preserve">Mustard00070.asd.sco</t>
  </si>
  <si>
    <t xml:space="preserve">Mustard00072.asd.sco</t>
  </si>
  <si>
    <t xml:space="preserve">R3</t>
  </si>
  <si>
    <t xml:space="preserve">Diseased</t>
  </si>
  <si>
    <t xml:space="preserve">Mustard00073.asd.sco</t>
  </si>
  <si>
    <t xml:space="preserve">Mustard00087.asd.sco</t>
  </si>
  <si>
    <t xml:space="preserve">Mustard00088.asd.sco</t>
  </si>
  <si>
    <t xml:space="preserve">Mustard00092.asd.sco</t>
  </si>
  <si>
    <t xml:space="preserve">Mustard00093.asd.sco</t>
  </si>
  <si>
    <t xml:space="preserve">Mustard00102.asd.sco</t>
  </si>
  <si>
    <t xml:space="preserve">Mustard00103.asd.sco</t>
  </si>
  <si>
    <t xml:space="preserve">Mustard00112.asd.sco</t>
  </si>
  <si>
    <t xml:space="preserve">Mustard00113.asd.sco</t>
  </si>
  <si>
    <t xml:space="preserve">Mustard00122.asd.sco</t>
  </si>
  <si>
    <t xml:space="preserve">Mustard00123.asd.sco</t>
  </si>
  <si>
    <t xml:space="preserve">Mustard00127.asd.sco</t>
  </si>
  <si>
    <t xml:space="preserve">Mustard00128.asd.sco</t>
  </si>
  <si>
    <t xml:space="preserve">Mustard00137.asd.sco</t>
  </si>
  <si>
    <t xml:space="preserve">Mustard00138.asd.sco</t>
  </si>
  <si>
    <t xml:space="preserve">Mustard00142.asd.sco</t>
  </si>
  <si>
    <t xml:space="preserve">Mustard00143.asd.sco</t>
  </si>
  <si>
    <t xml:space="preserve">Mustard00152.asd.sco</t>
  </si>
  <si>
    <t xml:space="preserve">Mustard00153.asd.sco</t>
  </si>
  <si>
    <t xml:space="preserve">Mustard00162.asd.sco</t>
  </si>
  <si>
    <t xml:space="preserve">Mustard00163.asd.sco</t>
  </si>
  <si>
    <t xml:space="preserve">Mustard00177.asd.sco</t>
  </si>
  <si>
    <t xml:space="preserve">R2</t>
  </si>
  <si>
    <t xml:space="preserve">Mustard00193.asd.sco</t>
  </si>
  <si>
    <t xml:space="preserve">Mustard00207.asd.sco</t>
  </si>
  <si>
    <t xml:space="preserve">Mustard00208.asd.sco</t>
  </si>
  <si>
    <t xml:space="preserve">Mustard00212.asd.sco</t>
  </si>
  <si>
    <t xml:space="preserve">Mustard00213.asd.sco</t>
  </si>
  <si>
    <t xml:space="preserve">Mustard00218.asd.sco</t>
  </si>
  <si>
    <t xml:space="preserve">Mustard00219.asd.sco</t>
  </si>
  <si>
    <t xml:space="preserve">Mustard00223.asd.sco</t>
  </si>
  <si>
    <t xml:space="preserve">Mustard00224.asd.sco</t>
  </si>
  <si>
    <t xml:space="preserve">Mustard00233.asd.sco</t>
  </si>
  <si>
    <t xml:space="preserve">Mustard00234.asd.sco</t>
  </si>
  <si>
    <t xml:space="preserve">Mustard00248.asd.sco</t>
  </si>
  <si>
    <t xml:space="preserve">Mustard00249.asd.sco</t>
  </si>
  <si>
    <t xml:space="preserve">Mustard00258.asd.sco</t>
  </si>
  <si>
    <t xml:space="preserve">Mustard00259.asd.sco</t>
  </si>
  <si>
    <t xml:space="preserve">Mustard00268.asd.sco</t>
  </si>
  <si>
    <t xml:space="preserve">Mustard00269.asd.sco</t>
  </si>
  <si>
    <t xml:space="preserve">Mustard00273.asd.sco</t>
  </si>
  <si>
    <t xml:space="preserve">Mustard00289.asd.sco</t>
  </si>
  <si>
    <t xml:space="preserve">Mustard00298.asd.sco</t>
  </si>
  <si>
    <t xml:space="preserve">Mustard00299.asd.sco</t>
  </si>
  <si>
    <t xml:space="preserve">Mustard00308.asd.sco</t>
  </si>
  <si>
    <t xml:space="preserve">R1</t>
  </si>
  <si>
    <t xml:space="preserve">Mustard00309.asd.sco</t>
  </si>
  <si>
    <t xml:space="preserve">Mustard00318.asd.sco</t>
  </si>
  <si>
    <t xml:space="preserve">Mustard00319.asd.sco</t>
  </si>
  <si>
    <t xml:space="preserve">Mustard00333.asd.sco</t>
  </si>
  <si>
    <t xml:space="preserve">Mustard00334.asd.sco</t>
  </si>
  <si>
    <t xml:space="preserve">Mustard00343.asd.sco</t>
  </si>
  <si>
    <t xml:space="preserve">Mustard00344.asd.sco</t>
  </si>
  <si>
    <t xml:space="preserve">Mustard00353.asd.sco</t>
  </si>
  <si>
    <t xml:space="preserve">Mustard00369.asd.sco</t>
  </si>
  <si>
    <t xml:space="preserve">Mustard00383.asd.sco</t>
  </si>
  <si>
    <t xml:space="preserve">Mustard00384.asd.sco</t>
  </si>
  <si>
    <t xml:space="preserve">Mustard00393.asd.sco</t>
  </si>
  <si>
    <t xml:space="preserve">Mustard00394.asd.sco</t>
  </si>
  <si>
    <t xml:space="preserve">Mustard00403.asd.sco</t>
  </si>
  <si>
    <t xml:space="preserve">Mustard00404.asd.sco</t>
  </si>
  <si>
    <t xml:space="preserve">Mustard00408.asd.sco</t>
  </si>
  <si>
    <t xml:space="preserve">Mustard00409.asd.sco</t>
  </si>
  <si>
    <t xml:space="preserve">Mustard00413.asd.sco</t>
  </si>
  <si>
    <t xml:space="preserve">Mustard00414.asd.sco</t>
  </si>
  <si>
    <t xml:space="preserve">Mustard00418.asd.sco</t>
  </si>
  <si>
    <t xml:space="preserve">Mustard00419.asd.sco</t>
  </si>
  <si>
    <t xml:space="preserve">Mustard00428.asd.sco</t>
  </si>
  <si>
    <t xml:space="preserve">24/02/2026</t>
  </si>
  <si>
    <t xml:space="preserve">Mustard00006.asd.sco</t>
  </si>
  <si>
    <t xml:space="preserve">Mustard00040.asd.sco</t>
  </si>
  <si>
    <t xml:space="preserve">Mustard00045.asd.sco</t>
  </si>
  <si>
    <t xml:space="preserve">Mustard00078.asd.sco</t>
  </si>
  <si>
    <t xml:space="preserve">Mustard00079.asd.sco</t>
  </si>
  <si>
    <t xml:space="preserve">Mustard00084.asd.sco</t>
  </si>
  <si>
    <t xml:space="preserve">Mustard00085.asd.sco</t>
  </si>
  <si>
    <t xml:space="preserve">Mustard00090.asd.sco</t>
  </si>
  <si>
    <t xml:space="preserve">Mustard00106.asd.sco</t>
  </si>
  <si>
    <t xml:space="preserve">Mustard00115.asd.sco</t>
  </si>
  <si>
    <t xml:space="preserve">Mustard00141.asd.sco</t>
  </si>
  <si>
    <t xml:space="preserve">Mustard00150.asd.sco</t>
  </si>
  <si>
    <t xml:space="preserve">Mustard00151.asd.sco</t>
  </si>
  <si>
    <t xml:space="preserve">Mustard00160.asd.sco</t>
  </si>
  <si>
    <t xml:space="preserve">Mustard00176.asd.sco</t>
  </si>
  <si>
    <t xml:space="preserve">Mustard00185.asd.sco</t>
  </si>
  <si>
    <t xml:space="preserve">Mustard00186.asd.sco</t>
  </si>
  <si>
    <t xml:space="preserve">Mustard00195.asd.sco</t>
  </si>
  <si>
    <t xml:space="preserve">Mustard00256.asd.sco</t>
  </si>
  <si>
    <t xml:space="preserve">Mustard00270.asd.sco</t>
  </si>
  <si>
    <t xml:space="preserve">Mustard00286.asd.sco</t>
  </si>
  <si>
    <t xml:space="preserve">Mustard00295.asd.sco</t>
  </si>
  <si>
    <t xml:space="preserve">Mustard00296.asd.sco</t>
  </si>
  <si>
    <t xml:space="preserve">Mustard00305.asd.sco</t>
  </si>
  <si>
    <t xml:space="preserve">Mustard00331.asd.sco</t>
  </si>
  <si>
    <t xml:space="preserve">Mustard00340.asd.sco</t>
  </si>
  <si>
    <t xml:space="preserve">Mustard00341.asd.sco</t>
  </si>
  <si>
    <t xml:space="preserve">Mustard00350.asd.sco</t>
  </si>
  <si>
    <t xml:space="preserve">Mustard00486.asd.sco</t>
  </si>
  <si>
    <t xml:space="preserve">Mustard00495.asd.sco</t>
  </si>
  <si>
    <t xml:space="preserve">Mustard00496.asd.sco</t>
  </si>
  <si>
    <t xml:space="preserve">Mustard00510.asd.sco</t>
  </si>
  <si>
    <t xml:space="preserve">Mustard00511.asd.sco</t>
  </si>
  <si>
    <t xml:space="preserve">Mustard00520.asd.sco</t>
  </si>
  <si>
    <t xml:space="preserve">Mustard00521.asd.sco</t>
  </si>
  <si>
    <t xml:space="preserve">Mustard00530.asd.sco</t>
  </si>
  <si>
    <t xml:space="preserve">Mustard00531.asd.sco</t>
  </si>
  <si>
    <t xml:space="preserve">Mustard00540.asd.sco</t>
  </si>
  <si>
    <t xml:space="preserve">Flowering</t>
  </si>
  <si>
    <t xml:space="preserve">D1V1</t>
  </si>
  <si>
    <t xml:space="preserve">Mustard00037.asd.sco</t>
  </si>
  <si>
    <t xml:space="preserve">Mustard00178.asd.sco</t>
  </si>
  <si>
    <t xml:space="preserve">Mustard00192.asd.sco</t>
  </si>
  <si>
    <t xml:space="preserve">Mustard00274.asd.sco</t>
  </si>
  <si>
    <t xml:space="preserve">Mustard00288.asd.sco</t>
  </si>
  <si>
    <t xml:space="preserve">Mustard00354.asd.sco</t>
  </si>
  <si>
    <t xml:space="preserve">Mustard00368.asd.sco</t>
  </si>
  <si>
    <t xml:space="preserve">Mustard00007.asd.sco</t>
  </si>
  <si>
    <t xml:space="preserve">Mustard00015.asd.sco</t>
  </si>
  <si>
    <t xml:space="preserve">Mustard00016.asd.sco</t>
  </si>
  <si>
    <t xml:space="preserve">Mustard00030.asd.sco</t>
  </si>
  <si>
    <t xml:space="preserve">Mustard00031.asd.sco</t>
  </si>
  <si>
    <t xml:space="preserve">Mustard00039.asd.sco</t>
  </si>
  <si>
    <t xml:space="preserve">Mustard00054.asd.sco</t>
  </si>
  <si>
    <t xml:space="preserve">Mustard00055.asd.sco</t>
  </si>
  <si>
    <t xml:space="preserve">Mustard00091.asd.sco</t>
  </si>
  <si>
    <t xml:space="preserve">Mustard00105.asd.sco</t>
  </si>
  <si>
    <t xml:space="preserve">Mustard00116.asd.sco</t>
  </si>
  <si>
    <t xml:space="preserve">Mustard00125.asd.sco</t>
  </si>
  <si>
    <t xml:space="preserve">Mustard00126.asd.sco</t>
  </si>
  <si>
    <t xml:space="preserve">Mustard00140.asd.sco</t>
  </si>
  <si>
    <t xml:space="preserve">Mustard00161.asd.sco</t>
  </si>
  <si>
    <t xml:space="preserve">Mustard00175.asd.sco</t>
  </si>
  <si>
    <t xml:space="preserve">Mustard00196.asd.sco</t>
  </si>
  <si>
    <t xml:space="preserve">Mustard00210.asd.sco</t>
  </si>
  <si>
    <t xml:space="preserve">Mustard00211.asd.sco</t>
  </si>
  <si>
    <t xml:space="preserve">Mustard00225.asd.sco</t>
  </si>
  <si>
    <t xml:space="preserve">Mustard00226.asd.sco</t>
  </si>
  <si>
    <t xml:space="preserve">Mustard00240.asd.sco</t>
  </si>
  <si>
    <t xml:space="preserve">Mustard00241.asd.sco</t>
  </si>
  <si>
    <t xml:space="preserve">Mustard00255.asd.sco</t>
  </si>
  <si>
    <t xml:space="preserve">Mustard00271.asd.sco</t>
  </si>
  <si>
    <t xml:space="preserve">Mustard00285.asd.sco</t>
  </si>
  <si>
    <t xml:space="preserve">Mustard00306.asd.sco</t>
  </si>
  <si>
    <t xml:space="preserve">Mustard00320.asd.sco</t>
  </si>
  <si>
    <t xml:space="preserve">Mustard00321.asd.sco</t>
  </si>
  <si>
    <t xml:space="preserve">Mustard00330.asd.sco</t>
  </si>
  <si>
    <t xml:space="preserve">Mustard00351.asd.sco</t>
  </si>
  <si>
    <t xml:space="preserve">Mustard00365.asd.sco</t>
  </si>
  <si>
    <t xml:space="preserve">Mustard00366.asd.sco</t>
  </si>
  <si>
    <t xml:space="preserve">Mustard00380.asd.sco</t>
  </si>
  <si>
    <t xml:space="preserve">Mustard00381.asd.sco</t>
  </si>
  <si>
    <t xml:space="preserve">Mustard00390.asd.sco</t>
  </si>
  <si>
    <t xml:space="preserve">Mustard00391.asd.sco</t>
  </si>
  <si>
    <t xml:space="preserve">Mustard00400.asd.sco</t>
  </si>
  <si>
    <t xml:space="preserve">Mustard00401.asd.sco</t>
  </si>
  <si>
    <t xml:space="preserve">Mustard00415.asd.sco</t>
  </si>
  <si>
    <t xml:space="preserve">Mustard00416.asd.sco</t>
  </si>
  <si>
    <t xml:space="preserve">Mustard00430.asd.sco</t>
  </si>
  <si>
    <t xml:space="preserve">Mustard00431.asd.sco</t>
  </si>
  <si>
    <t xml:space="preserve">Mustard00445.asd.sco</t>
  </si>
  <si>
    <t xml:space="preserve">Mustard00446.asd.sco</t>
  </si>
  <si>
    <t xml:space="preserve">Mustard00460.asd.sco</t>
  </si>
  <si>
    <t xml:space="preserve">Mustard00461.asd.sco</t>
  </si>
  <si>
    <t xml:space="preserve">Mustard00475.asd.sco</t>
  </si>
  <si>
    <t xml:space="preserve">Mustard00476.asd.sco</t>
  </si>
  <si>
    <t xml:space="preserve">Mustard00485.asd.sco</t>
  </si>
  <si>
    <t xml:space="preserve">03/03/2026</t>
  </si>
  <si>
    <t xml:space="preserve">Mustard00027.asd.sco</t>
  </si>
  <si>
    <t xml:space="preserve">Mustard00028.asd.sco</t>
  </si>
  <si>
    <t xml:space="preserve">Mustard00081.asd.sco</t>
  </si>
  <si>
    <t xml:space="preserve">Mustard00082.asd.sco</t>
  </si>
  <si>
    <t xml:space="preserve">Mustard00099.asd.sco</t>
  </si>
  <si>
    <t xml:space="preserve">Mustard00100.asd.sco</t>
  </si>
  <si>
    <t xml:space="preserve">Mustard00108.asd.sco</t>
  </si>
  <si>
    <t xml:space="preserve">Mustard00109.asd.sco</t>
  </si>
  <si>
    <t xml:space="preserve">Mustard00124.asd.sco</t>
  </si>
  <si>
    <t xml:space="preserve">Mustard00139.asd.sco</t>
  </si>
  <si>
    <t xml:space="preserve">Mustard00154.asd.sco</t>
  </si>
  <si>
    <t xml:space="preserve">Mustard00168.asd.sco</t>
  </si>
  <si>
    <t xml:space="preserve">Mustard00169.asd.sco</t>
  </si>
  <si>
    <t xml:space="preserve">Mustard00183.asd.sco</t>
  </si>
  <si>
    <t xml:space="preserve">Mustard00184.asd.sco</t>
  </si>
  <si>
    <t xml:space="preserve">Mustard00198.asd.sco</t>
  </si>
  <si>
    <t xml:space="preserve">Mustard00199.asd.sco</t>
  </si>
  <si>
    <t xml:space="preserve">Mustard00214.asd.sco</t>
  </si>
  <si>
    <t xml:space="preserve">Mustard00228.asd.sco</t>
  </si>
  <si>
    <t xml:space="preserve">Mustard00229.asd.sco</t>
  </si>
  <si>
    <t xml:space="preserve">Mustard00243.asd.sco</t>
  </si>
  <si>
    <t xml:space="preserve">Mustard00244.asd.sco</t>
  </si>
  <si>
    <t xml:space="preserve">Mustard00303.asd.sco</t>
  </si>
  <si>
    <t xml:space="preserve">Mustard00304.asd.sco</t>
  </si>
  <si>
    <t xml:space="preserve">Mustard00348.asd.sco</t>
  </si>
  <si>
    <t xml:space="preserve">Mustard00349.asd.sco</t>
  </si>
  <si>
    <t xml:space="preserve">Mustard00363.asd.sco</t>
  </si>
  <si>
    <t xml:space="preserve">Mustard00364.asd.sco</t>
  </si>
  <si>
    <t xml:space="preserve">Mustard00378.asd.sco</t>
  </si>
  <si>
    <t xml:space="preserve">Mustard00379.asd.sco</t>
  </si>
  <si>
    <t xml:space="preserve">Mustard00423.asd.sco</t>
  </si>
  <si>
    <t xml:space="preserve">Mustard00439.asd.sco</t>
  </si>
  <si>
    <t xml:space="preserve">Mustard00453.asd.sco</t>
  </si>
  <si>
    <t xml:space="preserve">Mustard00454.asd.sco</t>
  </si>
  <si>
    <t xml:space="preserve">Mustard00468.asd.sco</t>
  </si>
  <si>
    <t xml:space="preserve">Mustard00469.asd.sco</t>
  </si>
  <si>
    <t xml:space="preserve">Mustard00483.asd.sco</t>
  </si>
  <si>
    <t xml:space="preserve">Mustard00484.asd.sco</t>
  </si>
  <si>
    <t xml:space="preserve">Mustard00498.asd.sco</t>
  </si>
  <si>
    <t xml:space="preserve">Mustard00499.asd.sco</t>
  </si>
  <si>
    <t xml:space="preserve">Mustard00513.asd.sco</t>
  </si>
  <si>
    <t xml:space="preserve">Mustard00514.asd.sco</t>
  </si>
  <si>
    <t xml:space="preserve">Mustard00528.asd.sco</t>
  </si>
  <si>
    <t xml:space="preserve">Mustard00544.asd.sco</t>
  </si>
  <si>
    <t xml:space="preserve">Mustard00558.asd.sco</t>
  </si>
  <si>
    <t xml:space="preserve">Mustard00559.asd.sco</t>
  </si>
  <si>
    <t xml:space="preserve">Mustard00573.asd.sco</t>
  </si>
  <si>
    <t xml:space="preserve">Mustard00574.asd.sco</t>
  </si>
  <si>
    <t xml:space="preserve">Mustard00588.asd.sco</t>
  </si>
  <si>
    <t xml:space="preserve">Mustard00589.asd.sco</t>
  </si>
  <si>
    <t xml:space="preserve">Mustard00603.asd.sco</t>
  </si>
  <si>
    <t xml:space="preserve">Mustard00604.asd.sco</t>
  </si>
  <si>
    <t xml:space="preserve">Mustard00618.asd.sco</t>
  </si>
  <si>
    <t xml:space="preserve">Mustard00619.asd.sco</t>
  </si>
  <si>
    <t xml:space="preserve">Mustard00633.asd.sco</t>
  </si>
  <si>
    <t xml:space="preserve">Mustard00634.asd.sco</t>
  </si>
  <si>
    <t xml:space="preserve">Mustard00648.asd.sco</t>
  </si>
  <si>
    <t xml:space="preserve">13/03/2026</t>
  </si>
  <si>
    <t xml:space="preserve">Mustard00529.asd.sco</t>
  </si>
  <si>
    <t xml:space="preserve">Mustard00543.asd.sco</t>
  </si>
  <si>
    <t xml:space="preserve">Pod formation</t>
  </si>
  <si>
    <t xml:space="preserve">Mustard00424.asd.sco</t>
  </si>
  <si>
    <t xml:space="preserve">Mustard00438.asd.sco</t>
  </si>
  <si>
    <t xml:space="preserve">15 spectra were duplicated in the file; copies removed</t>
  </si>
  <si>
    <t xml:space="preserve">Mustard00060.asd.sco</t>
  </si>
  <si>
    <t xml:space="preserve">Mustard00061.asd.sco</t>
  </si>
  <si>
    <t xml:space="preserve">Mustard00075.asd.sco</t>
  </si>
  <si>
    <t xml:space="preserve">Plot DI (%) - enter</t>
  </si>
  <si>
    <t xml:space="preserve">DI class (auto)</t>
  </si>
  <si>
    <t xml:space="preserve">Counts by formula from All_plot_dates</t>
  </si>
  <si>
    <t xml:space="preserve">Plots healthy</t>
  </si>
  <si>
    <t xml:space="preserve">Plots diseased</t>
  </si>
  <si>
    <t xml:space="preserve">Spectra healthy</t>
  </si>
  <si>
    <t xml:space="preserve">Spectra diseased</t>
  </si>
  <si>
    <t xml:space="preserve">Spectra total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</si>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</sst>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D2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D2B"/>
        <bgColor rgb="FF333300"/>
      </patternFill>
    </fill>
    <fill>
      <patternFill patternType="solid">
        <fgColor rgb="FFD5E8D4"/>
        <bgColor rgb="FFEBD3C9"/>
      </patternFill>
    </fill>
    <fill>
      <patternFill patternType="solid">
        <fgColor rgb="FFFBEFC4"/>
        <bgColor rgb="FFFFFF99"/>
      </patternFill>
    </fill>
    <fill>
      <patternFill patternType="solid">
        <fgColor rgb="FFEBD3C9"/>
        <bgColor rgb="FFD5E8D4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D2B"/>
          <bgColor rgb="FF000000"/>
        </patternFill>
      </fill>
    </dxf>
    <dxf>
      <fill>
        <patternFill patternType="solid">
          <fgColor rgb="FFD5E8D4"/>
          <bgColor rgb="FF000000"/>
        </patternFill>
      </fill>
    </dxf>
    <dxf>
      <fill>
        <patternFill patternType="solid">
          <fgColor rgb="FFEBD3C9"/>
          <bgColor rgb="FF000000"/>
        </patternFill>
      </fill>
    </dxf>
    <dxf>
      <fill>
        <patternFill patternType="solid">
          <fgColor rgb="FFFBEF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F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EBD3C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 t="s">
        <v>4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6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22"/>
    <col collapsed="false" customWidth="true" hidden="false" outlineLevel="0" max="14" min="14" style="0" width="44"/>
  </cols>
  <sheetData>
    <row r="1" customFormat="false" ht="30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</row>
    <row r="2" customFormat="false" ht="15" hidden="false" customHeight="false" outlineLevel="0" collapsed="false">
      <c r="A2" s="5" t="s">
        <v>21</v>
      </c>
      <c r="B2" s="6" t="s">
        <v>22</v>
      </c>
      <c r="C2" s="6" t="n">
        <v>6</v>
      </c>
      <c r="D2" s="6" t="n">
        <v>33</v>
      </c>
      <c r="E2" s="6" t="n">
        <v>1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n">
        <v>3</v>
      </c>
      <c r="L2" s="6" t="s">
        <v>28</v>
      </c>
      <c r="M2" s="6" t="s">
        <v>29</v>
      </c>
      <c r="N2" s="6"/>
    </row>
    <row r="3" customFormat="false" ht="15" hidden="false" customHeight="false" outlineLevel="0" collapsed="false">
      <c r="A3" s="5" t="s">
        <v>21</v>
      </c>
      <c r="B3" s="6" t="s">
        <v>22</v>
      </c>
      <c r="C3" s="6" t="n">
        <v>6</v>
      </c>
      <c r="D3" s="6" t="n">
        <v>55</v>
      </c>
      <c r="E3" s="6" t="n">
        <v>2</v>
      </c>
      <c r="F3" s="6" t="s">
        <v>30</v>
      </c>
      <c r="G3" s="6" t="s">
        <v>31</v>
      </c>
      <c r="H3" s="6" t="s">
        <v>25</v>
      </c>
      <c r="I3" s="6" t="s">
        <v>26</v>
      </c>
      <c r="J3" s="6" t="s">
        <v>27</v>
      </c>
      <c r="K3" s="6" t="n">
        <v>6</v>
      </c>
      <c r="L3" s="6" t="s">
        <v>32</v>
      </c>
      <c r="M3" s="6" t="s">
        <v>33</v>
      </c>
      <c r="N3" s="6"/>
    </row>
    <row r="4" customFormat="false" ht="15" hidden="false" customHeight="false" outlineLevel="0" collapsed="false">
      <c r="A4" s="5" t="s">
        <v>21</v>
      </c>
      <c r="B4" s="6" t="s">
        <v>22</v>
      </c>
      <c r="C4" s="6" t="n">
        <v>6</v>
      </c>
      <c r="D4" s="6" t="n">
        <v>64</v>
      </c>
      <c r="E4" s="6" t="n">
        <v>3</v>
      </c>
      <c r="F4" s="6" t="s">
        <v>34</v>
      </c>
      <c r="G4" s="6" t="s">
        <v>35</v>
      </c>
      <c r="H4" s="6" t="s">
        <v>36</v>
      </c>
      <c r="I4" s="6" t="s">
        <v>26</v>
      </c>
      <c r="J4" s="6" t="s">
        <v>27</v>
      </c>
      <c r="K4" s="6" t="n">
        <v>9</v>
      </c>
      <c r="L4" s="6" t="s">
        <v>37</v>
      </c>
      <c r="M4" s="6" t="s">
        <v>38</v>
      </c>
      <c r="N4" s="6"/>
    </row>
    <row r="5" customFormat="false" ht="15" hidden="false" customHeight="false" outlineLevel="0" collapsed="false">
      <c r="A5" s="5" t="s">
        <v>21</v>
      </c>
      <c r="B5" s="6" t="s">
        <v>22</v>
      </c>
      <c r="C5" s="6" t="n">
        <v>6</v>
      </c>
      <c r="D5" s="6" t="n">
        <v>46</v>
      </c>
      <c r="E5" s="6" t="n">
        <v>4</v>
      </c>
      <c r="F5" s="6" t="s">
        <v>39</v>
      </c>
      <c r="G5" s="6" t="s">
        <v>40</v>
      </c>
      <c r="H5" s="6" t="s">
        <v>41</v>
      </c>
      <c r="I5" s="6" t="s">
        <v>26</v>
      </c>
      <c r="J5" s="6" t="s">
        <v>27</v>
      </c>
      <c r="K5" s="6" t="n">
        <v>6</v>
      </c>
      <c r="L5" s="6" t="s">
        <v>42</v>
      </c>
      <c r="M5" s="6" t="s">
        <v>43</v>
      </c>
      <c r="N5" s="6"/>
    </row>
    <row r="6" customFormat="false" ht="15" hidden="false" customHeight="false" outlineLevel="0" collapsed="false">
      <c r="A6" s="5" t="s">
        <v>21</v>
      </c>
      <c r="B6" s="6" t="s">
        <v>22</v>
      </c>
      <c r="C6" s="6" t="n">
        <v>6</v>
      </c>
      <c r="D6" s="6" t="n">
        <v>64</v>
      </c>
      <c r="E6" s="6" t="n">
        <v>5</v>
      </c>
      <c r="F6" s="6" t="s">
        <v>44</v>
      </c>
      <c r="G6" s="6" t="s">
        <v>35</v>
      </c>
      <c r="H6" s="6" t="s">
        <v>25</v>
      </c>
      <c r="I6" s="6" t="s">
        <v>26</v>
      </c>
      <c r="J6" s="6" t="s">
        <v>27</v>
      </c>
      <c r="K6" s="6" t="n">
        <v>9</v>
      </c>
      <c r="L6" s="6" t="s">
        <v>45</v>
      </c>
      <c r="M6" s="6" t="s">
        <v>46</v>
      </c>
      <c r="N6" s="6"/>
    </row>
    <row r="7" customFormat="false" ht="15" hidden="false" customHeight="false" outlineLevel="0" collapsed="false">
      <c r="A7" s="5" t="s">
        <v>21</v>
      </c>
      <c r="B7" s="6" t="s">
        <v>22</v>
      </c>
      <c r="C7" s="6" t="n">
        <v>6</v>
      </c>
      <c r="D7" s="6" t="n">
        <v>33</v>
      </c>
      <c r="E7" s="6" t="n">
        <v>6</v>
      </c>
      <c r="F7" s="6" t="s">
        <v>47</v>
      </c>
      <c r="G7" s="6" t="s">
        <v>24</v>
      </c>
      <c r="H7" s="6" t="s">
        <v>36</v>
      </c>
      <c r="I7" s="6" t="s">
        <v>26</v>
      </c>
      <c r="J7" s="6" t="s">
        <v>27</v>
      </c>
      <c r="K7" s="6" t="n">
        <v>3</v>
      </c>
      <c r="L7" s="6" t="s">
        <v>48</v>
      </c>
      <c r="M7" s="6" t="s">
        <v>49</v>
      </c>
      <c r="N7" s="6"/>
    </row>
    <row r="8" customFormat="false" ht="15" hidden="false" customHeight="false" outlineLevel="0" collapsed="false">
      <c r="A8" s="5" t="s">
        <v>21</v>
      </c>
      <c r="B8" s="6" t="s">
        <v>22</v>
      </c>
      <c r="C8" s="6" t="n">
        <v>6</v>
      </c>
      <c r="D8" s="6" t="n">
        <v>55</v>
      </c>
      <c r="E8" s="6" t="n">
        <v>8</v>
      </c>
      <c r="F8" s="6" t="s">
        <v>50</v>
      </c>
      <c r="G8" s="6" t="s">
        <v>31</v>
      </c>
      <c r="H8" s="6" t="s">
        <v>36</v>
      </c>
      <c r="I8" s="6" t="s">
        <v>26</v>
      </c>
      <c r="J8" s="6" t="s">
        <v>27</v>
      </c>
      <c r="K8" s="6" t="n">
        <v>6</v>
      </c>
      <c r="L8" s="6" t="s">
        <v>51</v>
      </c>
      <c r="M8" s="6" t="s">
        <v>52</v>
      </c>
      <c r="N8" s="6"/>
    </row>
    <row r="9" customFormat="false" ht="15" hidden="false" customHeight="false" outlineLevel="0" collapsed="false">
      <c r="A9" s="5" t="s">
        <v>21</v>
      </c>
      <c r="B9" s="6" t="s">
        <v>22</v>
      </c>
      <c r="C9" s="6" t="n">
        <v>6</v>
      </c>
      <c r="D9" s="6" t="n">
        <v>55</v>
      </c>
      <c r="E9" s="6" t="n">
        <v>9</v>
      </c>
      <c r="F9" s="6" t="s">
        <v>53</v>
      </c>
      <c r="G9" s="6" t="s">
        <v>31</v>
      </c>
      <c r="H9" s="6" t="s">
        <v>41</v>
      </c>
      <c r="I9" s="6" t="s">
        <v>26</v>
      </c>
      <c r="J9" s="6" t="s">
        <v>27</v>
      </c>
      <c r="K9" s="6" t="n">
        <v>6</v>
      </c>
      <c r="L9" s="6" t="s">
        <v>54</v>
      </c>
      <c r="M9" s="6" t="s">
        <v>55</v>
      </c>
      <c r="N9" s="6"/>
    </row>
    <row r="10" customFormat="false" ht="15" hidden="false" customHeight="false" outlineLevel="0" collapsed="false">
      <c r="A10" s="5" t="s">
        <v>21</v>
      </c>
      <c r="B10" s="6" t="s">
        <v>22</v>
      </c>
      <c r="C10" s="6" t="n">
        <v>6</v>
      </c>
      <c r="D10" s="6" t="n">
        <v>46</v>
      </c>
      <c r="E10" s="6" t="n">
        <v>10</v>
      </c>
      <c r="F10" s="6" t="s">
        <v>56</v>
      </c>
      <c r="G10" s="6" t="s">
        <v>40</v>
      </c>
      <c r="H10" s="6" t="s">
        <v>36</v>
      </c>
      <c r="I10" s="6" t="s">
        <v>26</v>
      </c>
      <c r="J10" s="6" t="s">
        <v>27</v>
      </c>
      <c r="K10" s="6" t="n">
        <v>6</v>
      </c>
      <c r="L10" s="6" t="s">
        <v>57</v>
      </c>
      <c r="M10" s="6" t="s">
        <v>58</v>
      </c>
      <c r="N10" s="6"/>
    </row>
    <row r="11" customFormat="false" ht="15" hidden="false" customHeight="false" outlineLevel="0" collapsed="false">
      <c r="A11" s="5" t="s">
        <v>21</v>
      </c>
      <c r="B11" s="6" t="s">
        <v>22</v>
      </c>
      <c r="C11" s="6" t="n">
        <v>6</v>
      </c>
      <c r="D11" s="6" t="n">
        <v>46</v>
      </c>
      <c r="E11" s="6" t="n">
        <v>11</v>
      </c>
      <c r="F11" s="6" t="s">
        <v>59</v>
      </c>
      <c r="G11" s="6" t="s">
        <v>40</v>
      </c>
      <c r="H11" s="6" t="s">
        <v>25</v>
      </c>
      <c r="I11" s="6" t="s">
        <v>26</v>
      </c>
      <c r="J11" s="6" t="s">
        <v>27</v>
      </c>
      <c r="K11" s="6" t="n">
        <v>6</v>
      </c>
      <c r="L11" s="6" t="s">
        <v>60</v>
      </c>
      <c r="M11" s="6" t="s">
        <v>61</v>
      </c>
      <c r="N11" s="6"/>
    </row>
    <row r="12" customFormat="false" ht="15" hidden="false" customHeight="false" outlineLevel="0" collapsed="false">
      <c r="A12" s="5" t="s">
        <v>21</v>
      </c>
      <c r="B12" s="6" t="s">
        <v>22</v>
      </c>
      <c r="C12" s="6" t="n">
        <v>6</v>
      </c>
      <c r="D12" s="6" t="n">
        <v>33</v>
      </c>
      <c r="E12" s="6" t="n">
        <v>12</v>
      </c>
      <c r="F12" s="6" t="s">
        <v>62</v>
      </c>
      <c r="G12" s="6" t="s">
        <v>24</v>
      </c>
      <c r="H12" s="6" t="s">
        <v>41</v>
      </c>
      <c r="I12" s="6" t="s">
        <v>26</v>
      </c>
      <c r="J12" s="6" t="s">
        <v>27</v>
      </c>
      <c r="K12" s="6" t="n">
        <v>3</v>
      </c>
      <c r="L12" s="6" t="s">
        <v>63</v>
      </c>
      <c r="M12" s="6" t="s">
        <v>64</v>
      </c>
      <c r="N12" s="6"/>
    </row>
    <row r="13" customFormat="false" ht="15" hidden="false" customHeight="false" outlineLevel="0" collapsed="false">
      <c r="A13" s="5" t="s">
        <v>21</v>
      </c>
      <c r="B13" s="6" t="s">
        <v>22</v>
      </c>
      <c r="C13" s="6" t="n">
        <v>6</v>
      </c>
      <c r="D13" s="6" t="n">
        <v>64</v>
      </c>
      <c r="E13" s="6" t="n">
        <v>13</v>
      </c>
      <c r="F13" s="6" t="s">
        <v>44</v>
      </c>
      <c r="G13" s="6" t="s">
        <v>35</v>
      </c>
      <c r="H13" s="6" t="s">
        <v>25</v>
      </c>
      <c r="I13" s="6" t="s">
        <v>65</v>
      </c>
      <c r="J13" s="6" t="s">
        <v>66</v>
      </c>
      <c r="K13" s="6" t="n">
        <v>15</v>
      </c>
      <c r="L13" s="6" t="s">
        <v>67</v>
      </c>
      <c r="M13" s="6" t="s">
        <v>68</v>
      </c>
      <c r="N13" s="6"/>
    </row>
    <row r="14" customFormat="false" ht="15" hidden="false" customHeight="false" outlineLevel="0" collapsed="false">
      <c r="A14" s="5" t="s">
        <v>21</v>
      </c>
      <c r="B14" s="6" t="s">
        <v>22</v>
      </c>
      <c r="C14" s="6" t="n">
        <v>6</v>
      </c>
      <c r="D14" s="6" t="n">
        <v>33</v>
      </c>
      <c r="E14" s="6" t="n">
        <v>14</v>
      </c>
      <c r="F14" s="6" t="s">
        <v>62</v>
      </c>
      <c r="G14" s="6" t="s">
        <v>24</v>
      </c>
      <c r="H14" s="6" t="s">
        <v>41</v>
      </c>
      <c r="I14" s="6" t="s">
        <v>65</v>
      </c>
      <c r="J14" s="6" t="s">
        <v>66</v>
      </c>
      <c r="K14" s="6" t="n">
        <v>5</v>
      </c>
      <c r="L14" s="6" t="s">
        <v>69</v>
      </c>
      <c r="M14" s="6" t="s">
        <v>70</v>
      </c>
      <c r="N14" s="6"/>
    </row>
    <row r="15" customFormat="false" ht="15" hidden="false" customHeight="false" outlineLevel="0" collapsed="false">
      <c r="A15" s="5" t="s">
        <v>21</v>
      </c>
      <c r="B15" s="6" t="s">
        <v>22</v>
      </c>
      <c r="C15" s="6" t="n">
        <v>6</v>
      </c>
      <c r="D15" s="6" t="n">
        <v>46</v>
      </c>
      <c r="E15" s="6" t="n">
        <v>15</v>
      </c>
      <c r="F15" s="6" t="s">
        <v>39</v>
      </c>
      <c r="G15" s="6" t="s">
        <v>40</v>
      </c>
      <c r="H15" s="6" t="s">
        <v>41</v>
      </c>
      <c r="I15" s="6" t="s">
        <v>65</v>
      </c>
      <c r="J15" s="6" t="s">
        <v>66</v>
      </c>
      <c r="K15" s="6" t="n">
        <v>10</v>
      </c>
      <c r="L15" s="6" t="s">
        <v>71</v>
      </c>
      <c r="M15" s="6" t="s">
        <v>72</v>
      </c>
      <c r="N15" s="6"/>
    </row>
    <row r="16" customFormat="false" ht="15" hidden="false" customHeight="false" outlineLevel="0" collapsed="false">
      <c r="A16" s="5" t="s">
        <v>21</v>
      </c>
      <c r="B16" s="6" t="s">
        <v>22</v>
      </c>
      <c r="C16" s="6" t="n">
        <v>6</v>
      </c>
      <c r="D16" s="6" t="n">
        <v>55</v>
      </c>
      <c r="E16" s="6" t="n">
        <v>16</v>
      </c>
      <c r="F16" s="6" t="s">
        <v>50</v>
      </c>
      <c r="G16" s="6" t="s">
        <v>31</v>
      </c>
      <c r="H16" s="6" t="s">
        <v>36</v>
      </c>
      <c r="I16" s="6" t="s">
        <v>65</v>
      </c>
      <c r="J16" s="6" t="s">
        <v>66</v>
      </c>
      <c r="K16" s="6" t="n">
        <v>10</v>
      </c>
      <c r="L16" s="6" t="s">
        <v>73</v>
      </c>
      <c r="M16" s="6" t="s">
        <v>74</v>
      </c>
      <c r="N16" s="6"/>
    </row>
    <row r="17" customFormat="false" ht="15" hidden="false" customHeight="false" outlineLevel="0" collapsed="false">
      <c r="A17" s="5" t="s">
        <v>21</v>
      </c>
      <c r="B17" s="6" t="s">
        <v>22</v>
      </c>
      <c r="C17" s="6" t="n">
        <v>6</v>
      </c>
      <c r="D17" s="6" t="n">
        <v>46</v>
      </c>
      <c r="E17" s="6" t="n">
        <v>17</v>
      </c>
      <c r="F17" s="6" t="s">
        <v>59</v>
      </c>
      <c r="G17" s="6" t="s">
        <v>40</v>
      </c>
      <c r="H17" s="6" t="s">
        <v>25</v>
      </c>
      <c r="I17" s="6" t="s">
        <v>65</v>
      </c>
      <c r="J17" s="6" t="s">
        <v>66</v>
      </c>
      <c r="K17" s="6" t="n">
        <v>10</v>
      </c>
      <c r="L17" s="6" t="s">
        <v>75</v>
      </c>
      <c r="M17" s="6" t="s">
        <v>76</v>
      </c>
      <c r="N17" s="6"/>
    </row>
    <row r="18" customFormat="false" ht="15" hidden="false" customHeight="false" outlineLevel="0" collapsed="false">
      <c r="A18" s="5" t="s">
        <v>21</v>
      </c>
      <c r="B18" s="6" t="s">
        <v>22</v>
      </c>
      <c r="C18" s="6" t="n">
        <v>6</v>
      </c>
      <c r="D18" s="6" t="n">
        <v>33</v>
      </c>
      <c r="E18" s="6" t="n">
        <v>18</v>
      </c>
      <c r="F18" s="6" t="s">
        <v>23</v>
      </c>
      <c r="G18" s="6" t="s">
        <v>24</v>
      </c>
      <c r="H18" s="6" t="s">
        <v>25</v>
      </c>
      <c r="I18" s="6" t="s">
        <v>65</v>
      </c>
      <c r="J18" s="6" t="s">
        <v>66</v>
      </c>
      <c r="K18" s="6" t="n">
        <v>5</v>
      </c>
      <c r="L18" s="6" t="s">
        <v>77</v>
      </c>
      <c r="M18" s="6" t="s">
        <v>78</v>
      </c>
      <c r="N18" s="6"/>
    </row>
    <row r="19" customFormat="false" ht="15" hidden="false" customHeight="false" outlineLevel="0" collapsed="false">
      <c r="A19" s="5" t="s">
        <v>21</v>
      </c>
      <c r="B19" s="6" t="s">
        <v>22</v>
      </c>
      <c r="C19" s="6" t="n">
        <v>6</v>
      </c>
      <c r="D19" s="6" t="n">
        <v>55</v>
      </c>
      <c r="E19" s="6" t="n">
        <v>19</v>
      </c>
      <c r="F19" s="6" t="s">
        <v>30</v>
      </c>
      <c r="G19" s="6" t="s">
        <v>31</v>
      </c>
      <c r="H19" s="6" t="s">
        <v>25</v>
      </c>
      <c r="I19" s="6" t="s">
        <v>65</v>
      </c>
      <c r="J19" s="6" t="s">
        <v>66</v>
      </c>
      <c r="K19" s="6" t="n">
        <v>10</v>
      </c>
      <c r="L19" s="6" t="s">
        <v>79</v>
      </c>
      <c r="M19" s="6" t="s">
        <v>80</v>
      </c>
      <c r="N19" s="6"/>
    </row>
    <row r="20" customFormat="false" ht="15" hidden="false" customHeight="false" outlineLevel="0" collapsed="false">
      <c r="A20" s="5" t="s">
        <v>21</v>
      </c>
      <c r="B20" s="6" t="s">
        <v>22</v>
      </c>
      <c r="C20" s="6" t="n">
        <v>6</v>
      </c>
      <c r="D20" s="6" t="n">
        <v>33</v>
      </c>
      <c r="E20" s="6" t="n">
        <v>20</v>
      </c>
      <c r="F20" s="6" t="s">
        <v>47</v>
      </c>
      <c r="G20" s="6" t="s">
        <v>24</v>
      </c>
      <c r="H20" s="6" t="s">
        <v>36</v>
      </c>
      <c r="I20" s="6" t="s">
        <v>65</v>
      </c>
      <c r="J20" s="6" t="s">
        <v>66</v>
      </c>
      <c r="K20" s="6" t="n">
        <v>5</v>
      </c>
      <c r="L20" s="6" t="s">
        <v>81</v>
      </c>
      <c r="M20" s="6" t="s">
        <v>82</v>
      </c>
      <c r="N20" s="6"/>
    </row>
    <row r="21" customFormat="false" ht="15" hidden="false" customHeight="false" outlineLevel="0" collapsed="false">
      <c r="A21" s="5" t="s">
        <v>21</v>
      </c>
      <c r="B21" s="6" t="s">
        <v>22</v>
      </c>
      <c r="C21" s="6" t="n">
        <v>6</v>
      </c>
      <c r="D21" s="6" t="n">
        <v>46</v>
      </c>
      <c r="E21" s="6" t="n">
        <v>21</v>
      </c>
      <c r="F21" s="6" t="s">
        <v>56</v>
      </c>
      <c r="G21" s="6" t="s">
        <v>40</v>
      </c>
      <c r="H21" s="6" t="s">
        <v>36</v>
      </c>
      <c r="I21" s="6" t="s">
        <v>65</v>
      </c>
      <c r="J21" s="6" t="s">
        <v>66</v>
      </c>
      <c r="K21" s="6" t="n">
        <v>10</v>
      </c>
      <c r="L21" s="6" t="s">
        <v>83</v>
      </c>
      <c r="M21" s="6" t="s">
        <v>84</v>
      </c>
      <c r="N21" s="6"/>
    </row>
    <row r="22" customFormat="false" ht="15" hidden="false" customHeight="false" outlineLevel="0" collapsed="false">
      <c r="A22" s="5" t="s">
        <v>21</v>
      </c>
      <c r="B22" s="6" t="s">
        <v>22</v>
      </c>
      <c r="C22" s="6" t="n">
        <v>6</v>
      </c>
      <c r="D22" s="6" t="n">
        <v>55</v>
      </c>
      <c r="E22" s="6" t="n">
        <v>22</v>
      </c>
      <c r="F22" s="6" t="s">
        <v>53</v>
      </c>
      <c r="G22" s="6" t="s">
        <v>31</v>
      </c>
      <c r="H22" s="6" t="s">
        <v>41</v>
      </c>
      <c r="I22" s="6" t="s">
        <v>65</v>
      </c>
      <c r="J22" s="6" t="s">
        <v>66</v>
      </c>
      <c r="K22" s="6" t="n">
        <v>10</v>
      </c>
      <c r="L22" s="6" t="s">
        <v>85</v>
      </c>
      <c r="M22" s="6" t="s">
        <v>86</v>
      </c>
      <c r="N22" s="6"/>
    </row>
    <row r="23" customFormat="false" ht="15" hidden="false" customHeight="false" outlineLevel="0" collapsed="false">
      <c r="A23" s="5" t="s">
        <v>21</v>
      </c>
      <c r="B23" s="6" t="s">
        <v>22</v>
      </c>
      <c r="C23" s="6" t="n">
        <v>6</v>
      </c>
      <c r="D23" s="6" t="n">
        <v>64</v>
      </c>
      <c r="E23" s="6" t="n">
        <v>23</v>
      </c>
      <c r="F23" s="6" t="s">
        <v>34</v>
      </c>
      <c r="G23" s="6" t="s">
        <v>35</v>
      </c>
      <c r="H23" s="6" t="s">
        <v>36</v>
      </c>
      <c r="I23" s="6" t="s">
        <v>65</v>
      </c>
      <c r="J23" s="6" t="s">
        <v>66</v>
      </c>
      <c r="K23" s="6" t="n">
        <v>15</v>
      </c>
      <c r="L23" s="6" t="s">
        <v>87</v>
      </c>
      <c r="M23" s="6" t="s">
        <v>88</v>
      </c>
      <c r="N23" s="6"/>
    </row>
    <row r="24" customFormat="false" ht="15" hidden="false" customHeight="false" outlineLevel="0" collapsed="false">
      <c r="A24" s="5" t="s">
        <v>21</v>
      </c>
      <c r="B24" s="6" t="s">
        <v>22</v>
      </c>
      <c r="C24" s="6" t="n">
        <v>6</v>
      </c>
      <c r="D24" s="6" t="n">
        <v>64</v>
      </c>
      <c r="E24" s="6" t="n">
        <v>25</v>
      </c>
      <c r="F24" s="6" t="s">
        <v>34</v>
      </c>
      <c r="G24" s="6" t="s">
        <v>35</v>
      </c>
      <c r="H24" s="6" t="s">
        <v>36</v>
      </c>
      <c r="I24" s="6" t="s">
        <v>89</v>
      </c>
      <c r="J24" s="6" t="s">
        <v>66</v>
      </c>
      <c r="K24" s="6" t="n">
        <v>15</v>
      </c>
      <c r="L24" s="6" t="s">
        <v>90</v>
      </c>
      <c r="M24" s="6" t="s">
        <v>91</v>
      </c>
      <c r="N24" s="6"/>
    </row>
    <row r="25" customFormat="false" ht="15" hidden="false" customHeight="false" outlineLevel="0" collapsed="false">
      <c r="A25" s="5" t="s">
        <v>21</v>
      </c>
      <c r="B25" s="6" t="s">
        <v>22</v>
      </c>
      <c r="C25" s="6" t="n">
        <v>6</v>
      </c>
      <c r="D25" s="6" t="n">
        <v>33</v>
      </c>
      <c r="E25" s="6" t="n">
        <v>26</v>
      </c>
      <c r="F25" s="6" t="s">
        <v>23</v>
      </c>
      <c r="G25" s="6" t="s">
        <v>24</v>
      </c>
      <c r="H25" s="6" t="s">
        <v>25</v>
      </c>
      <c r="I25" s="6" t="s">
        <v>89</v>
      </c>
      <c r="J25" s="6" t="s">
        <v>66</v>
      </c>
      <c r="K25" s="6" t="n">
        <v>5</v>
      </c>
      <c r="L25" s="6" t="s">
        <v>92</v>
      </c>
      <c r="M25" s="6" t="s">
        <v>93</v>
      </c>
      <c r="N25" s="6"/>
    </row>
    <row r="26" customFormat="false" ht="15" hidden="false" customHeight="false" outlineLevel="0" collapsed="false">
      <c r="A26" s="5" t="s">
        <v>21</v>
      </c>
      <c r="B26" s="6" t="s">
        <v>22</v>
      </c>
      <c r="C26" s="6" t="n">
        <v>6</v>
      </c>
      <c r="D26" s="6" t="n">
        <v>55</v>
      </c>
      <c r="E26" s="6" t="n">
        <v>27</v>
      </c>
      <c r="F26" s="6" t="s">
        <v>50</v>
      </c>
      <c r="G26" s="6" t="s">
        <v>31</v>
      </c>
      <c r="H26" s="6" t="s">
        <v>36</v>
      </c>
      <c r="I26" s="6" t="s">
        <v>89</v>
      </c>
      <c r="J26" s="6" t="s">
        <v>66</v>
      </c>
      <c r="K26" s="6" t="n">
        <v>6</v>
      </c>
      <c r="L26" s="6" t="s">
        <v>94</v>
      </c>
      <c r="M26" s="6" t="s">
        <v>95</v>
      </c>
      <c r="N26" s="6"/>
    </row>
    <row r="27" customFormat="false" ht="15" hidden="false" customHeight="false" outlineLevel="0" collapsed="false">
      <c r="A27" s="5" t="s">
        <v>21</v>
      </c>
      <c r="B27" s="6" t="s">
        <v>22</v>
      </c>
      <c r="C27" s="6" t="n">
        <v>6</v>
      </c>
      <c r="D27" s="6" t="n">
        <v>33</v>
      </c>
      <c r="E27" s="6" t="n">
        <v>28</v>
      </c>
      <c r="F27" s="6" t="s">
        <v>62</v>
      </c>
      <c r="G27" s="6" t="s">
        <v>24</v>
      </c>
      <c r="H27" s="6" t="s">
        <v>41</v>
      </c>
      <c r="I27" s="6" t="s">
        <v>89</v>
      </c>
      <c r="J27" s="6" t="s">
        <v>66</v>
      </c>
      <c r="K27" s="6" t="n">
        <v>5</v>
      </c>
      <c r="L27" s="6" t="s">
        <v>96</v>
      </c>
      <c r="M27" s="6" t="s">
        <v>97</v>
      </c>
      <c r="N27" s="6"/>
    </row>
    <row r="28" customFormat="false" ht="15" hidden="false" customHeight="false" outlineLevel="0" collapsed="false">
      <c r="A28" s="5" t="s">
        <v>21</v>
      </c>
      <c r="B28" s="6" t="s">
        <v>22</v>
      </c>
      <c r="C28" s="6" t="n">
        <v>6</v>
      </c>
      <c r="D28" s="6" t="n">
        <v>46</v>
      </c>
      <c r="E28" s="6" t="n">
        <v>29</v>
      </c>
      <c r="F28" s="6" t="s">
        <v>56</v>
      </c>
      <c r="G28" s="6" t="s">
        <v>40</v>
      </c>
      <c r="H28" s="6" t="s">
        <v>36</v>
      </c>
      <c r="I28" s="6" t="s">
        <v>89</v>
      </c>
      <c r="J28" s="6" t="s">
        <v>66</v>
      </c>
      <c r="K28" s="6" t="n">
        <v>10</v>
      </c>
      <c r="L28" s="6" t="s">
        <v>98</v>
      </c>
      <c r="M28" s="6" t="s">
        <v>99</v>
      </c>
      <c r="N28" s="6"/>
    </row>
    <row r="29" customFormat="false" ht="15" hidden="false" customHeight="false" outlineLevel="0" collapsed="false">
      <c r="A29" s="5" t="s">
        <v>21</v>
      </c>
      <c r="B29" s="6" t="s">
        <v>22</v>
      </c>
      <c r="C29" s="6" t="n">
        <v>6</v>
      </c>
      <c r="D29" s="6" t="n">
        <v>64</v>
      </c>
      <c r="E29" s="6" t="n">
        <v>30</v>
      </c>
      <c r="F29" s="6" t="s">
        <v>44</v>
      </c>
      <c r="G29" s="6" t="s">
        <v>35</v>
      </c>
      <c r="H29" s="6" t="s">
        <v>25</v>
      </c>
      <c r="I29" s="6" t="s">
        <v>89</v>
      </c>
      <c r="J29" s="6" t="s">
        <v>66</v>
      </c>
      <c r="K29" s="6" t="n">
        <v>15</v>
      </c>
      <c r="L29" s="6" t="s">
        <v>100</v>
      </c>
      <c r="M29" s="6" t="s">
        <v>101</v>
      </c>
      <c r="N29" s="6"/>
    </row>
    <row r="30" customFormat="false" ht="15" hidden="false" customHeight="false" outlineLevel="0" collapsed="false">
      <c r="A30" s="5" t="s">
        <v>21</v>
      </c>
      <c r="B30" s="6" t="s">
        <v>22</v>
      </c>
      <c r="C30" s="6" t="n">
        <v>6</v>
      </c>
      <c r="D30" s="6" t="n">
        <v>55</v>
      </c>
      <c r="E30" s="6" t="n">
        <v>31</v>
      </c>
      <c r="F30" s="6" t="s">
        <v>53</v>
      </c>
      <c r="G30" s="6" t="s">
        <v>31</v>
      </c>
      <c r="H30" s="6" t="s">
        <v>41</v>
      </c>
      <c r="I30" s="6" t="s">
        <v>89</v>
      </c>
      <c r="J30" s="6" t="s">
        <v>66</v>
      </c>
      <c r="K30" s="6" t="n">
        <v>10</v>
      </c>
      <c r="L30" s="6" t="s">
        <v>102</v>
      </c>
      <c r="M30" s="6" t="s">
        <v>103</v>
      </c>
      <c r="N30" s="6"/>
    </row>
    <row r="31" customFormat="false" ht="15" hidden="false" customHeight="false" outlineLevel="0" collapsed="false">
      <c r="A31" s="5" t="s">
        <v>21</v>
      </c>
      <c r="B31" s="6" t="s">
        <v>22</v>
      </c>
      <c r="C31" s="6" t="n">
        <v>6</v>
      </c>
      <c r="D31" s="6" t="n">
        <v>46</v>
      </c>
      <c r="E31" s="6" t="n">
        <v>32</v>
      </c>
      <c r="F31" s="6" t="s">
        <v>59</v>
      </c>
      <c r="G31" s="6" t="s">
        <v>40</v>
      </c>
      <c r="H31" s="6" t="s">
        <v>25</v>
      </c>
      <c r="I31" s="6" t="s">
        <v>89</v>
      </c>
      <c r="J31" s="6" t="s">
        <v>66</v>
      </c>
      <c r="K31" s="6" t="n">
        <v>10</v>
      </c>
      <c r="L31" s="6" t="s">
        <v>104</v>
      </c>
      <c r="M31" s="6" t="s">
        <v>105</v>
      </c>
      <c r="N31" s="6"/>
    </row>
    <row r="32" customFormat="false" ht="15" hidden="false" customHeight="false" outlineLevel="0" collapsed="false">
      <c r="A32" s="5" t="s">
        <v>21</v>
      </c>
      <c r="B32" s="6" t="s">
        <v>22</v>
      </c>
      <c r="C32" s="6" t="n">
        <v>6</v>
      </c>
      <c r="D32" s="6" t="n">
        <v>33</v>
      </c>
      <c r="E32" s="6" t="n">
        <v>33</v>
      </c>
      <c r="F32" s="6" t="s">
        <v>47</v>
      </c>
      <c r="G32" s="6" t="s">
        <v>24</v>
      </c>
      <c r="H32" s="6" t="s">
        <v>36</v>
      </c>
      <c r="I32" s="6" t="s">
        <v>89</v>
      </c>
      <c r="J32" s="6" t="s">
        <v>66</v>
      </c>
      <c r="K32" s="6" t="n">
        <v>5</v>
      </c>
      <c r="L32" s="6" t="s">
        <v>106</v>
      </c>
      <c r="M32" s="6" t="s">
        <v>107</v>
      </c>
      <c r="N32" s="6"/>
    </row>
    <row r="33" customFormat="false" ht="15" hidden="false" customHeight="false" outlineLevel="0" collapsed="false">
      <c r="A33" s="5" t="s">
        <v>21</v>
      </c>
      <c r="B33" s="6" t="s">
        <v>22</v>
      </c>
      <c r="C33" s="6" t="n">
        <v>6</v>
      </c>
      <c r="D33" s="6" t="n">
        <v>55</v>
      </c>
      <c r="E33" s="6" t="n">
        <v>35</v>
      </c>
      <c r="F33" s="6" t="s">
        <v>30</v>
      </c>
      <c r="G33" s="6" t="s">
        <v>31</v>
      </c>
      <c r="H33" s="6" t="s">
        <v>25</v>
      </c>
      <c r="I33" s="6" t="s">
        <v>89</v>
      </c>
      <c r="J33" s="6" t="s">
        <v>66</v>
      </c>
      <c r="K33" s="6" t="n">
        <v>10</v>
      </c>
      <c r="L33" s="6" t="s">
        <v>108</v>
      </c>
      <c r="M33" s="6" t="s">
        <v>109</v>
      </c>
      <c r="N33" s="6"/>
    </row>
    <row r="34" customFormat="false" ht="15" hidden="false" customHeight="false" outlineLevel="0" collapsed="false">
      <c r="A34" s="5" t="s">
        <v>21</v>
      </c>
      <c r="B34" s="6" t="s">
        <v>22</v>
      </c>
      <c r="C34" s="6" t="n">
        <v>6</v>
      </c>
      <c r="D34" s="6" t="n">
        <v>46</v>
      </c>
      <c r="E34" s="6" t="n">
        <v>36</v>
      </c>
      <c r="F34" s="6" t="s">
        <v>39</v>
      </c>
      <c r="G34" s="6" t="s">
        <v>40</v>
      </c>
      <c r="H34" s="6" t="s">
        <v>41</v>
      </c>
      <c r="I34" s="6" t="s">
        <v>89</v>
      </c>
      <c r="J34" s="6" t="s">
        <v>66</v>
      </c>
      <c r="K34" s="6" t="n">
        <v>10</v>
      </c>
      <c r="L34" s="6" t="s">
        <v>110</v>
      </c>
      <c r="M34" s="6" t="s">
        <v>111</v>
      </c>
      <c r="N34" s="6"/>
    </row>
    <row r="35" customFormat="false" ht="15" hidden="false" customHeight="false" outlineLevel="0" collapsed="false">
      <c r="A35" s="5" t="s">
        <v>21</v>
      </c>
      <c r="B35" s="6" t="s">
        <v>22</v>
      </c>
      <c r="C35" s="6" t="n">
        <v>6</v>
      </c>
      <c r="D35" s="6" t="n">
        <v>46</v>
      </c>
      <c r="E35" s="6" t="n">
        <v>37</v>
      </c>
      <c r="F35" s="6" t="s">
        <v>39</v>
      </c>
      <c r="G35" s="6" t="s">
        <v>40</v>
      </c>
      <c r="H35" s="6" t="s">
        <v>41</v>
      </c>
      <c r="I35" s="6" t="s">
        <v>112</v>
      </c>
      <c r="J35" s="6" t="s">
        <v>66</v>
      </c>
      <c r="K35" s="6" t="n">
        <v>10</v>
      </c>
      <c r="L35" s="6" t="s">
        <v>113</v>
      </c>
      <c r="M35" s="6" t="s">
        <v>114</v>
      </c>
      <c r="N35" s="6"/>
    </row>
    <row r="36" customFormat="false" ht="15" hidden="false" customHeight="false" outlineLevel="0" collapsed="false">
      <c r="A36" s="5" t="s">
        <v>21</v>
      </c>
      <c r="B36" s="6" t="s">
        <v>22</v>
      </c>
      <c r="C36" s="6" t="n">
        <v>6</v>
      </c>
      <c r="D36" s="6" t="n">
        <v>64</v>
      </c>
      <c r="E36" s="6" t="n">
        <v>38</v>
      </c>
      <c r="F36" s="6" t="s">
        <v>34</v>
      </c>
      <c r="G36" s="6" t="s">
        <v>35</v>
      </c>
      <c r="H36" s="6" t="s">
        <v>36</v>
      </c>
      <c r="I36" s="6" t="s">
        <v>112</v>
      </c>
      <c r="J36" s="6" t="s">
        <v>66</v>
      </c>
      <c r="K36" s="6" t="n">
        <v>15</v>
      </c>
      <c r="L36" s="6" t="s">
        <v>115</v>
      </c>
      <c r="M36" s="6" t="s">
        <v>116</v>
      </c>
      <c r="N36" s="6"/>
    </row>
    <row r="37" customFormat="false" ht="15" hidden="false" customHeight="false" outlineLevel="0" collapsed="false">
      <c r="A37" s="5" t="s">
        <v>21</v>
      </c>
      <c r="B37" s="6" t="s">
        <v>22</v>
      </c>
      <c r="C37" s="6" t="n">
        <v>6</v>
      </c>
      <c r="D37" s="6" t="n">
        <v>55</v>
      </c>
      <c r="E37" s="6" t="n">
        <v>39</v>
      </c>
      <c r="F37" s="6" t="s">
        <v>30</v>
      </c>
      <c r="G37" s="6" t="s">
        <v>31</v>
      </c>
      <c r="H37" s="6" t="s">
        <v>25</v>
      </c>
      <c r="I37" s="6" t="s">
        <v>112</v>
      </c>
      <c r="J37" s="6" t="s">
        <v>66</v>
      </c>
      <c r="K37" s="6" t="n">
        <v>10</v>
      </c>
      <c r="L37" s="6" t="s">
        <v>117</v>
      </c>
      <c r="M37" s="6" t="s">
        <v>118</v>
      </c>
      <c r="N37" s="6"/>
    </row>
    <row r="38" customFormat="false" ht="15" hidden="false" customHeight="false" outlineLevel="0" collapsed="false">
      <c r="A38" s="5" t="s">
        <v>21</v>
      </c>
      <c r="B38" s="6" t="s">
        <v>22</v>
      </c>
      <c r="C38" s="6" t="n">
        <v>6</v>
      </c>
      <c r="D38" s="6" t="n">
        <v>55</v>
      </c>
      <c r="E38" s="6" t="n">
        <v>40</v>
      </c>
      <c r="F38" s="6" t="s">
        <v>50</v>
      </c>
      <c r="G38" s="6" t="s">
        <v>31</v>
      </c>
      <c r="H38" s="6" t="s">
        <v>36</v>
      </c>
      <c r="I38" s="6" t="s">
        <v>112</v>
      </c>
      <c r="J38" s="6" t="s">
        <v>66</v>
      </c>
      <c r="K38" s="6" t="n">
        <v>10</v>
      </c>
      <c r="L38" s="6" t="s">
        <v>119</v>
      </c>
      <c r="M38" s="6" t="s">
        <v>120</v>
      </c>
      <c r="N38" s="6"/>
    </row>
    <row r="39" customFormat="false" ht="15" hidden="false" customHeight="false" outlineLevel="0" collapsed="false">
      <c r="A39" s="5" t="s">
        <v>21</v>
      </c>
      <c r="B39" s="6" t="s">
        <v>22</v>
      </c>
      <c r="C39" s="6" t="n">
        <v>6</v>
      </c>
      <c r="D39" s="6" t="n">
        <v>64</v>
      </c>
      <c r="E39" s="6" t="n">
        <v>42</v>
      </c>
      <c r="F39" s="6" t="s">
        <v>44</v>
      </c>
      <c r="G39" s="6" t="s">
        <v>35</v>
      </c>
      <c r="H39" s="6" t="s">
        <v>25</v>
      </c>
      <c r="I39" s="6" t="s">
        <v>112</v>
      </c>
      <c r="J39" s="6" t="s">
        <v>66</v>
      </c>
      <c r="K39" s="6" t="n">
        <v>15</v>
      </c>
      <c r="L39" s="6" t="s">
        <v>121</v>
      </c>
      <c r="M39" s="6" t="s">
        <v>122</v>
      </c>
      <c r="N39" s="6"/>
    </row>
    <row r="40" customFormat="false" ht="15" hidden="false" customHeight="false" outlineLevel="0" collapsed="false">
      <c r="A40" s="5" t="s">
        <v>21</v>
      </c>
      <c r="B40" s="6" t="s">
        <v>22</v>
      </c>
      <c r="C40" s="6" t="n">
        <v>6</v>
      </c>
      <c r="D40" s="6" t="n">
        <v>55</v>
      </c>
      <c r="E40" s="6" t="n">
        <v>43</v>
      </c>
      <c r="F40" s="6" t="s">
        <v>53</v>
      </c>
      <c r="G40" s="6" t="s">
        <v>31</v>
      </c>
      <c r="H40" s="6" t="s">
        <v>41</v>
      </c>
      <c r="I40" s="6" t="s">
        <v>112</v>
      </c>
      <c r="J40" s="6" t="s">
        <v>66</v>
      </c>
      <c r="K40" s="6" t="n">
        <v>10</v>
      </c>
      <c r="L40" s="6" t="s">
        <v>123</v>
      </c>
      <c r="M40" s="6" t="s">
        <v>124</v>
      </c>
      <c r="N40" s="6"/>
    </row>
    <row r="41" customFormat="false" ht="15" hidden="false" customHeight="false" outlineLevel="0" collapsed="false">
      <c r="A41" s="5" t="s">
        <v>21</v>
      </c>
      <c r="B41" s="6" t="s">
        <v>22</v>
      </c>
      <c r="C41" s="6" t="n">
        <v>6</v>
      </c>
      <c r="D41" s="6" t="n">
        <v>46</v>
      </c>
      <c r="E41" s="6" t="n">
        <v>44</v>
      </c>
      <c r="F41" s="6" t="s">
        <v>59</v>
      </c>
      <c r="G41" s="6" t="s">
        <v>40</v>
      </c>
      <c r="H41" s="6" t="s">
        <v>25</v>
      </c>
      <c r="I41" s="6" t="s">
        <v>112</v>
      </c>
      <c r="J41" s="6" t="s">
        <v>66</v>
      </c>
      <c r="K41" s="6" t="n">
        <v>10</v>
      </c>
      <c r="L41" s="6" t="s">
        <v>125</v>
      </c>
      <c r="M41" s="6" t="s">
        <v>126</v>
      </c>
      <c r="N41" s="6"/>
    </row>
    <row r="42" customFormat="false" ht="15" hidden="false" customHeight="false" outlineLevel="0" collapsed="false">
      <c r="A42" s="5" t="s">
        <v>21</v>
      </c>
      <c r="B42" s="6" t="s">
        <v>22</v>
      </c>
      <c r="C42" s="6" t="n">
        <v>6</v>
      </c>
      <c r="D42" s="6" t="n">
        <v>33</v>
      </c>
      <c r="E42" s="6" t="n">
        <v>45</v>
      </c>
      <c r="F42" s="6" t="s">
        <v>23</v>
      </c>
      <c r="G42" s="6" t="s">
        <v>24</v>
      </c>
      <c r="H42" s="6" t="s">
        <v>25</v>
      </c>
      <c r="I42" s="6" t="s">
        <v>112</v>
      </c>
      <c r="J42" s="6" t="s">
        <v>66</v>
      </c>
      <c r="K42" s="6" t="n">
        <v>5</v>
      </c>
      <c r="L42" s="6" t="s">
        <v>127</v>
      </c>
      <c r="M42" s="6" t="s">
        <v>128</v>
      </c>
      <c r="N42" s="6"/>
    </row>
    <row r="43" customFormat="false" ht="15" hidden="false" customHeight="false" outlineLevel="0" collapsed="false">
      <c r="A43" s="5" t="s">
        <v>21</v>
      </c>
      <c r="B43" s="6" t="s">
        <v>22</v>
      </c>
      <c r="C43" s="6" t="n">
        <v>6</v>
      </c>
      <c r="D43" s="6" t="n">
        <v>33</v>
      </c>
      <c r="E43" s="6" t="n">
        <v>46</v>
      </c>
      <c r="F43" s="6" t="s">
        <v>47</v>
      </c>
      <c r="G43" s="6" t="s">
        <v>24</v>
      </c>
      <c r="H43" s="6" t="s">
        <v>36</v>
      </c>
      <c r="I43" s="6" t="s">
        <v>112</v>
      </c>
      <c r="J43" s="6" t="s">
        <v>66</v>
      </c>
      <c r="K43" s="6" t="n">
        <v>5</v>
      </c>
      <c r="L43" s="6" t="s">
        <v>129</v>
      </c>
      <c r="M43" s="6" t="s">
        <v>130</v>
      </c>
      <c r="N43" s="6"/>
    </row>
    <row r="44" customFormat="false" ht="15" hidden="false" customHeight="false" outlineLevel="0" collapsed="false">
      <c r="A44" s="5" t="s">
        <v>21</v>
      </c>
      <c r="B44" s="6" t="s">
        <v>22</v>
      </c>
      <c r="C44" s="6" t="n">
        <v>6</v>
      </c>
      <c r="D44" s="6" t="n">
        <v>33</v>
      </c>
      <c r="E44" s="6" t="n">
        <v>47</v>
      </c>
      <c r="F44" s="6" t="s">
        <v>62</v>
      </c>
      <c r="G44" s="6" t="s">
        <v>24</v>
      </c>
      <c r="H44" s="6" t="s">
        <v>41</v>
      </c>
      <c r="I44" s="6" t="s">
        <v>112</v>
      </c>
      <c r="J44" s="6" t="s">
        <v>66</v>
      </c>
      <c r="K44" s="6" t="n">
        <v>5</v>
      </c>
      <c r="L44" s="6" t="s">
        <v>131</v>
      </c>
      <c r="M44" s="6" t="s">
        <v>132</v>
      </c>
      <c r="N44" s="6"/>
    </row>
    <row r="45" customFormat="false" ht="15" hidden="false" customHeight="false" outlineLevel="0" collapsed="false">
      <c r="A45" s="5" t="s">
        <v>21</v>
      </c>
      <c r="B45" s="6" t="s">
        <v>22</v>
      </c>
      <c r="C45" s="6" t="n">
        <v>6</v>
      </c>
      <c r="D45" s="6" t="n">
        <v>46</v>
      </c>
      <c r="E45" s="6" t="n">
        <v>48</v>
      </c>
      <c r="F45" s="6" t="s">
        <v>56</v>
      </c>
      <c r="G45" s="6" t="s">
        <v>40</v>
      </c>
      <c r="H45" s="6" t="s">
        <v>36</v>
      </c>
      <c r="I45" s="6" t="s">
        <v>112</v>
      </c>
      <c r="J45" s="6" t="s">
        <v>66</v>
      </c>
      <c r="K45" s="6" t="n">
        <v>10</v>
      </c>
      <c r="L45" s="6" t="s">
        <v>133</v>
      </c>
      <c r="M45" s="6" t="s">
        <v>134</v>
      </c>
      <c r="N45" s="6"/>
    </row>
    <row r="46" customFormat="false" ht="15" hidden="false" customHeight="false" outlineLevel="0" collapsed="false">
      <c r="A46" s="5" t="s">
        <v>21</v>
      </c>
      <c r="B46" s="6" t="s">
        <v>135</v>
      </c>
      <c r="C46" s="6" t="n">
        <v>19</v>
      </c>
      <c r="D46" s="6" t="n">
        <v>46</v>
      </c>
      <c r="E46" s="6" t="n">
        <v>1</v>
      </c>
      <c r="F46" s="6" t="s">
        <v>23</v>
      </c>
      <c r="G46" s="6" t="s">
        <v>24</v>
      </c>
      <c r="H46" s="6" t="s">
        <v>25</v>
      </c>
      <c r="I46" s="6" t="s">
        <v>26</v>
      </c>
      <c r="J46" s="6" t="s">
        <v>27</v>
      </c>
      <c r="K46" s="6" t="n">
        <v>6</v>
      </c>
      <c r="L46" s="6" t="s">
        <v>28</v>
      </c>
      <c r="M46" s="6" t="s">
        <v>136</v>
      </c>
      <c r="N46" s="6"/>
    </row>
    <row r="47" customFormat="false" ht="15" hidden="false" customHeight="false" outlineLevel="0" collapsed="false">
      <c r="A47" s="5" t="s">
        <v>21</v>
      </c>
      <c r="B47" s="6" t="s">
        <v>135</v>
      </c>
      <c r="C47" s="6" t="n">
        <v>19</v>
      </c>
      <c r="D47" s="6" t="n">
        <v>46</v>
      </c>
      <c r="E47" s="6" t="n">
        <v>6</v>
      </c>
      <c r="F47" s="6" t="s">
        <v>47</v>
      </c>
      <c r="G47" s="6" t="s">
        <v>24</v>
      </c>
      <c r="H47" s="6" t="s">
        <v>36</v>
      </c>
      <c r="I47" s="6" t="s">
        <v>26</v>
      </c>
      <c r="J47" s="6" t="s">
        <v>27</v>
      </c>
      <c r="K47" s="6" t="n">
        <v>6</v>
      </c>
      <c r="L47" s="6" t="s">
        <v>137</v>
      </c>
      <c r="M47" s="6" t="s">
        <v>138</v>
      </c>
      <c r="N47" s="6"/>
    </row>
    <row r="48" customFormat="false" ht="15" hidden="false" customHeight="false" outlineLevel="0" collapsed="false">
      <c r="A48" s="5" t="s">
        <v>21</v>
      </c>
      <c r="B48" s="6" t="s">
        <v>135</v>
      </c>
      <c r="C48" s="6" t="n">
        <v>19</v>
      </c>
      <c r="D48" s="6" t="n">
        <v>59</v>
      </c>
      <c r="E48" s="6" t="n">
        <v>10</v>
      </c>
      <c r="F48" s="6" t="s">
        <v>56</v>
      </c>
      <c r="G48" s="6" t="s">
        <v>40</v>
      </c>
      <c r="H48" s="6" t="s">
        <v>36</v>
      </c>
      <c r="I48" s="6" t="s">
        <v>26</v>
      </c>
      <c r="J48" s="6" t="s">
        <v>27</v>
      </c>
      <c r="K48" s="6" t="n">
        <v>6</v>
      </c>
      <c r="L48" s="6" t="s">
        <v>67</v>
      </c>
      <c r="M48" s="6" t="s">
        <v>139</v>
      </c>
      <c r="N48" s="6"/>
    </row>
    <row r="49" customFormat="false" ht="15" hidden="false" customHeight="false" outlineLevel="0" collapsed="false">
      <c r="A49" s="5" t="s">
        <v>21</v>
      </c>
      <c r="B49" s="6" t="s">
        <v>135</v>
      </c>
      <c r="C49" s="6" t="n">
        <v>19</v>
      </c>
      <c r="D49" s="6" t="n">
        <v>59</v>
      </c>
      <c r="E49" s="6" t="n">
        <v>11</v>
      </c>
      <c r="F49" s="6" t="s">
        <v>59</v>
      </c>
      <c r="G49" s="6" t="s">
        <v>40</v>
      </c>
      <c r="H49" s="6" t="s">
        <v>25</v>
      </c>
      <c r="I49" s="6" t="s">
        <v>26</v>
      </c>
      <c r="J49" s="6" t="s">
        <v>27</v>
      </c>
      <c r="K49" s="6" t="n">
        <v>6</v>
      </c>
      <c r="L49" s="6" t="s">
        <v>140</v>
      </c>
      <c r="M49" s="6" t="s">
        <v>141</v>
      </c>
      <c r="N49" s="6"/>
    </row>
    <row r="50" customFormat="false" ht="15" hidden="false" customHeight="false" outlineLevel="0" collapsed="false">
      <c r="A50" s="5" t="s">
        <v>21</v>
      </c>
      <c r="B50" s="6" t="s">
        <v>135</v>
      </c>
      <c r="C50" s="6" t="n">
        <v>19</v>
      </c>
      <c r="D50" s="6" t="n">
        <v>46</v>
      </c>
      <c r="E50" s="6" t="n">
        <v>12</v>
      </c>
      <c r="F50" s="6" t="s">
        <v>62</v>
      </c>
      <c r="G50" s="6" t="s">
        <v>24</v>
      </c>
      <c r="H50" s="6" t="s">
        <v>41</v>
      </c>
      <c r="I50" s="6" t="s">
        <v>26</v>
      </c>
      <c r="J50" s="6" t="s">
        <v>27</v>
      </c>
      <c r="K50" s="6" t="n">
        <v>6</v>
      </c>
      <c r="L50" s="6" t="s">
        <v>142</v>
      </c>
      <c r="M50" s="6" t="s">
        <v>143</v>
      </c>
      <c r="N50" s="6"/>
    </row>
    <row r="51" customFormat="false" ht="15" hidden="false" customHeight="false" outlineLevel="0" collapsed="false">
      <c r="A51" s="5" t="s">
        <v>21</v>
      </c>
      <c r="B51" s="6" t="s">
        <v>135</v>
      </c>
      <c r="C51" s="6" t="n">
        <v>19</v>
      </c>
      <c r="D51" s="6" t="n">
        <v>46</v>
      </c>
      <c r="E51" s="6" t="n">
        <v>14</v>
      </c>
      <c r="F51" s="6" t="s">
        <v>62</v>
      </c>
      <c r="G51" s="6" t="s">
        <v>24</v>
      </c>
      <c r="H51" s="6" t="s">
        <v>41</v>
      </c>
      <c r="I51" s="6" t="s">
        <v>65</v>
      </c>
      <c r="J51" s="6" t="s">
        <v>66</v>
      </c>
      <c r="K51" s="6" t="n">
        <v>10</v>
      </c>
      <c r="L51" s="6" t="s">
        <v>144</v>
      </c>
      <c r="M51" s="6" t="s">
        <v>145</v>
      </c>
      <c r="N51" s="6"/>
    </row>
    <row r="52" customFormat="false" ht="15" hidden="false" customHeight="false" outlineLevel="0" collapsed="false">
      <c r="A52" s="5" t="s">
        <v>21</v>
      </c>
      <c r="B52" s="6" t="s">
        <v>135</v>
      </c>
      <c r="C52" s="6" t="n">
        <v>19</v>
      </c>
      <c r="D52" s="6" t="n">
        <v>59</v>
      </c>
      <c r="E52" s="6" t="n">
        <v>17</v>
      </c>
      <c r="F52" s="6" t="s">
        <v>59</v>
      </c>
      <c r="G52" s="6" t="s">
        <v>40</v>
      </c>
      <c r="H52" s="6" t="s">
        <v>25</v>
      </c>
      <c r="I52" s="6" t="s">
        <v>65</v>
      </c>
      <c r="J52" s="6" t="s">
        <v>66</v>
      </c>
      <c r="K52" s="6" t="n">
        <v>10</v>
      </c>
      <c r="L52" s="6" t="s">
        <v>146</v>
      </c>
      <c r="M52" s="6" t="s">
        <v>147</v>
      </c>
      <c r="N52" s="6"/>
    </row>
    <row r="53" customFormat="false" ht="15" hidden="false" customHeight="false" outlineLevel="0" collapsed="false">
      <c r="A53" s="5" t="s">
        <v>21</v>
      </c>
      <c r="B53" s="6" t="s">
        <v>135</v>
      </c>
      <c r="C53" s="6" t="n">
        <v>19</v>
      </c>
      <c r="D53" s="6" t="n">
        <v>46</v>
      </c>
      <c r="E53" s="6" t="n">
        <v>18</v>
      </c>
      <c r="F53" s="6" t="s">
        <v>23</v>
      </c>
      <c r="G53" s="6" t="s">
        <v>24</v>
      </c>
      <c r="H53" s="6" t="s">
        <v>25</v>
      </c>
      <c r="I53" s="6" t="s">
        <v>65</v>
      </c>
      <c r="J53" s="6" t="s">
        <v>66</v>
      </c>
      <c r="K53" s="6" t="n">
        <v>10</v>
      </c>
      <c r="L53" s="6" t="s">
        <v>148</v>
      </c>
      <c r="M53" s="6" t="s">
        <v>149</v>
      </c>
      <c r="N53" s="6"/>
    </row>
    <row r="54" customFormat="false" ht="15" hidden="false" customHeight="false" outlineLevel="0" collapsed="false">
      <c r="A54" s="5" t="s">
        <v>21</v>
      </c>
      <c r="B54" s="6" t="s">
        <v>135</v>
      </c>
      <c r="C54" s="6" t="n">
        <v>19</v>
      </c>
      <c r="D54" s="6" t="n">
        <v>46</v>
      </c>
      <c r="E54" s="6" t="n">
        <v>20</v>
      </c>
      <c r="F54" s="6" t="s">
        <v>47</v>
      </c>
      <c r="G54" s="6" t="s">
        <v>24</v>
      </c>
      <c r="H54" s="6" t="s">
        <v>36</v>
      </c>
      <c r="I54" s="6" t="s">
        <v>65</v>
      </c>
      <c r="J54" s="6" t="s">
        <v>66</v>
      </c>
      <c r="K54" s="6" t="n">
        <v>10</v>
      </c>
      <c r="L54" s="6" t="s">
        <v>150</v>
      </c>
      <c r="M54" s="6" t="s">
        <v>151</v>
      </c>
      <c r="N54" s="6"/>
    </row>
    <row r="55" customFormat="false" ht="15" hidden="false" customHeight="false" outlineLevel="0" collapsed="false">
      <c r="A55" s="5" t="s">
        <v>21</v>
      </c>
      <c r="B55" s="6" t="s">
        <v>135</v>
      </c>
      <c r="C55" s="6" t="n">
        <v>19</v>
      </c>
      <c r="D55" s="6" t="n">
        <v>59</v>
      </c>
      <c r="E55" s="6" t="n">
        <v>21</v>
      </c>
      <c r="F55" s="6" t="s">
        <v>56</v>
      </c>
      <c r="G55" s="6" t="s">
        <v>40</v>
      </c>
      <c r="H55" s="6" t="s">
        <v>36</v>
      </c>
      <c r="I55" s="6" t="s">
        <v>65</v>
      </c>
      <c r="J55" s="6" t="s">
        <v>66</v>
      </c>
      <c r="K55" s="6" t="n">
        <v>10</v>
      </c>
      <c r="L55" s="6" t="s">
        <v>152</v>
      </c>
      <c r="M55" s="6" t="s">
        <v>153</v>
      </c>
      <c r="N55" s="6"/>
    </row>
    <row r="56" customFormat="false" ht="15" hidden="false" customHeight="false" outlineLevel="0" collapsed="false">
      <c r="A56" s="5" t="s">
        <v>21</v>
      </c>
      <c r="B56" s="6" t="s">
        <v>135</v>
      </c>
      <c r="C56" s="6" t="n">
        <v>19</v>
      </c>
      <c r="D56" s="6" t="n">
        <v>46</v>
      </c>
      <c r="E56" s="6" t="n">
        <v>26</v>
      </c>
      <c r="F56" s="6" t="s">
        <v>23</v>
      </c>
      <c r="G56" s="6" t="s">
        <v>24</v>
      </c>
      <c r="H56" s="6" t="s">
        <v>25</v>
      </c>
      <c r="I56" s="6" t="s">
        <v>89</v>
      </c>
      <c r="J56" s="6" t="s">
        <v>66</v>
      </c>
      <c r="K56" s="6" t="n">
        <v>15</v>
      </c>
      <c r="L56" s="6" t="s">
        <v>154</v>
      </c>
      <c r="M56" s="6" t="s">
        <v>155</v>
      </c>
      <c r="N56" s="6"/>
    </row>
    <row r="57" customFormat="false" ht="15" hidden="false" customHeight="false" outlineLevel="0" collapsed="false">
      <c r="A57" s="5" t="s">
        <v>21</v>
      </c>
      <c r="B57" s="6" t="s">
        <v>135</v>
      </c>
      <c r="C57" s="6" t="n">
        <v>19</v>
      </c>
      <c r="D57" s="6" t="n">
        <v>46</v>
      </c>
      <c r="E57" s="6" t="n">
        <v>28</v>
      </c>
      <c r="F57" s="6" t="s">
        <v>62</v>
      </c>
      <c r="G57" s="6" t="s">
        <v>24</v>
      </c>
      <c r="H57" s="6" t="s">
        <v>41</v>
      </c>
      <c r="I57" s="6" t="s">
        <v>89</v>
      </c>
      <c r="J57" s="6" t="s">
        <v>66</v>
      </c>
      <c r="K57" s="6" t="n">
        <v>10</v>
      </c>
      <c r="L57" s="6" t="s">
        <v>156</v>
      </c>
      <c r="M57" s="6" t="s">
        <v>157</v>
      </c>
      <c r="N57" s="6"/>
    </row>
    <row r="58" customFormat="false" ht="15" hidden="false" customHeight="false" outlineLevel="0" collapsed="false">
      <c r="A58" s="5" t="s">
        <v>21</v>
      </c>
      <c r="B58" s="6" t="s">
        <v>135</v>
      </c>
      <c r="C58" s="6" t="n">
        <v>19</v>
      </c>
      <c r="D58" s="6" t="n">
        <v>59</v>
      </c>
      <c r="E58" s="6" t="n">
        <v>29</v>
      </c>
      <c r="F58" s="6" t="s">
        <v>56</v>
      </c>
      <c r="G58" s="6" t="s">
        <v>40</v>
      </c>
      <c r="H58" s="6" t="s">
        <v>36</v>
      </c>
      <c r="I58" s="6" t="s">
        <v>89</v>
      </c>
      <c r="J58" s="6" t="s">
        <v>66</v>
      </c>
      <c r="K58" s="6" t="n">
        <v>10</v>
      </c>
      <c r="L58" s="6" t="s">
        <v>158</v>
      </c>
      <c r="M58" s="6" t="s">
        <v>159</v>
      </c>
      <c r="N58" s="6"/>
    </row>
    <row r="59" customFormat="false" ht="15" hidden="false" customHeight="false" outlineLevel="0" collapsed="false">
      <c r="A59" s="5" t="s">
        <v>21</v>
      </c>
      <c r="B59" s="6" t="s">
        <v>135</v>
      </c>
      <c r="C59" s="6" t="n">
        <v>19</v>
      </c>
      <c r="D59" s="6" t="n">
        <v>59</v>
      </c>
      <c r="E59" s="6" t="n">
        <v>32</v>
      </c>
      <c r="F59" s="6" t="s">
        <v>59</v>
      </c>
      <c r="G59" s="6" t="s">
        <v>40</v>
      </c>
      <c r="H59" s="6" t="s">
        <v>25</v>
      </c>
      <c r="I59" s="6" t="s">
        <v>89</v>
      </c>
      <c r="J59" s="6" t="s">
        <v>66</v>
      </c>
      <c r="K59" s="6" t="n">
        <v>10</v>
      </c>
      <c r="L59" s="6" t="s">
        <v>160</v>
      </c>
      <c r="M59" s="6" t="s">
        <v>161</v>
      </c>
      <c r="N59" s="6"/>
    </row>
    <row r="60" customFormat="false" ht="15" hidden="false" customHeight="false" outlineLevel="0" collapsed="false">
      <c r="A60" s="5" t="s">
        <v>21</v>
      </c>
      <c r="B60" s="6" t="s">
        <v>135</v>
      </c>
      <c r="C60" s="6" t="n">
        <v>19</v>
      </c>
      <c r="D60" s="6" t="n">
        <v>46</v>
      </c>
      <c r="E60" s="6" t="n">
        <v>33</v>
      </c>
      <c r="F60" s="6" t="s">
        <v>47</v>
      </c>
      <c r="G60" s="6" t="s">
        <v>24</v>
      </c>
      <c r="H60" s="6" t="s">
        <v>36</v>
      </c>
      <c r="I60" s="6" t="s">
        <v>89</v>
      </c>
      <c r="J60" s="6" t="s">
        <v>66</v>
      </c>
      <c r="K60" s="6" t="n">
        <v>10</v>
      </c>
      <c r="L60" s="6" t="s">
        <v>162</v>
      </c>
      <c r="M60" s="6" t="s">
        <v>163</v>
      </c>
      <c r="N60" s="6"/>
    </row>
    <row r="61" customFormat="false" ht="15" hidden="false" customHeight="false" outlineLevel="0" collapsed="false">
      <c r="A61" s="5" t="s">
        <v>21</v>
      </c>
      <c r="B61" s="6" t="s">
        <v>135</v>
      </c>
      <c r="C61" s="6" t="n">
        <v>19</v>
      </c>
      <c r="D61" s="6" t="n">
        <v>59</v>
      </c>
      <c r="E61" s="6" t="n">
        <v>44</v>
      </c>
      <c r="F61" s="6" t="s">
        <v>59</v>
      </c>
      <c r="G61" s="6" t="s">
        <v>40</v>
      </c>
      <c r="H61" s="6" t="s">
        <v>25</v>
      </c>
      <c r="I61" s="6" t="s">
        <v>112</v>
      </c>
      <c r="J61" s="6" t="s">
        <v>66</v>
      </c>
      <c r="K61" s="6" t="n">
        <v>10</v>
      </c>
      <c r="L61" s="6" t="s">
        <v>164</v>
      </c>
      <c r="M61" s="6" t="s">
        <v>165</v>
      </c>
      <c r="N61" s="6"/>
    </row>
    <row r="62" customFormat="false" ht="15" hidden="false" customHeight="false" outlineLevel="0" collapsed="false">
      <c r="A62" s="5" t="s">
        <v>21</v>
      </c>
      <c r="B62" s="6" t="s">
        <v>135</v>
      </c>
      <c r="C62" s="6" t="n">
        <v>19</v>
      </c>
      <c r="D62" s="6" t="n">
        <v>46</v>
      </c>
      <c r="E62" s="6" t="n">
        <v>45</v>
      </c>
      <c r="F62" s="6" t="s">
        <v>23</v>
      </c>
      <c r="G62" s="6" t="s">
        <v>24</v>
      </c>
      <c r="H62" s="6" t="s">
        <v>25</v>
      </c>
      <c r="I62" s="6" t="s">
        <v>112</v>
      </c>
      <c r="J62" s="6" t="s">
        <v>66</v>
      </c>
      <c r="K62" s="6" t="n">
        <v>15</v>
      </c>
      <c r="L62" s="6" t="s">
        <v>166</v>
      </c>
      <c r="M62" s="6" t="s">
        <v>167</v>
      </c>
      <c r="N62" s="6"/>
    </row>
    <row r="63" customFormat="false" ht="15" hidden="false" customHeight="false" outlineLevel="0" collapsed="false">
      <c r="A63" s="5" t="s">
        <v>21</v>
      </c>
      <c r="B63" s="6" t="s">
        <v>135</v>
      </c>
      <c r="C63" s="6" t="n">
        <v>19</v>
      </c>
      <c r="D63" s="6" t="n">
        <v>46</v>
      </c>
      <c r="E63" s="6" t="n">
        <v>46</v>
      </c>
      <c r="F63" s="6" t="s">
        <v>47</v>
      </c>
      <c r="G63" s="6" t="s">
        <v>24</v>
      </c>
      <c r="H63" s="6" t="s">
        <v>36</v>
      </c>
      <c r="I63" s="6" t="s">
        <v>112</v>
      </c>
      <c r="J63" s="6" t="s">
        <v>66</v>
      </c>
      <c r="K63" s="6" t="n">
        <v>10</v>
      </c>
      <c r="L63" s="6" t="s">
        <v>168</v>
      </c>
      <c r="M63" s="6" t="s">
        <v>169</v>
      </c>
      <c r="N63" s="6"/>
    </row>
    <row r="64" customFormat="false" ht="15" hidden="false" customHeight="false" outlineLevel="0" collapsed="false">
      <c r="A64" s="5" t="s">
        <v>21</v>
      </c>
      <c r="B64" s="6" t="s">
        <v>135</v>
      </c>
      <c r="C64" s="6" t="n">
        <v>19</v>
      </c>
      <c r="D64" s="6" t="n">
        <v>46</v>
      </c>
      <c r="E64" s="6" t="n">
        <v>47</v>
      </c>
      <c r="F64" s="6" t="s">
        <v>62</v>
      </c>
      <c r="G64" s="6" t="s">
        <v>24</v>
      </c>
      <c r="H64" s="6" t="s">
        <v>41</v>
      </c>
      <c r="I64" s="6" t="s">
        <v>112</v>
      </c>
      <c r="J64" s="6" t="s">
        <v>66</v>
      </c>
      <c r="K64" s="6" t="n">
        <v>10</v>
      </c>
      <c r="L64" s="6" t="s">
        <v>170</v>
      </c>
      <c r="M64" s="6" t="s">
        <v>171</v>
      </c>
      <c r="N64" s="6"/>
    </row>
    <row r="65" customFormat="false" ht="15" hidden="false" customHeight="false" outlineLevel="0" collapsed="false">
      <c r="A65" s="5" t="s">
        <v>21</v>
      </c>
      <c r="B65" s="6" t="s">
        <v>135</v>
      </c>
      <c r="C65" s="6" t="n">
        <v>19</v>
      </c>
      <c r="D65" s="6" t="n">
        <v>59</v>
      </c>
      <c r="E65" s="6" t="n">
        <v>48</v>
      </c>
      <c r="F65" s="6" t="s">
        <v>56</v>
      </c>
      <c r="G65" s="6" t="s">
        <v>40</v>
      </c>
      <c r="H65" s="6" t="s">
        <v>36</v>
      </c>
      <c r="I65" s="6" t="s">
        <v>112</v>
      </c>
      <c r="J65" s="6" t="s">
        <v>66</v>
      </c>
      <c r="K65" s="6" t="n">
        <v>10</v>
      </c>
      <c r="L65" s="6" t="s">
        <v>172</v>
      </c>
      <c r="M65" s="6" t="s">
        <v>173</v>
      </c>
      <c r="N65" s="6"/>
    </row>
    <row r="66" customFormat="false" ht="15" hidden="false" customHeight="false" outlineLevel="0" collapsed="false">
      <c r="A66" s="7" t="s">
        <v>174</v>
      </c>
      <c r="B66" s="6" t="s">
        <v>22</v>
      </c>
      <c r="C66" s="6" t="n">
        <v>6</v>
      </c>
      <c r="D66" s="6" t="n">
        <v>64</v>
      </c>
      <c r="E66" s="6" t="n">
        <v>7</v>
      </c>
      <c r="F66" s="6" t="s">
        <v>175</v>
      </c>
      <c r="G66" s="6" t="s">
        <v>35</v>
      </c>
      <c r="H66" s="6" t="s">
        <v>41</v>
      </c>
      <c r="I66" s="6" t="s">
        <v>26</v>
      </c>
      <c r="J66" s="6" t="s">
        <v>27</v>
      </c>
      <c r="K66" s="6" t="n">
        <v>9</v>
      </c>
      <c r="L66" s="6" t="s">
        <v>176</v>
      </c>
      <c r="M66" s="6" t="s">
        <v>138</v>
      </c>
      <c r="N66" s="6"/>
    </row>
    <row r="67" customFormat="false" ht="15" hidden="false" customHeight="false" outlineLevel="0" collapsed="false">
      <c r="A67" s="7" t="s">
        <v>174</v>
      </c>
      <c r="B67" s="6" t="s">
        <v>22</v>
      </c>
      <c r="C67" s="6" t="n">
        <v>6</v>
      </c>
      <c r="D67" s="6" t="n">
        <v>64</v>
      </c>
      <c r="E67" s="6" t="n">
        <v>24</v>
      </c>
      <c r="F67" s="6" t="s">
        <v>175</v>
      </c>
      <c r="G67" s="6" t="s">
        <v>35</v>
      </c>
      <c r="H67" s="6" t="s">
        <v>41</v>
      </c>
      <c r="I67" s="6" t="s">
        <v>65</v>
      </c>
      <c r="J67" s="6" t="s">
        <v>66</v>
      </c>
      <c r="K67" s="6" t="n">
        <v>15</v>
      </c>
      <c r="L67" s="6" t="s">
        <v>177</v>
      </c>
      <c r="M67" s="6" t="s">
        <v>178</v>
      </c>
      <c r="N67" s="6"/>
    </row>
    <row r="68" customFormat="false" ht="15" hidden="false" customHeight="false" outlineLevel="0" collapsed="false">
      <c r="A68" s="7" t="s">
        <v>174</v>
      </c>
      <c r="B68" s="6" t="s">
        <v>22</v>
      </c>
      <c r="C68" s="6" t="n">
        <v>6</v>
      </c>
      <c r="D68" s="6" t="n">
        <v>64</v>
      </c>
      <c r="E68" s="6" t="n">
        <v>34</v>
      </c>
      <c r="F68" s="6" t="s">
        <v>175</v>
      </c>
      <c r="G68" s="6" t="s">
        <v>35</v>
      </c>
      <c r="H68" s="6" t="s">
        <v>41</v>
      </c>
      <c r="I68" s="6" t="s">
        <v>89</v>
      </c>
      <c r="J68" s="6" t="s">
        <v>66</v>
      </c>
      <c r="K68" s="6" t="n">
        <v>15</v>
      </c>
      <c r="L68" s="6" t="s">
        <v>179</v>
      </c>
      <c r="M68" s="6" t="s">
        <v>180</v>
      </c>
      <c r="N68" s="6"/>
    </row>
    <row r="69" customFormat="false" ht="15" hidden="false" customHeight="false" outlineLevel="0" collapsed="false">
      <c r="A69" s="7" t="s">
        <v>174</v>
      </c>
      <c r="B69" s="6" t="s">
        <v>22</v>
      </c>
      <c r="C69" s="6" t="n">
        <v>6</v>
      </c>
      <c r="D69" s="6" t="n">
        <v>64</v>
      </c>
      <c r="E69" s="6" t="n">
        <v>41</v>
      </c>
      <c r="F69" s="6" t="s">
        <v>175</v>
      </c>
      <c r="G69" s="6" t="s">
        <v>35</v>
      </c>
      <c r="H69" s="6" t="s">
        <v>41</v>
      </c>
      <c r="I69" s="6" t="s">
        <v>112</v>
      </c>
      <c r="J69" s="6" t="s">
        <v>66</v>
      </c>
      <c r="K69" s="6" t="n">
        <v>15</v>
      </c>
      <c r="L69" s="6" t="s">
        <v>181</v>
      </c>
      <c r="M69" s="6" t="s">
        <v>182</v>
      </c>
      <c r="N69" s="6"/>
    </row>
    <row r="70" customFormat="false" ht="15" hidden="false" customHeight="false" outlineLevel="0" collapsed="false">
      <c r="A70" s="7" t="s">
        <v>174</v>
      </c>
      <c r="B70" s="6" t="s">
        <v>135</v>
      </c>
      <c r="C70" s="6" t="n">
        <v>19</v>
      </c>
      <c r="D70" s="6" t="n">
        <v>68</v>
      </c>
      <c r="E70" s="6" t="n">
        <v>2</v>
      </c>
      <c r="F70" s="6" t="s">
        <v>30</v>
      </c>
      <c r="G70" s="6" t="s">
        <v>31</v>
      </c>
      <c r="H70" s="6" t="s">
        <v>25</v>
      </c>
      <c r="I70" s="6" t="s">
        <v>26</v>
      </c>
      <c r="J70" s="6" t="s">
        <v>27</v>
      </c>
      <c r="K70" s="6" t="n">
        <v>9</v>
      </c>
      <c r="L70" s="6" t="s">
        <v>183</v>
      </c>
      <c r="M70" s="6" t="s">
        <v>184</v>
      </c>
      <c r="N70" s="6"/>
    </row>
    <row r="71" customFormat="false" ht="15" hidden="false" customHeight="false" outlineLevel="0" collapsed="false">
      <c r="A71" s="7" t="s">
        <v>174</v>
      </c>
      <c r="B71" s="6" t="s">
        <v>135</v>
      </c>
      <c r="C71" s="6" t="n">
        <v>19</v>
      </c>
      <c r="D71" s="6" t="n">
        <v>77</v>
      </c>
      <c r="E71" s="6" t="n">
        <v>3</v>
      </c>
      <c r="F71" s="6" t="s">
        <v>34</v>
      </c>
      <c r="G71" s="6" t="s">
        <v>35</v>
      </c>
      <c r="H71" s="6" t="s">
        <v>36</v>
      </c>
      <c r="I71" s="6" t="s">
        <v>26</v>
      </c>
      <c r="J71" s="6" t="s">
        <v>27</v>
      </c>
      <c r="K71" s="6" t="n">
        <v>9</v>
      </c>
      <c r="L71" s="6" t="s">
        <v>185</v>
      </c>
      <c r="M71" s="6" t="s">
        <v>43</v>
      </c>
      <c r="N71" s="6"/>
    </row>
    <row r="72" customFormat="false" ht="15" hidden="false" customHeight="false" outlineLevel="0" collapsed="false">
      <c r="A72" s="7" t="s">
        <v>174</v>
      </c>
      <c r="B72" s="6" t="s">
        <v>135</v>
      </c>
      <c r="C72" s="6" t="n">
        <v>19</v>
      </c>
      <c r="D72" s="6" t="n">
        <v>59</v>
      </c>
      <c r="E72" s="6" t="n">
        <v>4</v>
      </c>
      <c r="F72" s="6" t="s">
        <v>39</v>
      </c>
      <c r="G72" s="6" t="s">
        <v>40</v>
      </c>
      <c r="H72" s="6" t="s">
        <v>41</v>
      </c>
      <c r="I72" s="6" t="s">
        <v>26</v>
      </c>
      <c r="J72" s="6" t="s">
        <v>27</v>
      </c>
      <c r="K72" s="6" t="n">
        <v>6</v>
      </c>
      <c r="L72" s="6" t="s">
        <v>45</v>
      </c>
      <c r="M72" s="6" t="s">
        <v>186</v>
      </c>
      <c r="N72" s="6"/>
    </row>
    <row r="73" customFormat="false" ht="15" hidden="false" customHeight="false" outlineLevel="0" collapsed="false">
      <c r="A73" s="7" t="s">
        <v>174</v>
      </c>
      <c r="B73" s="6" t="s">
        <v>135</v>
      </c>
      <c r="C73" s="6" t="n">
        <v>19</v>
      </c>
      <c r="D73" s="6" t="n">
        <v>77</v>
      </c>
      <c r="E73" s="6" t="n">
        <v>5</v>
      </c>
      <c r="F73" s="6" t="s">
        <v>44</v>
      </c>
      <c r="G73" s="6" t="s">
        <v>35</v>
      </c>
      <c r="H73" s="6" t="s">
        <v>25</v>
      </c>
      <c r="I73" s="6" t="s">
        <v>26</v>
      </c>
      <c r="J73" s="6" t="s">
        <v>27</v>
      </c>
      <c r="K73" s="6" t="n">
        <v>9</v>
      </c>
      <c r="L73" s="6" t="s">
        <v>187</v>
      </c>
      <c r="M73" s="6" t="s">
        <v>188</v>
      </c>
      <c r="N73" s="6"/>
    </row>
    <row r="74" customFormat="false" ht="15" hidden="false" customHeight="false" outlineLevel="0" collapsed="false">
      <c r="A74" s="7" t="s">
        <v>174</v>
      </c>
      <c r="B74" s="6" t="s">
        <v>135</v>
      </c>
      <c r="C74" s="6" t="n">
        <v>19</v>
      </c>
      <c r="D74" s="6" t="n">
        <v>77</v>
      </c>
      <c r="E74" s="6" t="n">
        <v>7</v>
      </c>
      <c r="F74" s="6" t="s">
        <v>175</v>
      </c>
      <c r="G74" s="6" t="s">
        <v>35</v>
      </c>
      <c r="H74" s="6" t="s">
        <v>41</v>
      </c>
      <c r="I74" s="6" t="s">
        <v>26</v>
      </c>
      <c r="J74" s="6" t="s">
        <v>27</v>
      </c>
      <c r="K74" s="6" t="n">
        <v>9</v>
      </c>
      <c r="L74" s="6" t="s">
        <v>51</v>
      </c>
      <c r="M74" s="6" t="s">
        <v>189</v>
      </c>
      <c r="N74" s="6"/>
    </row>
    <row r="75" customFormat="false" ht="15" hidden="false" customHeight="false" outlineLevel="0" collapsed="false">
      <c r="A75" s="7" t="s">
        <v>174</v>
      </c>
      <c r="B75" s="6" t="s">
        <v>135</v>
      </c>
      <c r="C75" s="6" t="n">
        <v>19</v>
      </c>
      <c r="D75" s="6" t="n">
        <v>68</v>
      </c>
      <c r="E75" s="6" t="n">
        <v>8</v>
      </c>
      <c r="F75" s="6" t="s">
        <v>50</v>
      </c>
      <c r="G75" s="6" t="s">
        <v>31</v>
      </c>
      <c r="H75" s="6" t="s">
        <v>36</v>
      </c>
      <c r="I75" s="6" t="s">
        <v>26</v>
      </c>
      <c r="J75" s="6" t="s">
        <v>27</v>
      </c>
      <c r="K75" s="6" t="n">
        <v>9</v>
      </c>
      <c r="L75" s="6" t="s">
        <v>190</v>
      </c>
      <c r="M75" s="6" t="s">
        <v>58</v>
      </c>
      <c r="N75" s="6"/>
    </row>
    <row r="76" customFormat="false" ht="15" hidden="false" customHeight="false" outlineLevel="0" collapsed="false">
      <c r="A76" s="7" t="s">
        <v>174</v>
      </c>
      <c r="B76" s="6" t="s">
        <v>135</v>
      </c>
      <c r="C76" s="6" t="n">
        <v>19</v>
      </c>
      <c r="D76" s="6" t="n">
        <v>68</v>
      </c>
      <c r="E76" s="6" t="n">
        <v>9</v>
      </c>
      <c r="F76" s="6" t="s">
        <v>53</v>
      </c>
      <c r="G76" s="6" t="s">
        <v>31</v>
      </c>
      <c r="H76" s="6" t="s">
        <v>41</v>
      </c>
      <c r="I76" s="6" t="s">
        <v>26</v>
      </c>
      <c r="J76" s="6" t="s">
        <v>27</v>
      </c>
      <c r="K76" s="6" t="n">
        <v>9</v>
      </c>
      <c r="L76" s="6" t="s">
        <v>60</v>
      </c>
      <c r="M76" s="6" t="s">
        <v>64</v>
      </c>
      <c r="N76" s="6"/>
    </row>
    <row r="77" customFormat="false" ht="15" hidden="false" customHeight="false" outlineLevel="0" collapsed="false">
      <c r="A77" s="7" t="s">
        <v>174</v>
      </c>
      <c r="B77" s="6" t="s">
        <v>135</v>
      </c>
      <c r="C77" s="6" t="n">
        <v>19</v>
      </c>
      <c r="D77" s="6" t="n">
        <v>77</v>
      </c>
      <c r="E77" s="6" t="n">
        <v>13</v>
      </c>
      <c r="F77" s="6" t="s">
        <v>44</v>
      </c>
      <c r="G77" s="6" t="s">
        <v>35</v>
      </c>
      <c r="H77" s="6" t="s">
        <v>25</v>
      </c>
      <c r="I77" s="6" t="s">
        <v>65</v>
      </c>
      <c r="J77" s="6" t="s">
        <v>66</v>
      </c>
      <c r="K77" s="6" t="n">
        <v>15</v>
      </c>
      <c r="L77" s="6" t="s">
        <v>191</v>
      </c>
      <c r="M77" s="6" t="s">
        <v>192</v>
      </c>
      <c r="N77" s="6"/>
    </row>
    <row r="78" customFormat="false" ht="15" hidden="false" customHeight="false" outlineLevel="0" collapsed="false">
      <c r="A78" s="7" t="s">
        <v>174</v>
      </c>
      <c r="B78" s="6" t="s">
        <v>135</v>
      </c>
      <c r="C78" s="6" t="n">
        <v>19</v>
      </c>
      <c r="D78" s="6" t="n">
        <v>59</v>
      </c>
      <c r="E78" s="6" t="n">
        <v>15</v>
      </c>
      <c r="F78" s="6" t="s">
        <v>39</v>
      </c>
      <c r="G78" s="6" t="s">
        <v>40</v>
      </c>
      <c r="H78" s="6" t="s">
        <v>41</v>
      </c>
      <c r="I78" s="6" t="s">
        <v>65</v>
      </c>
      <c r="J78" s="6" t="s">
        <v>66</v>
      </c>
      <c r="K78" s="6" t="n">
        <v>10</v>
      </c>
      <c r="L78" s="6" t="s">
        <v>193</v>
      </c>
      <c r="M78" s="6" t="s">
        <v>194</v>
      </c>
      <c r="N78" s="6"/>
    </row>
    <row r="79" customFormat="false" ht="15" hidden="false" customHeight="false" outlineLevel="0" collapsed="false">
      <c r="A79" s="7" t="s">
        <v>174</v>
      </c>
      <c r="B79" s="6" t="s">
        <v>135</v>
      </c>
      <c r="C79" s="6" t="n">
        <v>19</v>
      </c>
      <c r="D79" s="6" t="n">
        <v>68</v>
      </c>
      <c r="E79" s="6" t="n">
        <v>16</v>
      </c>
      <c r="F79" s="6" t="s">
        <v>50</v>
      </c>
      <c r="G79" s="6" t="s">
        <v>31</v>
      </c>
      <c r="H79" s="6" t="s">
        <v>36</v>
      </c>
      <c r="I79" s="6" t="s">
        <v>65</v>
      </c>
      <c r="J79" s="6" t="s">
        <v>66</v>
      </c>
      <c r="K79" s="6" t="n">
        <v>15</v>
      </c>
      <c r="L79" s="6" t="s">
        <v>195</v>
      </c>
      <c r="M79" s="6" t="s">
        <v>196</v>
      </c>
      <c r="N79" s="6"/>
    </row>
    <row r="80" customFormat="false" ht="15" hidden="false" customHeight="false" outlineLevel="0" collapsed="false">
      <c r="A80" s="7" t="s">
        <v>174</v>
      </c>
      <c r="B80" s="6" t="s">
        <v>135</v>
      </c>
      <c r="C80" s="6" t="n">
        <v>19</v>
      </c>
      <c r="D80" s="6" t="n">
        <v>68</v>
      </c>
      <c r="E80" s="6" t="n">
        <v>19</v>
      </c>
      <c r="F80" s="6" t="s">
        <v>30</v>
      </c>
      <c r="G80" s="6" t="s">
        <v>31</v>
      </c>
      <c r="H80" s="6" t="s">
        <v>25</v>
      </c>
      <c r="I80" s="6" t="s">
        <v>65</v>
      </c>
      <c r="J80" s="6" t="s">
        <v>66</v>
      </c>
      <c r="K80" s="6" t="n">
        <v>15</v>
      </c>
      <c r="L80" s="6" t="s">
        <v>197</v>
      </c>
      <c r="M80" s="6" t="s">
        <v>198</v>
      </c>
      <c r="N80" s="6"/>
    </row>
    <row r="81" customFormat="false" ht="15" hidden="false" customHeight="false" outlineLevel="0" collapsed="false">
      <c r="A81" s="7" t="s">
        <v>174</v>
      </c>
      <c r="B81" s="6" t="s">
        <v>135</v>
      </c>
      <c r="C81" s="6" t="n">
        <v>19</v>
      </c>
      <c r="D81" s="6" t="n">
        <v>68</v>
      </c>
      <c r="E81" s="6" t="n">
        <v>22</v>
      </c>
      <c r="F81" s="6" t="s">
        <v>53</v>
      </c>
      <c r="G81" s="6" t="s">
        <v>31</v>
      </c>
      <c r="H81" s="6" t="s">
        <v>41</v>
      </c>
      <c r="I81" s="6" t="s">
        <v>65</v>
      </c>
      <c r="J81" s="6" t="s">
        <v>66</v>
      </c>
      <c r="K81" s="6" t="n">
        <v>15</v>
      </c>
      <c r="L81" s="6" t="s">
        <v>199</v>
      </c>
      <c r="M81" s="6" t="s">
        <v>200</v>
      </c>
      <c r="N81" s="6"/>
    </row>
    <row r="82" customFormat="false" ht="15" hidden="false" customHeight="false" outlineLevel="0" collapsed="false">
      <c r="A82" s="7" t="s">
        <v>174</v>
      </c>
      <c r="B82" s="6" t="s">
        <v>135</v>
      </c>
      <c r="C82" s="6" t="n">
        <v>19</v>
      </c>
      <c r="D82" s="6" t="n">
        <v>77</v>
      </c>
      <c r="E82" s="6" t="n">
        <v>23</v>
      </c>
      <c r="F82" s="6" t="s">
        <v>34</v>
      </c>
      <c r="G82" s="6" t="s">
        <v>35</v>
      </c>
      <c r="H82" s="6" t="s">
        <v>36</v>
      </c>
      <c r="I82" s="6" t="s">
        <v>65</v>
      </c>
      <c r="J82" s="6" t="s">
        <v>66</v>
      </c>
      <c r="K82" s="6" t="n">
        <v>15</v>
      </c>
      <c r="L82" s="6" t="s">
        <v>201</v>
      </c>
      <c r="M82" s="6" t="s">
        <v>202</v>
      </c>
      <c r="N82" s="6"/>
    </row>
    <row r="83" customFormat="false" ht="15" hidden="false" customHeight="false" outlineLevel="0" collapsed="false">
      <c r="A83" s="7" t="s">
        <v>174</v>
      </c>
      <c r="B83" s="6" t="s">
        <v>135</v>
      </c>
      <c r="C83" s="6" t="n">
        <v>19</v>
      </c>
      <c r="D83" s="6" t="n">
        <v>77</v>
      </c>
      <c r="E83" s="6" t="n">
        <v>24</v>
      </c>
      <c r="F83" s="6" t="s">
        <v>175</v>
      </c>
      <c r="G83" s="6" t="s">
        <v>35</v>
      </c>
      <c r="H83" s="6" t="s">
        <v>41</v>
      </c>
      <c r="I83" s="6" t="s">
        <v>65</v>
      </c>
      <c r="J83" s="6" t="s">
        <v>66</v>
      </c>
      <c r="K83" s="6" t="n">
        <v>15</v>
      </c>
      <c r="L83" s="6" t="s">
        <v>203</v>
      </c>
      <c r="M83" s="6" t="s">
        <v>204</v>
      </c>
      <c r="N83" s="6"/>
    </row>
    <row r="84" customFormat="false" ht="15" hidden="false" customHeight="false" outlineLevel="0" collapsed="false">
      <c r="A84" s="7" t="s">
        <v>174</v>
      </c>
      <c r="B84" s="6" t="s">
        <v>135</v>
      </c>
      <c r="C84" s="6" t="n">
        <v>19</v>
      </c>
      <c r="D84" s="6" t="n">
        <v>77</v>
      </c>
      <c r="E84" s="6" t="n">
        <v>25</v>
      </c>
      <c r="F84" s="6" t="s">
        <v>34</v>
      </c>
      <c r="G84" s="6" t="s">
        <v>35</v>
      </c>
      <c r="H84" s="6" t="s">
        <v>36</v>
      </c>
      <c r="I84" s="6" t="s">
        <v>89</v>
      </c>
      <c r="J84" s="6" t="s">
        <v>66</v>
      </c>
      <c r="K84" s="6" t="n">
        <v>15</v>
      </c>
      <c r="L84" s="6" t="s">
        <v>205</v>
      </c>
      <c r="M84" s="6" t="s">
        <v>206</v>
      </c>
      <c r="N84" s="6"/>
    </row>
    <row r="85" customFormat="false" ht="15" hidden="false" customHeight="false" outlineLevel="0" collapsed="false">
      <c r="A85" s="7" t="s">
        <v>174</v>
      </c>
      <c r="B85" s="6" t="s">
        <v>135</v>
      </c>
      <c r="C85" s="6" t="n">
        <v>19</v>
      </c>
      <c r="D85" s="6" t="n">
        <v>68</v>
      </c>
      <c r="E85" s="6" t="n">
        <v>27</v>
      </c>
      <c r="F85" s="6" t="s">
        <v>50</v>
      </c>
      <c r="G85" s="6" t="s">
        <v>31</v>
      </c>
      <c r="H85" s="6" t="s">
        <v>36</v>
      </c>
      <c r="I85" s="6" t="s">
        <v>89</v>
      </c>
      <c r="J85" s="6" t="s">
        <v>66</v>
      </c>
      <c r="K85" s="6" t="n">
        <v>15</v>
      </c>
      <c r="L85" s="6" t="s">
        <v>207</v>
      </c>
      <c r="M85" s="6" t="s">
        <v>208</v>
      </c>
      <c r="N85" s="6"/>
    </row>
    <row r="86" customFormat="false" ht="15" hidden="false" customHeight="false" outlineLevel="0" collapsed="false">
      <c r="A86" s="7" t="s">
        <v>174</v>
      </c>
      <c r="B86" s="6" t="s">
        <v>135</v>
      </c>
      <c r="C86" s="6" t="n">
        <v>19</v>
      </c>
      <c r="D86" s="6" t="n">
        <v>77</v>
      </c>
      <c r="E86" s="6" t="n">
        <v>30</v>
      </c>
      <c r="F86" s="6" t="s">
        <v>44</v>
      </c>
      <c r="G86" s="6" t="s">
        <v>35</v>
      </c>
      <c r="H86" s="6" t="s">
        <v>25</v>
      </c>
      <c r="I86" s="6" t="s">
        <v>89</v>
      </c>
      <c r="J86" s="6" t="s">
        <v>66</v>
      </c>
      <c r="K86" s="6" t="n">
        <v>15</v>
      </c>
      <c r="L86" s="6" t="s">
        <v>209</v>
      </c>
      <c r="M86" s="6" t="s">
        <v>210</v>
      </c>
      <c r="N86" s="6"/>
    </row>
    <row r="87" customFormat="false" ht="15" hidden="false" customHeight="false" outlineLevel="0" collapsed="false">
      <c r="A87" s="7" t="s">
        <v>174</v>
      </c>
      <c r="B87" s="6" t="s">
        <v>135</v>
      </c>
      <c r="C87" s="6" t="n">
        <v>19</v>
      </c>
      <c r="D87" s="6" t="n">
        <v>68</v>
      </c>
      <c r="E87" s="6" t="n">
        <v>31</v>
      </c>
      <c r="F87" s="6" t="s">
        <v>53</v>
      </c>
      <c r="G87" s="6" t="s">
        <v>31</v>
      </c>
      <c r="H87" s="6" t="s">
        <v>41</v>
      </c>
      <c r="I87" s="6" t="s">
        <v>89</v>
      </c>
      <c r="J87" s="6" t="s">
        <v>66</v>
      </c>
      <c r="K87" s="6" t="n">
        <v>10</v>
      </c>
      <c r="L87" s="6" t="s">
        <v>211</v>
      </c>
      <c r="M87" s="6" t="s">
        <v>212</v>
      </c>
      <c r="N87" s="6"/>
    </row>
    <row r="88" customFormat="false" ht="15" hidden="false" customHeight="false" outlineLevel="0" collapsed="false">
      <c r="A88" s="7" t="s">
        <v>174</v>
      </c>
      <c r="B88" s="6" t="s">
        <v>135</v>
      </c>
      <c r="C88" s="6" t="n">
        <v>19</v>
      </c>
      <c r="D88" s="6" t="n">
        <v>77</v>
      </c>
      <c r="E88" s="6" t="n">
        <v>34</v>
      </c>
      <c r="F88" s="6" t="s">
        <v>175</v>
      </c>
      <c r="G88" s="6" t="s">
        <v>35</v>
      </c>
      <c r="H88" s="6" t="s">
        <v>41</v>
      </c>
      <c r="I88" s="6" t="s">
        <v>89</v>
      </c>
      <c r="J88" s="6" t="s">
        <v>66</v>
      </c>
      <c r="K88" s="6" t="n">
        <v>15</v>
      </c>
      <c r="L88" s="6" t="s">
        <v>213</v>
      </c>
      <c r="M88" s="6" t="s">
        <v>214</v>
      </c>
      <c r="N88" s="6"/>
    </row>
    <row r="89" customFormat="false" ht="15" hidden="false" customHeight="false" outlineLevel="0" collapsed="false">
      <c r="A89" s="7" t="s">
        <v>174</v>
      </c>
      <c r="B89" s="6" t="s">
        <v>135</v>
      </c>
      <c r="C89" s="6" t="n">
        <v>19</v>
      </c>
      <c r="D89" s="6" t="n">
        <v>68</v>
      </c>
      <c r="E89" s="6" t="n">
        <v>35</v>
      </c>
      <c r="F89" s="6" t="s">
        <v>30</v>
      </c>
      <c r="G89" s="6" t="s">
        <v>31</v>
      </c>
      <c r="H89" s="6" t="s">
        <v>25</v>
      </c>
      <c r="I89" s="6" t="s">
        <v>89</v>
      </c>
      <c r="J89" s="6" t="s">
        <v>66</v>
      </c>
      <c r="K89" s="6" t="n">
        <v>15</v>
      </c>
      <c r="L89" s="6" t="s">
        <v>215</v>
      </c>
      <c r="M89" s="6" t="s">
        <v>216</v>
      </c>
      <c r="N89" s="6"/>
    </row>
    <row r="90" customFormat="false" ht="15" hidden="false" customHeight="false" outlineLevel="0" collapsed="false">
      <c r="A90" s="7" t="s">
        <v>174</v>
      </c>
      <c r="B90" s="6" t="s">
        <v>135</v>
      </c>
      <c r="C90" s="6" t="n">
        <v>19</v>
      </c>
      <c r="D90" s="6" t="n">
        <v>59</v>
      </c>
      <c r="E90" s="6" t="n">
        <v>36</v>
      </c>
      <c r="F90" s="6" t="s">
        <v>39</v>
      </c>
      <c r="G90" s="6" t="s">
        <v>40</v>
      </c>
      <c r="H90" s="6" t="s">
        <v>41</v>
      </c>
      <c r="I90" s="6" t="s">
        <v>89</v>
      </c>
      <c r="J90" s="6" t="s">
        <v>66</v>
      </c>
      <c r="K90" s="6" t="n">
        <v>10</v>
      </c>
      <c r="L90" s="6" t="s">
        <v>217</v>
      </c>
      <c r="M90" s="6" t="s">
        <v>218</v>
      </c>
      <c r="N90" s="6"/>
    </row>
    <row r="91" customFormat="false" ht="15" hidden="false" customHeight="false" outlineLevel="0" collapsed="false">
      <c r="A91" s="7" t="s">
        <v>174</v>
      </c>
      <c r="B91" s="6" t="s">
        <v>135</v>
      </c>
      <c r="C91" s="6" t="n">
        <v>19</v>
      </c>
      <c r="D91" s="6" t="n">
        <v>59</v>
      </c>
      <c r="E91" s="6" t="n">
        <v>37</v>
      </c>
      <c r="F91" s="6" t="s">
        <v>39</v>
      </c>
      <c r="G91" s="6" t="s">
        <v>40</v>
      </c>
      <c r="H91" s="6" t="s">
        <v>41</v>
      </c>
      <c r="I91" s="6" t="s">
        <v>112</v>
      </c>
      <c r="J91" s="6" t="s">
        <v>66</v>
      </c>
      <c r="K91" s="6" t="n">
        <v>10</v>
      </c>
      <c r="L91" s="6" t="s">
        <v>219</v>
      </c>
      <c r="M91" s="6" t="s">
        <v>220</v>
      </c>
      <c r="N91" s="6"/>
    </row>
    <row r="92" customFormat="false" ht="15" hidden="false" customHeight="false" outlineLevel="0" collapsed="false">
      <c r="A92" s="7" t="s">
        <v>174</v>
      </c>
      <c r="B92" s="6" t="s">
        <v>135</v>
      </c>
      <c r="C92" s="6" t="n">
        <v>19</v>
      </c>
      <c r="D92" s="6" t="n">
        <v>77</v>
      </c>
      <c r="E92" s="6" t="n">
        <v>38</v>
      </c>
      <c r="F92" s="6" t="s">
        <v>34</v>
      </c>
      <c r="G92" s="6" t="s">
        <v>35</v>
      </c>
      <c r="H92" s="6" t="s">
        <v>36</v>
      </c>
      <c r="I92" s="6" t="s">
        <v>112</v>
      </c>
      <c r="J92" s="6" t="s">
        <v>66</v>
      </c>
      <c r="K92" s="6" t="n">
        <v>15</v>
      </c>
      <c r="L92" s="6" t="s">
        <v>221</v>
      </c>
      <c r="M92" s="6" t="s">
        <v>222</v>
      </c>
      <c r="N92" s="6"/>
    </row>
    <row r="93" customFormat="false" ht="15" hidden="false" customHeight="false" outlineLevel="0" collapsed="false">
      <c r="A93" s="7" t="s">
        <v>174</v>
      </c>
      <c r="B93" s="6" t="s">
        <v>135</v>
      </c>
      <c r="C93" s="6" t="n">
        <v>19</v>
      </c>
      <c r="D93" s="6" t="n">
        <v>68</v>
      </c>
      <c r="E93" s="6" t="n">
        <v>39</v>
      </c>
      <c r="F93" s="6" t="s">
        <v>30</v>
      </c>
      <c r="G93" s="6" t="s">
        <v>31</v>
      </c>
      <c r="H93" s="6" t="s">
        <v>25</v>
      </c>
      <c r="I93" s="6" t="s">
        <v>112</v>
      </c>
      <c r="J93" s="6" t="s">
        <v>66</v>
      </c>
      <c r="K93" s="6" t="n">
        <v>15</v>
      </c>
      <c r="L93" s="6" t="s">
        <v>223</v>
      </c>
      <c r="M93" s="6" t="s">
        <v>224</v>
      </c>
      <c r="N93" s="6"/>
    </row>
    <row r="94" customFormat="false" ht="15" hidden="false" customHeight="false" outlineLevel="0" collapsed="false">
      <c r="A94" s="7" t="s">
        <v>174</v>
      </c>
      <c r="B94" s="6" t="s">
        <v>135</v>
      </c>
      <c r="C94" s="6" t="n">
        <v>19</v>
      </c>
      <c r="D94" s="6" t="n">
        <v>68</v>
      </c>
      <c r="E94" s="6" t="n">
        <v>40</v>
      </c>
      <c r="F94" s="6" t="s">
        <v>50</v>
      </c>
      <c r="G94" s="6" t="s">
        <v>31</v>
      </c>
      <c r="H94" s="6" t="s">
        <v>36</v>
      </c>
      <c r="I94" s="6" t="s">
        <v>112</v>
      </c>
      <c r="J94" s="6" t="s">
        <v>66</v>
      </c>
      <c r="K94" s="6" t="n">
        <v>15</v>
      </c>
      <c r="L94" s="6" t="s">
        <v>225</v>
      </c>
      <c r="M94" s="6" t="s">
        <v>226</v>
      </c>
      <c r="N94" s="6"/>
    </row>
    <row r="95" customFormat="false" ht="15" hidden="false" customHeight="false" outlineLevel="0" collapsed="false">
      <c r="A95" s="7" t="s">
        <v>174</v>
      </c>
      <c r="B95" s="6" t="s">
        <v>135</v>
      </c>
      <c r="C95" s="6" t="n">
        <v>19</v>
      </c>
      <c r="D95" s="6" t="n">
        <v>77</v>
      </c>
      <c r="E95" s="6" t="n">
        <v>41</v>
      </c>
      <c r="F95" s="6" t="s">
        <v>175</v>
      </c>
      <c r="G95" s="6" t="s">
        <v>35</v>
      </c>
      <c r="H95" s="6" t="s">
        <v>41</v>
      </c>
      <c r="I95" s="6" t="s">
        <v>112</v>
      </c>
      <c r="J95" s="6" t="s">
        <v>66</v>
      </c>
      <c r="K95" s="6" t="n">
        <v>15</v>
      </c>
      <c r="L95" s="6" t="s">
        <v>227</v>
      </c>
      <c r="M95" s="6" t="s">
        <v>228</v>
      </c>
      <c r="N95" s="6"/>
    </row>
    <row r="96" customFormat="false" ht="15" hidden="false" customHeight="false" outlineLevel="0" collapsed="false">
      <c r="A96" s="7" t="s">
        <v>174</v>
      </c>
      <c r="B96" s="6" t="s">
        <v>135</v>
      </c>
      <c r="C96" s="6" t="n">
        <v>19</v>
      </c>
      <c r="D96" s="6" t="n">
        <v>77</v>
      </c>
      <c r="E96" s="6" t="n">
        <v>42</v>
      </c>
      <c r="F96" s="6" t="s">
        <v>44</v>
      </c>
      <c r="G96" s="6" t="s">
        <v>35</v>
      </c>
      <c r="H96" s="6" t="s">
        <v>25</v>
      </c>
      <c r="I96" s="6" t="s">
        <v>112</v>
      </c>
      <c r="J96" s="6" t="s">
        <v>66</v>
      </c>
      <c r="K96" s="6" t="n">
        <v>15</v>
      </c>
      <c r="L96" s="6" t="s">
        <v>229</v>
      </c>
      <c r="M96" s="6" t="s">
        <v>230</v>
      </c>
      <c r="N96" s="6"/>
    </row>
    <row r="97" customFormat="false" ht="15" hidden="false" customHeight="false" outlineLevel="0" collapsed="false">
      <c r="A97" s="7" t="s">
        <v>174</v>
      </c>
      <c r="B97" s="6" t="s">
        <v>135</v>
      </c>
      <c r="C97" s="6" t="n">
        <v>19</v>
      </c>
      <c r="D97" s="6" t="n">
        <v>68</v>
      </c>
      <c r="E97" s="6" t="n">
        <v>43</v>
      </c>
      <c r="F97" s="6" t="s">
        <v>53</v>
      </c>
      <c r="G97" s="6" t="s">
        <v>31</v>
      </c>
      <c r="H97" s="6" t="s">
        <v>41</v>
      </c>
      <c r="I97" s="6" t="s">
        <v>112</v>
      </c>
      <c r="J97" s="6" t="s">
        <v>66</v>
      </c>
      <c r="K97" s="6" t="n">
        <v>10</v>
      </c>
      <c r="L97" s="6" t="s">
        <v>231</v>
      </c>
      <c r="M97" s="6" t="s">
        <v>232</v>
      </c>
      <c r="N97" s="6"/>
    </row>
    <row r="98" customFormat="false" ht="15" hidden="false" customHeight="false" outlineLevel="0" collapsed="false">
      <c r="A98" s="7" t="s">
        <v>174</v>
      </c>
      <c r="B98" s="6" t="s">
        <v>233</v>
      </c>
      <c r="C98" s="6" t="n">
        <v>26</v>
      </c>
      <c r="D98" s="6" t="n">
        <v>53</v>
      </c>
      <c r="E98" s="6" t="n">
        <v>1</v>
      </c>
      <c r="F98" s="6" t="s">
        <v>23</v>
      </c>
      <c r="G98" s="6" t="s">
        <v>24</v>
      </c>
      <c r="H98" s="6" t="s">
        <v>25</v>
      </c>
      <c r="I98" s="6" t="s">
        <v>26</v>
      </c>
      <c r="J98" s="6" t="s">
        <v>27</v>
      </c>
      <c r="K98" s="6" t="n">
        <v>9</v>
      </c>
      <c r="L98" s="6" t="s">
        <v>28</v>
      </c>
      <c r="M98" s="6" t="s">
        <v>33</v>
      </c>
      <c r="N98" s="6"/>
    </row>
    <row r="99" customFormat="false" ht="15" hidden="false" customHeight="false" outlineLevel="0" collapsed="false">
      <c r="A99" s="7" t="s">
        <v>174</v>
      </c>
      <c r="B99" s="6" t="s">
        <v>233</v>
      </c>
      <c r="C99" s="6" t="n">
        <v>26</v>
      </c>
      <c r="D99" s="6" t="n">
        <v>75</v>
      </c>
      <c r="E99" s="6" t="n">
        <v>2</v>
      </c>
      <c r="F99" s="6" t="s">
        <v>30</v>
      </c>
      <c r="G99" s="6" t="s">
        <v>31</v>
      </c>
      <c r="H99" s="6" t="s">
        <v>25</v>
      </c>
      <c r="I99" s="6" t="s">
        <v>26</v>
      </c>
      <c r="J99" s="6" t="s">
        <v>27</v>
      </c>
      <c r="K99" s="6" t="n">
        <v>9</v>
      </c>
      <c r="L99" s="6" t="s">
        <v>37</v>
      </c>
      <c r="M99" s="6" t="s">
        <v>38</v>
      </c>
      <c r="N99" s="6"/>
    </row>
    <row r="100" customFormat="false" ht="15" hidden="false" customHeight="false" outlineLevel="0" collapsed="false">
      <c r="A100" s="7" t="s">
        <v>174</v>
      </c>
      <c r="B100" s="6" t="s">
        <v>233</v>
      </c>
      <c r="C100" s="6" t="n">
        <v>26</v>
      </c>
      <c r="D100" s="6" t="n">
        <v>84</v>
      </c>
      <c r="E100" s="6" t="n">
        <v>3</v>
      </c>
      <c r="F100" s="6" t="s">
        <v>34</v>
      </c>
      <c r="G100" s="6" t="s">
        <v>35</v>
      </c>
      <c r="H100" s="6" t="s">
        <v>36</v>
      </c>
      <c r="I100" s="6" t="s">
        <v>26</v>
      </c>
      <c r="J100" s="6" t="s">
        <v>27</v>
      </c>
      <c r="K100" s="6" t="n">
        <v>9</v>
      </c>
      <c r="L100" s="6" t="s">
        <v>42</v>
      </c>
      <c r="M100" s="6" t="s">
        <v>234</v>
      </c>
      <c r="N100" s="6"/>
    </row>
    <row r="101" customFormat="false" ht="15" hidden="false" customHeight="false" outlineLevel="0" collapsed="false">
      <c r="A101" s="7" t="s">
        <v>174</v>
      </c>
      <c r="B101" s="6" t="s">
        <v>233</v>
      </c>
      <c r="C101" s="6" t="n">
        <v>26</v>
      </c>
      <c r="D101" s="6" t="n">
        <v>66</v>
      </c>
      <c r="E101" s="6" t="n">
        <v>4</v>
      </c>
      <c r="F101" s="6" t="s">
        <v>39</v>
      </c>
      <c r="G101" s="6" t="s">
        <v>40</v>
      </c>
      <c r="H101" s="6" t="s">
        <v>41</v>
      </c>
      <c r="I101" s="6" t="s">
        <v>26</v>
      </c>
      <c r="J101" s="6" t="s">
        <v>27</v>
      </c>
      <c r="K101" s="6" t="n">
        <v>9</v>
      </c>
      <c r="L101" s="6" t="s">
        <v>235</v>
      </c>
      <c r="M101" s="6" t="s">
        <v>49</v>
      </c>
      <c r="N101" s="6"/>
    </row>
    <row r="102" customFormat="false" ht="15" hidden="false" customHeight="false" outlineLevel="0" collapsed="false">
      <c r="A102" s="7" t="s">
        <v>174</v>
      </c>
      <c r="B102" s="6" t="s">
        <v>233</v>
      </c>
      <c r="C102" s="6" t="n">
        <v>26</v>
      </c>
      <c r="D102" s="6" t="n">
        <v>84</v>
      </c>
      <c r="E102" s="6" t="n">
        <v>5</v>
      </c>
      <c r="F102" s="6" t="s">
        <v>44</v>
      </c>
      <c r="G102" s="6" t="s">
        <v>35</v>
      </c>
      <c r="H102" s="6" t="s">
        <v>25</v>
      </c>
      <c r="I102" s="6" t="s">
        <v>26</v>
      </c>
      <c r="J102" s="6" t="s">
        <v>27</v>
      </c>
      <c r="K102" s="6" t="n">
        <v>9</v>
      </c>
      <c r="L102" s="6" t="s">
        <v>176</v>
      </c>
      <c r="M102" s="6" t="s">
        <v>138</v>
      </c>
      <c r="N102" s="6"/>
    </row>
    <row r="103" customFormat="false" ht="15" hidden="false" customHeight="false" outlineLevel="0" collapsed="false">
      <c r="A103" s="7" t="s">
        <v>174</v>
      </c>
      <c r="B103" s="6" t="s">
        <v>233</v>
      </c>
      <c r="C103" s="6" t="n">
        <v>26</v>
      </c>
      <c r="D103" s="6" t="n">
        <v>53</v>
      </c>
      <c r="E103" s="6" t="n">
        <v>6</v>
      </c>
      <c r="F103" s="6" t="s">
        <v>47</v>
      </c>
      <c r="G103" s="6" t="s">
        <v>24</v>
      </c>
      <c r="H103" s="6" t="s">
        <v>36</v>
      </c>
      <c r="I103" s="6" t="s">
        <v>26</v>
      </c>
      <c r="J103" s="6" t="s">
        <v>27</v>
      </c>
      <c r="K103" s="6" t="n">
        <v>9</v>
      </c>
      <c r="L103" s="6" t="s">
        <v>51</v>
      </c>
      <c r="M103" s="6" t="s">
        <v>189</v>
      </c>
      <c r="N103" s="6"/>
    </row>
    <row r="104" customFormat="false" ht="15" hidden="false" customHeight="false" outlineLevel="0" collapsed="false">
      <c r="A104" s="7" t="s">
        <v>174</v>
      </c>
      <c r="B104" s="6" t="s">
        <v>233</v>
      </c>
      <c r="C104" s="6" t="n">
        <v>26</v>
      </c>
      <c r="D104" s="6" t="n">
        <v>75</v>
      </c>
      <c r="E104" s="6" t="n">
        <v>8</v>
      </c>
      <c r="F104" s="6" t="s">
        <v>50</v>
      </c>
      <c r="G104" s="6" t="s">
        <v>31</v>
      </c>
      <c r="H104" s="6" t="s">
        <v>36</v>
      </c>
      <c r="I104" s="6" t="s">
        <v>26</v>
      </c>
      <c r="J104" s="6" t="s">
        <v>27</v>
      </c>
      <c r="K104" s="6" t="n">
        <v>9</v>
      </c>
      <c r="L104" s="6" t="s">
        <v>60</v>
      </c>
      <c r="M104" s="6" t="s">
        <v>64</v>
      </c>
      <c r="N104" s="6"/>
    </row>
    <row r="105" customFormat="false" ht="15" hidden="false" customHeight="false" outlineLevel="0" collapsed="false">
      <c r="A105" s="7" t="s">
        <v>174</v>
      </c>
      <c r="B105" s="6" t="s">
        <v>233</v>
      </c>
      <c r="C105" s="6" t="n">
        <v>26</v>
      </c>
      <c r="D105" s="6" t="n">
        <v>75</v>
      </c>
      <c r="E105" s="6" t="n">
        <v>9</v>
      </c>
      <c r="F105" s="6" t="s">
        <v>53</v>
      </c>
      <c r="G105" s="6" t="s">
        <v>31</v>
      </c>
      <c r="H105" s="6" t="s">
        <v>41</v>
      </c>
      <c r="I105" s="6" t="s">
        <v>26</v>
      </c>
      <c r="J105" s="6" t="s">
        <v>27</v>
      </c>
      <c r="K105" s="6" t="n">
        <v>9</v>
      </c>
      <c r="L105" s="6" t="s">
        <v>67</v>
      </c>
      <c r="M105" s="6" t="s">
        <v>236</v>
      </c>
      <c r="N105" s="6"/>
    </row>
    <row r="106" customFormat="false" ht="15" hidden="false" customHeight="false" outlineLevel="0" collapsed="false">
      <c r="A106" s="7" t="s">
        <v>174</v>
      </c>
      <c r="B106" s="6" t="s">
        <v>233</v>
      </c>
      <c r="C106" s="6" t="n">
        <v>26</v>
      </c>
      <c r="D106" s="6" t="n">
        <v>66</v>
      </c>
      <c r="E106" s="6" t="n">
        <v>10</v>
      </c>
      <c r="F106" s="6" t="s">
        <v>56</v>
      </c>
      <c r="G106" s="6" t="s">
        <v>40</v>
      </c>
      <c r="H106" s="6" t="s">
        <v>36</v>
      </c>
      <c r="I106" s="6" t="s">
        <v>26</v>
      </c>
      <c r="J106" s="6" t="s">
        <v>27</v>
      </c>
      <c r="K106" s="6" t="n">
        <v>9</v>
      </c>
      <c r="L106" s="6" t="s">
        <v>237</v>
      </c>
      <c r="M106" s="6" t="s">
        <v>143</v>
      </c>
      <c r="N106" s="6"/>
    </row>
    <row r="107" customFormat="false" ht="15" hidden="false" customHeight="false" outlineLevel="0" collapsed="false">
      <c r="A107" s="7" t="s">
        <v>174</v>
      </c>
      <c r="B107" s="6" t="s">
        <v>233</v>
      </c>
      <c r="C107" s="6" t="n">
        <v>26</v>
      </c>
      <c r="D107" s="6" t="n">
        <v>66</v>
      </c>
      <c r="E107" s="6" t="n">
        <v>11</v>
      </c>
      <c r="F107" s="6" t="s">
        <v>59</v>
      </c>
      <c r="G107" s="6" t="s">
        <v>40</v>
      </c>
      <c r="H107" s="6" t="s">
        <v>25</v>
      </c>
      <c r="I107" s="6" t="s">
        <v>26</v>
      </c>
      <c r="J107" s="6" t="s">
        <v>27</v>
      </c>
      <c r="K107" s="6" t="n">
        <v>9</v>
      </c>
      <c r="L107" s="6" t="s">
        <v>191</v>
      </c>
      <c r="M107" s="6" t="s">
        <v>238</v>
      </c>
      <c r="N107" s="6"/>
    </row>
    <row r="108" customFormat="false" ht="15" hidden="false" customHeight="false" outlineLevel="0" collapsed="false">
      <c r="A108" s="7" t="s">
        <v>174</v>
      </c>
      <c r="B108" s="6" t="s">
        <v>233</v>
      </c>
      <c r="C108" s="6" t="n">
        <v>26</v>
      </c>
      <c r="D108" s="6" t="n">
        <v>53</v>
      </c>
      <c r="E108" s="6" t="n">
        <v>12</v>
      </c>
      <c r="F108" s="6" t="s">
        <v>62</v>
      </c>
      <c r="G108" s="6" t="s">
        <v>24</v>
      </c>
      <c r="H108" s="6" t="s">
        <v>41</v>
      </c>
      <c r="I108" s="6" t="s">
        <v>26</v>
      </c>
      <c r="J108" s="6" t="s">
        <v>27</v>
      </c>
      <c r="K108" s="6" t="n">
        <v>9</v>
      </c>
      <c r="L108" s="6" t="s">
        <v>239</v>
      </c>
      <c r="M108" s="6" t="s">
        <v>240</v>
      </c>
      <c r="N108" s="6"/>
    </row>
    <row r="109" customFormat="false" ht="15" hidden="false" customHeight="false" outlineLevel="0" collapsed="false">
      <c r="A109" s="7" t="s">
        <v>174</v>
      </c>
      <c r="B109" s="6" t="s">
        <v>233</v>
      </c>
      <c r="C109" s="6" t="n">
        <v>26</v>
      </c>
      <c r="D109" s="6" t="n">
        <v>84</v>
      </c>
      <c r="E109" s="6" t="n">
        <v>13</v>
      </c>
      <c r="F109" s="6" t="s">
        <v>44</v>
      </c>
      <c r="G109" s="6" t="s">
        <v>35</v>
      </c>
      <c r="H109" s="6" t="s">
        <v>25</v>
      </c>
      <c r="I109" s="6" t="s">
        <v>65</v>
      </c>
      <c r="J109" s="6" t="s">
        <v>66</v>
      </c>
      <c r="K109" s="6" t="n">
        <v>15</v>
      </c>
      <c r="L109" s="6" t="s">
        <v>241</v>
      </c>
      <c r="M109" s="6" t="s">
        <v>77</v>
      </c>
      <c r="N109" s="6"/>
    </row>
    <row r="110" customFormat="false" ht="15" hidden="false" customHeight="false" outlineLevel="0" collapsed="false">
      <c r="A110" s="7" t="s">
        <v>174</v>
      </c>
      <c r="B110" s="6" t="s">
        <v>233</v>
      </c>
      <c r="C110" s="6" t="n">
        <v>26</v>
      </c>
      <c r="D110" s="6" t="n">
        <v>53</v>
      </c>
      <c r="E110" s="6" t="n">
        <v>14</v>
      </c>
      <c r="F110" s="6" t="s">
        <v>62</v>
      </c>
      <c r="G110" s="6" t="s">
        <v>24</v>
      </c>
      <c r="H110" s="6" t="s">
        <v>41</v>
      </c>
      <c r="I110" s="6" t="s">
        <v>65</v>
      </c>
      <c r="J110" s="6" t="s">
        <v>66</v>
      </c>
      <c r="K110" s="6" t="n">
        <v>15</v>
      </c>
      <c r="L110" s="6" t="s">
        <v>242</v>
      </c>
      <c r="M110" s="6" t="s">
        <v>81</v>
      </c>
      <c r="N110" s="6"/>
    </row>
    <row r="111" customFormat="false" ht="15" hidden="false" customHeight="false" outlineLevel="0" collapsed="false">
      <c r="A111" s="7" t="s">
        <v>174</v>
      </c>
      <c r="B111" s="6" t="s">
        <v>233</v>
      </c>
      <c r="C111" s="6" t="n">
        <v>26</v>
      </c>
      <c r="D111" s="6" t="n">
        <v>66</v>
      </c>
      <c r="E111" s="6" t="n">
        <v>15</v>
      </c>
      <c r="F111" s="6" t="s">
        <v>39</v>
      </c>
      <c r="G111" s="6" t="s">
        <v>40</v>
      </c>
      <c r="H111" s="6" t="s">
        <v>41</v>
      </c>
      <c r="I111" s="6" t="s">
        <v>65</v>
      </c>
      <c r="J111" s="6" t="s">
        <v>66</v>
      </c>
      <c r="K111" s="6" t="n">
        <v>15</v>
      </c>
      <c r="L111" s="6" t="s">
        <v>243</v>
      </c>
      <c r="M111" s="6" t="s">
        <v>85</v>
      </c>
      <c r="N111" s="6"/>
    </row>
    <row r="112" customFormat="false" ht="15" hidden="false" customHeight="false" outlineLevel="0" collapsed="false">
      <c r="A112" s="7" t="s">
        <v>174</v>
      </c>
      <c r="B112" s="6" t="s">
        <v>233</v>
      </c>
      <c r="C112" s="6" t="n">
        <v>26</v>
      </c>
      <c r="D112" s="6" t="n">
        <v>75</v>
      </c>
      <c r="E112" s="6" t="n">
        <v>16</v>
      </c>
      <c r="F112" s="6" t="s">
        <v>50</v>
      </c>
      <c r="G112" s="6" t="s">
        <v>31</v>
      </c>
      <c r="H112" s="6" t="s">
        <v>36</v>
      </c>
      <c r="I112" s="6" t="s">
        <v>65</v>
      </c>
      <c r="J112" s="6" t="s">
        <v>66</v>
      </c>
      <c r="K112" s="6" t="n">
        <v>15</v>
      </c>
      <c r="L112" s="6" t="s">
        <v>244</v>
      </c>
      <c r="M112" s="6" t="s">
        <v>245</v>
      </c>
      <c r="N112" s="6"/>
    </row>
    <row r="113" customFormat="false" ht="15" hidden="false" customHeight="false" outlineLevel="0" collapsed="false">
      <c r="A113" s="7" t="s">
        <v>174</v>
      </c>
      <c r="B113" s="6" t="s">
        <v>233</v>
      </c>
      <c r="C113" s="6" t="n">
        <v>26</v>
      </c>
      <c r="D113" s="6" t="n">
        <v>66</v>
      </c>
      <c r="E113" s="6" t="n">
        <v>17</v>
      </c>
      <c r="F113" s="6" t="s">
        <v>59</v>
      </c>
      <c r="G113" s="6" t="s">
        <v>40</v>
      </c>
      <c r="H113" s="6" t="s">
        <v>25</v>
      </c>
      <c r="I113" s="6" t="s">
        <v>65</v>
      </c>
      <c r="J113" s="6" t="s">
        <v>66</v>
      </c>
      <c r="K113" s="6" t="n">
        <v>15</v>
      </c>
      <c r="L113" s="6" t="s">
        <v>246</v>
      </c>
      <c r="M113" s="6" t="s">
        <v>247</v>
      </c>
      <c r="N113" s="6"/>
    </row>
    <row r="114" customFormat="false" ht="15" hidden="false" customHeight="false" outlineLevel="0" collapsed="false">
      <c r="A114" s="7" t="s">
        <v>174</v>
      </c>
      <c r="B114" s="6" t="s">
        <v>233</v>
      </c>
      <c r="C114" s="6" t="n">
        <v>26</v>
      </c>
      <c r="D114" s="6" t="n">
        <v>53</v>
      </c>
      <c r="E114" s="6" t="n">
        <v>18</v>
      </c>
      <c r="F114" s="6" t="s">
        <v>23</v>
      </c>
      <c r="G114" s="6" t="s">
        <v>24</v>
      </c>
      <c r="H114" s="6" t="s">
        <v>25</v>
      </c>
      <c r="I114" s="6" t="s">
        <v>65</v>
      </c>
      <c r="J114" s="6" t="s">
        <v>66</v>
      </c>
      <c r="K114" s="6" t="n">
        <v>15</v>
      </c>
      <c r="L114" s="6" t="s">
        <v>248</v>
      </c>
      <c r="M114" s="6" t="s">
        <v>249</v>
      </c>
      <c r="N114" s="6"/>
    </row>
    <row r="115" customFormat="false" ht="15" hidden="false" customHeight="false" outlineLevel="0" collapsed="false">
      <c r="A115" s="7" t="s">
        <v>174</v>
      </c>
      <c r="B115" s="6" t="s">
        <v>233</v>
      </c>
      <c r="C115" s="6" t="n">
        <v>26</v>
      </c>
      <c r="D115" s="6" t="n">
        <v>75</v>
      </c>
      <c r="E115" s="6" t="n">
        <v>19</v>
      </c>
      <c r="F115" s="6" t="s">
        <v>30</v>
      </c>
      <c r="G115" s="6" t="s">
        <v>31</v>
      </c>
      <c r="H115" s="6" t="s">
        <v>25</v>
      </c>
      <c r="I115" s="6" t="s">
        <v>65</v>
      </c>
      <c r="J115" s="6" t="s">
        <v>66</v>
      </c>
      <c r="K115" s="6" t="n">
        <v>15</v>
      </c>
      <c r="L115" s="6" t="s">
        <v>250</v>
      </c>
      <c r="M115" s="6" t="s">
        <v>94</v>
      </c>
      <c r="N115" s="6"/>
    </row>
    <row r="116" customFormat="false" ht="15" hidden="false" customHeight="false" outlineLevel="0" collapsed="false">
      <c r="A116" s="7" t="s">
        <v>174</v>
      </c>
      <c r="B116" s="6" t="s">
        <v>233</v>
      </c>
      <c r="C116" s="6" t="n">
        <v>26</v>
      </c>
      <c r="D116" s="6" t="n">
        <v>53</v>
      </c>
      <c r="E116" s="6" t="n">
        <v>20</v>
      </c>
      <c r="F116" s="6" t="s">
        <v>47</v>
      </c>
      <c r="G116" s="6" t="s">
        <v>24</v>
      </c>
      <c r="H116" s="6" t="s">
        <v>36</v>
      </c>
      <c r="I116" s="6" t="s">
        <v>65</v>
      </c>
      <c r="J116" s="6" t="s">
        <v>66</v>
      </c>
      <c r="K116" s="6" t="n">
        <v>15</v>
      </c>
      <c r="L116" s="6" t="s">
        <v>251</v>
      </c>
      <c r="M116" s="6" t="s">
        <v>252</v>
      </c>
      <c r="N116" s="6"/>
    </row>
    <row r="117" customFormat="false" ht="15" hidden="false" customHeight="false" outlineLevel="0" collapsed="false">
      <c r="A117" s="7" t="s">
        <v>174</v>
      </c>
      <c r="B117" s="6" t="s">
        <v>233</v>
      </c>
      <c r="C117" s="6" t="n">
        <v>26</v>
      </c>
      <c r="D117" s="6" t="n">
        <v>66</v>
      </c>
      <c r="E117" s="6" t="n">
        <v>21</v>
      </c>
      <c r="F117" s="6" t="s">
        <v>56</v>
      </c>
      <c r="G117" s="6" t="s">
        <v>40</v>
      </c>
      <c r="H117" s="6" t="s">
        <v>36</v>
      </c>
      <c r="I117" s="6" t="s">
        <v>65</v>
      </c>
      <c r="J117" s="6" t="s">
        <v>66</v>
      </c>
      <c r="K117" s="6" t="n">
        <v>15</v>
      </c>
      <c r="L117" s="6" t="s">
        <v>253</v>
      </c>
      <c r="M117" s="6" t="s">
        <v>254</v>
      </c>
      <c r="N117" s="6"/>
    </row>
    <row r="118" customFormat="false" ht="15" hidden="false" customHeight="false" outlineLevel="0" collapsed="false">
      <c r="A118" s="7" t="s">
        <v>174</v>
      </c>
      <c r="B118" s="6" t="s">
        <v>233</v>
      </c>
      <c r="C118" s="6" t="n">
        <v>26</v>
      </c>
      <c r="D118" s="6" t="n">
        <v>75</v>
      </c>
      <c r="E118" s="6" t="n">
        <v>22</v>
      </c>
      <c r="F118" s="6" t="s">
        <v>53</v>
      </c>
      <c r="G118" s="6" t="s">
        <v>31</v>
      </c>
      <c r="H118" s="6" t="s">
        <v>41</v>
      </c>
      <c r="I118" s="6" t="s">
        <v>65</v>
      </c>
      <c r="J118" s="6" t="s">
        <v>66</v>
      </c>
      <c r="K118" s="6" t="n">
        <v>15</v>
      </c>
      <c r="L118" s="6" t="s">
        <v>255</v>
      </c>
      <c r="M118" s="6" t="s">
        <v>103</v>
      </c>
      <c r="N118" s="6"/>
    </row>
    <row r="119" customFormat="false" ht="15" hidden="false" customHeight="false" outlineLevel="0" collapsed="false">
      <c r="A119" s="7" t="s">
        <v>174</v>
      </c>
      <c r="B119" s="6" t="s">
        <v>233</v>
      </c>
      <c r="C119" s="6" t="n">
        <v>26</v>
      </c>
      <c r="D119" s="6" t="n">
        <v>84</v>
      </c>
      <c r="E119" s="6" t="n">
        <v>23</v>
      </c>
      <c r="F119" s="6" t="s">
        <v>34</v>
      </c>
      <c r="G119" s="6" t="s">
        <v>35</v>
      </c>
      <c r="H119" s="6" t="s">
        <v>36</v>
      </c>
      <c r="I119" s="6" t="s">
        <v>65</v>
      </c>
      <c r="J119" s="6" t="s">
        <v>66</v>
      </c>
      <c r="K119" s="6" t="n">
        <v>15</v>
      </c>
      <c r="L119" s="6" t="s">
        <v>104</v>
      </c>
      <c r="M119" s="6" t="s">
        <v>107</v>
      </c>
      <c r="N119" s="6"/>
    </row>
    <row r="120" customFormat="false" ht="15" hidden="false" customHeight="false" outlineLevel="0" collapsed="false">
      <c r="A120" s="7" t="s">
        <v>174</v>
      </c>
      <c r="B120" s="6" t="s">
        <v>233</v>
      </c>
      <c r="C120" s="6" t="n">
        <v>26</v>
      </c>
      <c r="D120" s="6" t="n">
        <v>84</v>
      </c>
      <c r="E120" s="6" t="n">
        <v>25</v>
      </c>
      <c r="F120" s="6" t="s">
        <v>34</v>
      </c>
      <c r="G120" s="6" t="s">
        <v>35</v>
      </c>
      <c r="H120" s="6" t="s">
        <v>36</v>
      </c>
      <c r="I120" s="6" t="s">
        <v>89</v>
      </c>
      <c r="J120" s="6" t="s">
        <v>66</v>
      </c>
      <c r="K120" s="6" t="n">
        <v>15</v>
      </c>
      <c r="L120" s="6" t="s">
        <v>108</v>
      </c>
      <c r="M120" s="6" t="s">
        <v>256</v>
      </c>
      <c r="N120" s="6"/>
    </row>
    <row r="121" customFormat="false" ht="15" hidden="false" customHeight="false" outlineLevel="0" collapsed="false">
      <c r="A121" s="7" t="s">
        <v>174</v>
      </c>
      <c r="B121" s="6" t="s">
        <v>233</v>
      </c>
      <c r="C121" s="6" t="n">
        <v>26</v>
      </c>
      <c r="D121" s="6" t="n">
        <v>53</v>
      </c>
      <c r="E121" s="6" t="n">
        <v>26</v>
      </c>
      <c r="F121" s="6" t="s">
        <v>23</v>
      </c>
      <c r="G121" s="6" t="s">
        <v>24</v>
      </c>
      <c r="H121" s="6" t="s">
        <v>25</v>
      </c>
      <c r="I121" s="6" t="s">
        <v>89</v>
      </c>
      <c r="J121" s="6" t="s">
        <v>66</v>
      </c>
      <c r="K121" s="6" t="n">
        <v>15</v>
      </c>
      <c r="L121" s="6" t="s">
        <v>257</v>
      </c>
      <c r="M121" s="6" t="s">
        <v>114</v>
      </c>
      <c r="N121" s="6"/>
    </row>
    <row r="122" customFormat="false" ht="15" hidden="false" customHeight="false" outlineLevel="0" collapsed="false">
      <c r="A122" s="7" t="s">
        <v>174</v>
      </c>
      <c r="B122" s="6" t="s">
        <v>233</v>
      </c>
      <c r="C122" s="6" t="n">
        <v>26</v>
      </c>
      <c r="D122" s="6" t="n">
        <v>75</v>
      </c>
      <c r="E122" s="6" t="n">
        <v>27</v>
      </c>
      <c r="F122" s="6" t="s">
        <v>50</v>
      </c>
      <c r="G122" s="6" t="s">
        <v>31</v>
      </c>
      <c r="H122" s="6" t="s">
        <v>36</v>
      </c>
      <c r="I122" s="6" t="s">
        <v>89</v>
      </c>
      <c r="J122" s="6" t="s">
        <v>66</v>
      </c>
      <c r="K122" s="6" t="n">
        <v>15</v>
      </c>
      <c r="L122" s="6" t="s">
        <v>115</v>
      </c>
      <c r="M122" s="6" t="s">
        <v>116</v>
      </c>
      <c r="N122" s="6"/>
    </row>
    <row r="123" customFormat="false" ht="15" hidden="false" customHeight="false" outlineLevel="0" collapsed="false">
      <c r="A123" s="7" t="s">
        <v>174</v>
      </c>
      <c r="B123" s="6" t="s">
        <v>233</v>
      </c>
      <c r="C123" s="6" t="n">
        <v>26</v>
      </c>
      <c r="D123" s="6" t="n">
        <v>53</v>
      </c>
      <c r="E123" s="6" t="n">
        <v>28</v>
      </c>
      <c r="F123" s="6" t="s">
        <v>62</v>
      </c>
      <c r="G123" s="6" t="s">
        <v>24</v>
      </c>
      <c r="H123" s="6" t="s">
        <v>41</v>
      </c>
      <c r="I123" s="6" t="s">
        <v>89</v>
      </c>
      <c r="J123" s="6" t="s">
        <v>66</v>
      </c>
      <c r="K123" s="6" t="n">
        <v>15</v>
      </c>
      <c r="L123" s="6" t="s">
        <v>117</v>
      </c>
      <c r="M123" s="6" t="s">
        <v>258</v>
      </c>
      <c r="N123" s="6"/>
    </row>
    <row r="124" customFormat="false" ht="15" hidden="false" customHeight="false" outlineLevel="0" collapsed="false">
      <c r="A124" s="7" t="s">
        <v>174</v>
      </c>
      <c r="B124" s="6" t="s">
        <v>233</v>
      </c>
      <c r="C124" s="6" t="n">
        <v>26</v>
      </c>
      <c r="D124" s="6" t="n">
        <v>66</v>
      </c>
      <c r="E124" s="6" t="n">
        <v>29</v>
      </c>
      <c r="F124" s="6" t="s">
        <v>56</v>
      </c>
      <c r="G124" s="6" t="s">
        <v>40</v>
      </c>
      <c r="H124" s="6" t="s">
        <v>36</v>
      </c>
      <c r="I124" s="6" t="s">
        <v>89</v>
      </c>
      <c r="J124" s="6" t="s">
        <v>66</v>
      </c>
      <c r="K124" s="6" t="n">
        <v>15</v>
      </c>
      <c r="L124" s="6" t="s">
        <v>259</v>
      </c>
      <c r="M124" s="6" t="s">
        <v>260</v>
      </c>
      <c r="N124" s="6"/>
    </row>
    <row r="125" customFormat="false" ht="15" hidden="false" customHeight="false" outlineLevel="0" collapsed="false">
      <c r="A125" s="7" t="s">
        <v>174</v>
      </c>
      <c r="B125" s="6" t="s">
        <v>233</v>
      </c>
      <c r="C125" s="6" t="n">
        <v>26</v>
      </c>
      <c r="D125" s="6" t="n">
        <v>84</v>
      </c>
      <c r="E125" s="6" t="n">
        <v>30</v>
      </c>
      <c r="F125" s="6" t="s">
        <v>44</v>
      </c>
      <c r="G125" s="6" t="s">
        <v>35</v>
      </c>
      <c r="H125" s="6" t="s">
        <v>25</v>
      </c>
      <c r="I125" s="6" t="s">
        <v>89</v>
      </c>
      <c r="J125" s="6" t="s">
        <v>66</v>
      </c>
      <c r="K125" s="6" t="n">
        <v>15</v>
      </c>
      <c r="L125" s="6" t="s">
        <v>261</v>
      </c>
      <c r="M125" s="6" t="s">
        <v>262</v>
      </c>
      <c r="N125" s="6"/>
    </row>
    <row r="126" customFormat="false" ht="15" hidden="false" customHeight="false" outlineLevel="0" collapsed="false">
      <c r="A126" s="7" t="s">
        <v>174</v>
      </c>
      <c r="B126" s="6" t="s">
        <v>233</v>
      </c>
      <c r="C126" s="6" t="n">
        <v>26</v>
      </c>
      <c r="D126" s="6" t="n">
        <v>75</v>
      </c>
      <c r="E126" s="6" t="n">
        <v>31</v>
      </c>
      <c r="F126" s="6" t="s">
        <v>53</v>
      </c>
      <c r="G126" s="6" t="s">
        <v>31</v>
      </c>
      <c r="H126" s="6" t="s">
        <v>41</v>
      </c>
      <c r="I126" s="6" t="s">
        <v>89</v>
      </c>
      <c r="J126" s="6" t="s">
        <v>66</v>
      </c>
      <c r="K126" s="6" t="n">
        <v>15</v>
      </c>
      <c r="L126" s="6" t="s">
        <v>263</v>
      </c>
      <c r="M126" s="6" t="s">
        <v>124</v>
      </c>
      <c r="N126" s="6"/>
    </row>
    <row r="127" customFormat="false" ht="15" hidden="false" customHeight="false" outlineLevel="0" collapsed="false">
      <c r="A127" s="7" t="s">
        <v>174</v>
      </c>
      <c r="B127" s="6" t="s">
        <v>233</v>
      </c>
      <c r="C127" s="6" t="n">
        <v>26</v>
      </c>
      <c r="D127" s="6" t="n">
        <v>66</v>
      </c>
      <c r="E127" s="6" t="n">
        <v>32</v>
      </c>
      <c r="F127" s="6" t="s">
        <v>59</v>
      </c>
      <c r="G127" s="6" t="s">
        <v>40</v>
      </c>
      <c r="H127" s="6" t="s">
        <v>25</v>
      </c>
      <c r="I127" s="6" t="s">
        <v>89</v>
      </c>
      <c r="J127" s="6" t="s">
        <v>66</v>
      </c>
      <c r="K127" s="6" t="n">
        <v>15</v>
      </c>
      <c r="L127" s="6" t="s">
        <v>125</v>
      </c>
      <c r="M127" s="6" t="s">
        <v>128</v>
      </c>
      <c r="N127" s="6"/>
    </row>
    <row r="128" customFormat="false" ht="15" hidden="false" customHeight="false" outlineLevel="0" collapsed="false">
      <c r="A128" s="7" t="s">
        <v>174</v>
      </c>
      <c r="B128" s="6" t="s">
        <v>233</v>
      </c>
      <c r="C128" s="6" t="n">
        <v>26</v>
      </c>
      <c r="D128" s="6" t="n">
        <v>53</v>
      </c>
      <c r="E128" s="6" t="n">
        <v>33</v>
      </c>
      <c r="F128" s="6" t="s">
        <v>47</v>
      </c>
      <c r="G128" s="6" t="s">
        <v>24</v>
      </c>
      <c r="H128" s="6" t="s">
        <v>36</v>
      </c>
      <c r="I128" s="6" t="s">
        <v>89</v>
      </c>
      <c r="J128" s="6" t="s">
        <v>66</v>
      </c>
      <c r="K128" s="6" t="n">
        <v>15</v>
      </c>
      <c r="L128" s="6" t="s">
        <v>129</v>
      </c>
      <c r="M128" s="6" t="s">
        <v>264</v>
      </c>
      <c r="N128" s="6"/>
    </row>
    <row r="129" customFormat="false" ht="15" hidden="false" customHeight="false" outlineLevel="0" collapsed="false">
      <c r="A129" s="7" t="s">
        <v>174</v>
      </c>
      <c r="B129" s="6" t="s">
        <v>233</v>
      </c>
      <c r="C129" s="6" t="n">
        <v>26</v>
      </c>
      <c r="D129" s="6" t="n">
        <v>75</v>
      </c>
      <c r="E129" s="6" t="n">
        <v>35</v>
      </c>
      <c r="F129" s="6" t="s">
        <v>30</v>
      </c>
      <c r="G129" s="6" t="s">
        <v>31</v>
      </c>
      <c r="H129" s="6" t="s">
        <v>25</v>
      </c>
      <c r="I129" s="6" t="s">
        <v>89</v>
      </c>
      <c r="J129" s="6" t="s">
        <v>66</v>
      </c>
      <c r="K129" s="6" t="n">
        <v>15</v>
      </c>
      <c r="L129" s="6" t="s">
        <v>265</v>
      </c>
      <c r="M129" s="6" t="s">
        <v>266</v>
      </c>
      <c r="N129" s="6"/>
    </row>
    <row r="130" customFormat="false" ht="15" hidden="false" customHeight="false" outlineLevel="0" collapsed="false">
      <c r="A130" s="7" t="s">
        <v>174</v>
      </c>
      <c r="B130" s="6" t="s">
        <v>233</v>
      </c>
      <c r="C130" s="6" t="n">
        <v>26</v>
      </c>
      <c r="D130" s="6" t="n">
        <v>66</v>
      </c>
      <c r="E130" s="6" t="n">
        <v>36</v>
      </c>
      <c r="F130" s="6" t="s">
        <v>39</v>
      </c>
      <c r="G130" s="6" t="s">
        <v>40</v>
      </c>
      <c r="H130" s="6" t="s">
        <v>41</v>
      </c>
      <c r="I130" s="6" t="s">
        <v>89</v>
      </c>
      <c r="J130" s="6" t="s">
        <v>66</v>
      </c>
      <c r="K130" s="6" t="n">
        <v>15</v>
      </c>
      <c r="L130" s="6" t="s">
        <v>267</v>
      </c>
      <c r="M130" s="6" t="s">
        <v>268</v>
      </c>
      <c r="N130" s="6"/>
    </row>
    <row r="131" customFormat="false" ht="15" hidden="false" customHeight="false" outlineLevel="0" collapsed="false">
      <c r="A131" s="7" t="s">
        <v>174</v>
      </c>
      <c r="B131" s="6" t="s">
        <v>233</v>
      </c>
      <c r="C131" s="6" t="n">
        <v>26</v>
      </c>
      <c r="D131" s="6" t="n">
        <v>66</v>
      </c>
      <c r="E131" s="6" t="n">
        <v>37</v>
      </c>
      <c r="F131" s="6" t="s">
        <v>39</v>
      </c>
      <c r="G131" s="6" t="s">
        <v>40</v>
      </c>
      <c r="H131" s="6" t="s">
        <v>41</v>
      </c>
      <c r="I131" s="6" t="s">
        <v>112</v>
      </c>
      <c r="J131" s="6" t="s">
        <v>66</v>
      </c>
      <c r="K131" s="6" t="n">
        <v>15</v>
      </c>
      <c r="L131" s="6" t="s">
        <v>269</v>
      </c>
      <c r="M131" s="6" t="s">
        <v>270</v>
      </c>
      <c r="N131" s="6"/>
    </row>
    <row r="132" customFormat="false" ht="15" hidden="false" customHeight="false" outlineLevel="0" collapsed="false">
      <c r="A132" s="7" t="s">
        <v>174</v>
      </c>
      <c r="B132" s="6" t="s">
        <v>233</v>
      </c>
      <c r="C132" s="6" t="n">
        <v>26</v>
      </c>
      <c r="D132" s="6" t="n">
        <v>84</v>
      </c>
      <c r="E132" s="6" t="n">
        <v>38</v>
      </c>
      <c r="F132" s="6" t="s">
        <v>34</v>
      </c>
      <c r="G132" s="6" t="s">
        <v>35</v>
      </c>
      <c r="H132" s="6" t="s">
        <v>36</v>
      </c>
      <c r="I132" s="6" t="s">
        <v>112</v>
      </c>
      <c r="J132" s="6" t="s">
        <v>66</v>
      </c>
      <c r="K132" s="6" t="n">
        <v>15</v>
      </c>
      <c r="L132" s="6" t="s">
        <v>271</v>
      </c>
      <c r="M132" s="6" t="s">
        <v>272</v>
      </c>
      <c r="N132" s="6"/>
    </row>
    <row r="133" customFormat="false" ht="15" hidden="false" customHeight="false" outlineLevel="0" collapsed="false">
      <c r="A133" s="7" t="s">
        <v>174</v>
      </c>
      <c r="B133" s="6" t="s">
        <v>233</v>
      </c>
      <c r="C133" s="6" t="n">
        <v>26</v>
      </c>
      <c r="D133" s="6" t="n">
        <v>75</v>
      </c>
      <c r="E133" s="6" t="n">
        <v>39</v>
      </c>
      <c r="F133" s="6" t="s">
        <v>30</v>
      </c>
      <c r="G133" s="6" t="s">
        <v>31</v>
      </c>
      <c r="H133" s="6" t="s">
        <v>25</v>
      </c>
      <c r="I133" s="6" t="s">
        <v>112</v>
      </c>
      <c r="J133" s="6" t="s">
        <v>66</v>
      </c>
      <c r="K133" s="6" t="n">
        <v>15</v>
      </c>
      <c r="L133" s="6" t="s">
        <v>273</v>
      </c>
      <c r="M133" s="6" t="s">
        <v>274</v>
      </c>
      <c r="N133" s="6"/>
    </row>
    <row r="134" customFormat="false" ht="15" hidden="false" customHeight="false" outlineLevel="0" collapsed="false">
      <c r="A134" s="7" t="s">
        <v>174</v>
      </c>
      <c r="B134" s="6" t="s">
        <v>233</v>
      </c>
      <c r="C134" s="6" t="n">
        <v>26</v>
      </c>
      <c r="D134" s="6" t="n">
        <v>75</v>
      </c>
      <c r="E134" s="6" t="n">
        <v>40</v>
      </c>
      <c r="F134" s="6" t="s">
        <v>50</v>
      </c>
      <c r="G134" s="6" t="s">
        <v>31</v>
      </c>
      <c r="H134" s="6" t="s">
        <v>36</v>
      </c>
      <c r="I134" s="6" t="s">
        <v>112</v>
      </c>
      <c r="J134" s="6" t="s">
        <v>66</v>
      </c>
      <c r="K134" s="6" t="n">
        <v>15</v>
      </c>
      <c r="L134" s="6" t="s">
        <v>275</v>
      </c>
      <c r="M134" s="6" t="s">
        <v>276</v>
      </c>
      <c r="N134" s="6"/>
    </row>
    <row r="135" customFormat="false" ht="15" hidden="false" customHeight="false" outlineLevel="0" collapsed="false">
      <c r="A135" s="7" t="s">
        <v>174</v>
      </c>
      <c r="B135" s="6" t="s">
        <v>233</v>
      </c>
      <c r="C135" s="6" t="n">
        <v>26</v>
      </c>
      <c r="D135" s="6" t="n">
        <v>84</v>
      </c>
      <c r="E135" s="6" t="n">
        <v>42</v>
      </c>
      <c r="F135" s="6" t="s">
        <v>44</v>
      </c>
      <c r="G135" s="6" t="s">
        <v>35</v>
      </c>
      <c r="H135" s="6" t="s">
        <v>25</v>
      </c>
      <c r="I135" s="6" t="s">
        <v>112</v>
      </c>
      <c r="J135" s="6" t="s">
        <v>66</v>
      </c>
      <c r="K135" s="6" t="n">
        <v>15</v>
      </c>
      <c r="L135" s="6" t="s">
        <v>277</v>
      </c>
      <c r="M135" s="6" t="s">
        <v>278</v>
      </c>
      <c r="N135" s="6"/>
    </row>
    <row r="136" customFormat="false" ht="15" hidden="false" customHeight="false" outlineLevel="0" collapsed="false">
      <c r="A136" s="7" t="s">
        <v>174</v>
      </c>
      <c r="B136" s="6" t="s">
        <v>233</v>
      </c>
      <c r="C136" s="6" t="n">
        <v>26</v>
      </c>
      <c r="D136" s="6" t="n">
        <v>75</v>
      </c>
      <c r="E136" s="6" t="n">
        <v>43</v>
      </c>
      <c r="F136" s="6" t="s">
        <v>53</v>
      </c>
      <c r="G136" s="6" t="s">
        <v>31</v>
      </c>
      <c r="H136" s="6" t="s">
        <v>41</v>
      </c>
      <c r="I136" s="6" t="s">
        <v>112</v>
      </c>
      <c r="J136" s="6" t="s">
        <v>66</v>
      </c>
      <c r="K136" s="6" t="n">
        <v>15</v>
      </c>
      <c r="L136" s="6" t="s">
        <v>279</v>
      </c>
      <c r="M136" s="6" t="s">
        <v>280</v>
      </c>
      <c r="N136" s="6"/>
    </row>
    <row r="137" customFormat="false" ht="15" hidden="false" customHeight="false" outlineLevel="0" collapsed="false">
      <c r="A137" s="7" t="s">
        <v>174</v>
      </c>
      <c r="B137" s="6" t="s">
        <v>233</v>
      </c>
      <c r="C137" s="6" t="n">
        <v>26</v>
      </c>
      <c r="D137" s="6" t="n">
        <v>66</v>
      </c>
      <c r="E137" s="6" t="n">
        <v>44</v>
      </c>
      <c r="F137" s="6" t="s">
        <v>59</v>
      </c>
      <c r="G137" s="6" t="s">
        <v>40</v>
      </c>
      <c r="H137" s="6" t="s">
        <v>25</v>
      </c>
      <c r="I137" s="6" t="s">
        <v>112</v>
      </c>
      <c r="J137" s="6" t="s">
        <v>66</v>
      </c>
      <c r="K137" s="6" t="n">
        <v>15</v>
      </c>
      <c r="L137" s="6" t="s">
        <v>281</v>
      </c>
      <c r="M137" s="6" t="s">
        <v>282</v>
      </c>
      <c r="N137" s="6"/>
    </row>
    <row r="138" customFormat="false" ht="15" hidden="false" customHeight="false" outlineLevel="0" collapsed="false">
      <c r="A138" s="7" t="s">
        <v>174</v>
      </c>
      <c r="B138" s="6" t="s">
        <v>233</v>
      </c>
      <c r="C138" s="6" t="n">
        <v>26</v>
      </c>
      <c r="D138" s="6" t="n">
        <v>53</v>
      </c>
      <c r="E138" s="6" t="n">
        <v>45</v>
      </c>
      <c r="F138" s="6" t="s">
        <v>23</v>
      </c>
      <c r="G138" s="6" t="s">
        <v>24</v>
      </c>
      <c r="H138" s="6" t="s">
        <v>25</v>
      </c>
      <c r="I138" s="6" t="s">
        <v>112</v>
      </c>
      <c r="J138" s="6" t="s">
        <v>66</v>
      </c>
      <c r="K138" s="6" t="n">
        <v>15</v>
      </c>
      <c r="L138" s="6" t="s">
        <v>283</v>
      </c>
      <c r="M138" s="6" t="s">
        <v>284</v>
      </c>
      <c r="N138" s="6"/>
    </row>
    <row r="139" customFormat="false" ht="15" hidden="false" customHeight="false" outlineLevel="0" collapsed="false">
      <c r="A139" s="7" t="s">
        <v>174</v>
      </c>
      <c r="B139" s="6" t="s">
        <v>233</v>
      </c>
      <c r="C139" s="6" t="n">
        <v>26</v>
      </c>
      <c r="D139" s="6" t="n">
        <v>53</v>
      </c>
      <c r="E139" s="6" t="n">
        <v>46</v>
      </c>
      <c r="F139" s="6" t="s">
        <v>47</v>
      </c>
      <c r="G139" s="6" t="s">
        <v>24</v>
      </c>
      <c r="H139" s="6" t="s">
        <v>36</v>
      </c>
      <c r="I139" s="6" t="s">
        <v>112</v>
      </c>
      <c r="J139" s="6" t="s">
        <v>66</v>
      </c>
      <c r="K139" s="6" t="n">
        <v>15</v>
      </c>
      <c r="L139" s="6" t="s">
        <v>285</v>
      </c>
      <c r="M139" s="6" t="s">
        <v>286</v>
      </c>
      <c r="N139" s="6"/>
    </row>
    <row r="140" customFormat="false" ht="15" hidden="false" customHeight="false" outlineLevel="0" collapsed="false">
      <c r="A140" s="7" t="s">
        <v>174</v>
      </c>
      <c r="B140" s="6" t="s">
        <v>233</v>
      </c>
      <c r="C140" s="6" t="n">
        <v>26</v>
      </c>
      <c r="D140" s="6" t="n">
        <v>53</v>
      </c>
      <c r="E140" s="6" t="n">
        <v>47</v>
      </c>
      <c r="F140" s="6" t="s">
        <v>62</v>
      </c>
      <c r="G140" s="6" t="s">
        <v>24</v>
      </c>
      <c r="H140" s="6" t="s">
        <v>41</v>
      </c>
      <c r="I140" s="6" t="s">
        <v>112</v>
      </c>
      <c r="J140" s="6" t="s">
        <v>66</v>
      </c>
      <c r="K140" s="6" t="n">
        <v>15</v>
      </c>
      <c r="L140" s="6" t="s">
        <v>287</v>
      </c>
      <c r="M140" s="6" t="s">
        <v>288</v>
      </c>
      <c r="N140" s="6"/>
    </row>
    <row r="141" customFormat="false" ht="15" hidden="false" customHeight="false" outlineLevel="0" collapsed="false">
      <c r="A141" s="7" t="s">
        <v>174</v>
      </c>
      <c r="B141" s="6" t="s">
        <v>233</v>
      </c>
      <c r="C141" s="6" t="n">
        <v>26</v>
      </c>
      <c r="D141" s="6" t="n">
        <v>66</v>
      </c>
      <c r="E141" s="6" t="n">
        <v>48</v>
      </c>
      <c r="F141" s="6" t="s">
        <v>56</v>
      </c>
      <c r="G141" s="6" t="s">
        <v>40</v>
      </c>
      <c r="H141" s="6" t="s">
        <v>36</v>
      </c>
      <c r="I141" s="6" t="s">
        <v>112</v>
      </c>
      <c r="J141" s="6" t="s">
        <v>66</v>
      </c>
      <c r="K141" s="6" t="n">
        <v>15</v>
      </c>
      <c r="L141" s="6" t="s">
        <v>289</v>
      </c>
      <c r="M141" s="6" t="s">
        <v>290</v>
      </c>
      <c r="N141" s="6"/>
    </row>
    <row r="142" customFormat="false" ht="15" hidden="false" customHeight="false" outlineLevel="0" collapsed="false">
      <c r="A142" s="7" t="s">
        <v>174</v>
      </c>
      <c r="B142" s="6" t="s">
        <v>291</v>
      </c>
      <c r="C142" s="6" t="n">
        <v>36</v>
      </c>
      <c r="D142" s="6" t="n">
        <v>63</v>
      </c>
      <c r="E142" s="6" t="n">
        <v>1</v>
      </c>
      <c r="F142" s="6" t="s">
        <v>23</v>
      </c>
      <c r="G142" s="6" t="s">
        <v>24</v>
      </c>
      <c r="H142" s="6" t="s">
        <v>25</v>
      </c>
      <c r="I142" s="6" t="s">
        <v>26</v>
      </c>
      <c r="J142" s="6" t="s">
        <v>27</v>
      </c>
      <c r="K142" s="6" t="n">
        <v>9</v>
      </c>
      <c r="L142" s="6" t="s">
        <v>28</v>
      </c>
      <c r="M142" s="6" t="s">
        <v>33</v>
      </c>
      <c r="N142" s="6"/>
    </row>
    <row r="143" customFormat="false" ht="15" hidden="false" customHeight="false" outlineLevel="0" collapsed="false">
      <c r="A143" s="7" t="s">
        <v>174</v>
      </c>
      <c r="B143" s="6" t="s">
        <v>291</v>
      </c>
      <c r="C143" s="6" t="n">
        <v>36</v>
      </c>
      <c r="D143" s="6" t="n">
        <v>63</v>
      </c>
      <c r="E143" s="6" t="n">
        <v>6</v>
      </c>
      <c r="F143" s="6" t="s">
        <v>47</v>
      </c>
      <c r="G143" s="6" t="s">
        <v>24</v>
      </c>
      <c r="H143" s="6" t="s">
        <v>36</v>
      </c>
      <c r="I143" s="6" t="s">
        <v>26</v>
      </c>
      <c r="J143" s="6" t="s">
        <v>27</v>
      </c>
      <c r="K143" s="6" t="n">
        <v>9</v>
      </c>
      <c r="L143" s="6" t="s">
        <v>51</v>
      </c>
      <c r="M143" s="6" t="s">
        <v>189</v>
      </c>
      <c r="N143" s="6"/>
    </row>
    <row r="144" customFormat="false" ht="15" hidden="false" customHeight="false" outlineLevel="0" collapsed="false">
      <c r="A144" s="7" t="s">
        <v>174</v>
      </c>
      <c r="B144" s="6" t="s">
        <v>291</v>
      </c>
      <c r="C144" s="6" t="n">
        <v>36</v>
      </c>
      <c r="D144" s="6" t="n">
        <v>63</v>
      </c>
      <c r="E144" s="6" t="n">
        <v>12</v>
      </c>
      <c r="F144" s="6" t="s">
        <v>62</v>
      </c>
      <c r="G144" s="6" t="s">
        <v>24</v>
      </c>
      <c r="H144" s="6" t="s">
        <v>41</v>
      </c>
      <c r="I144" s="6" t="s">
        <v>26</v>
      </c>
      <c r="J144" s="6" t="s">
        <v>27</v>
      </c>
      <c r="K144" s="6" t="n">
        <v>9</v>
      </c>
      <c r="L144" s="6" t="s">
        <v>239</v>
      </c>
      <c r="M144" s="6" t="s">
        <v>240</v>
      </c>
      <c r="N144" s="6"/>
    </row>
    <row r="145" customFormat="false" ht="15" hidden="false" customHeight="false" outlineLevel="0" collapsed="false">
      <c r="A145" s="7" t="s">
        <v>174</v>
      </c>
      <c r="B145" s="6" t="s">
        <v>291</v>
      </c>
      <c r="C145" s="6" t="n">
        <v>36</v>
      </c>
      <c r="D145" s="6" t="n">
        <v>63</v>
      </c>
      <c r="E145" s="6" t="n">
        <v>14</v>
      </c>
      <c r="F145" s="6" t="s">
        <v>62</v>
      </c>
      <c r="G145" s="6" t="s">
        <v>24</v>
      </c>
      <c r="H145" s="6" t="s">
        <v>41</v>
      </c>
      <c r="I145" s="6" t="s">
        <v>65</v>
      </c>
      <c r="J145" s="6" t="s">
        <v>66</v>
      </c>
      <c r="K145" s="6" t="n">
        <v>15</v>
      </c>
      <c r="L145" s="6" t="s">
        <v>241</v>
      </c>
      <c r="M145" s="6" t="s">
        <v>77</v>
      </c>
      <c r="N145" s="6"/>
    </row>
    <row r="146" customFormat="false" ht="15" hidden="false" customHeight="false" outlineLevel="0" collapsed="false">
      <c r="A146" s="7" t="s">
        <v>174</v>
      </c>
      <c r="B146" s="6" t="s">
        <v>291</v>
      </c>
      <c r="C146" s="6" t="n">
        <v>36</v>
      </c>
      <c r="D146" s="6" t="n">
        <v>63</v>
      </c>
      <c r="E146" s="6" t="n">
        <v>18</v>
      </c>
      <c r="F146" s="6" t="s">
        <v>23</v>
      </c>
      <c r="G146" s="6" t="s">
        <v>24</v>
      </c>
      <c r="H146" s="6" t="s">
        <v>25</v>
      </c>
      <c r="I146" s="6" t="s">
        <v>65</v>
      </c>
      <c r="J146" s="6" t="s">
        <v>66</v>
      </c>
      <c r="K146" s="6" t="n">
        <v>15</v>
      </c>
      <c r="L146" s="6" t="s">
        <v>246</v>
      </c>
      <c r="M146" s="6" t="s">
        <v>247</v>
      </c>
      <c r="N146" s="6"/>
    </row>
    <row r="147" customFormat="false" ht="15" hidden="false" customHeight="false" outlineLevel="0" collapsed="false">
      <c r="A147" s="7" t="s">
        <v>174</v>
      </c>
      <c r="B147" s="6" t="s">
        <v>291</v>
      </c>
      <c r="C147" s="6" t="n">
        <v>36</v>
      </c>
      <c r="D147" s="6" t="n">
        <v>63</v>
      </c>
      <c r="E147" s="6" t="n">
        <v>20</v>
      </c>
      <c r="F147" s="6" t="s">
        <v>47</v>
      </c>
      <c r="G147" s="6" t="s">
        <v>24</v>
      </c>
      <c r="H147" s="6" t="s">
        <v>36</v>
      </c>
      <c r="I147" s="6" t="s">
        <v>65</v>
      </c>
      <c r="J147" s="6" t="s">
        <v>66</v>
      </c>
      <c r="K147" s="6" t="n">
        <v>15</v>
      </c>
      <c r="L147" s="6" t="s">
        <v>250</v>
      </c>
      <c r="M147" s="6" t="s">
        <v>94</v>
      </c>
      <c r="N147" s="6"/>
    </row>
    <row r="148" customFormat="false" ht="15" hidden="false" customHeight="false" outlineLevel="0" collapsed="false">
      <c r="A148" s="7" t="s">
        <v>174</v>
      </c>
      <c r="B148" s="6" t="s">
        <v>291</v>
      </c>
      <c r="C148" s="6" t="n">
        <v>36</v>
      </c>
      <c r="D148" s="6" t="n">
        <v>63</v>
      </c>
      <c r="E148" s="6" t="n">
        <v>26</v>
      </c>
      <c r="F148" s="6" t="s">
        <v>23</v>
      </c>
      <c r="G148" s="6" t="s">
        <v>24</v>
      </c>
      <c r="H148" s="6" t="s">
        <v>25</v>
      </c>
      <c r="I148" s="6" t="s">
        <v>89</v>
      </c>
      <c r="J148" s="6" t="s">
        <v>66</v>
      </c>
      <c r="K148" s="6" t="n">
        <v>15</v>
      </c>
      <c r="L148" s="6" t="s">
        <v>108</v>
      </c>
      <c r="M148" s="6" t="s">
        <v>256</v>
      </c>
      <c r="N148" s="6"/>
    </row>
    <row r="149" customFormat="false" ht="15" hidden="false" customHeight="false" outlineLevel="0" collapsed="false">
      <c r="A149" s="7" t="s">
        <v>174</v>
      </c>
      <c r="B149" s="6" t="s">
        <v>291</v>
      </c>
      <c r="C149" s="6" t="n">
        <v>36</v>
      </c>
      <c r="D149" s="6" t="n">
        <v>63</v>
      </c>
      <c r="E149" s="6" t="n">
        <v>28</v>
      </c>
      <c r="F149" s="6" t="s">
        <v>62</v>
      </c>
      <c r="G149" s="6" t="s">
        <v>24</v>
      </c>
      <c r="H149" s="6" t="s">
        <v>41</v>
      </c>
      <c r="I149" s="6" t="s">
        <v>89</v>
      </c>
      <c r="J149" s="6" t="s">
        <v>66</v>
      </c>
      <c r="K149" s="6" t="n">
        <v>15</v>
      </c>
      <c r="L149" s="6" t="s">
        <v>115</v>
      </c>
      <c r="M149" s="6" t="s">
        <v>116</v>
      </c>
      <c r="N149" s="6"/>
    </row>
    <row r="150" customFormat="false" ht="15" hidden="false" customHeight="false" outlineLevel="0" collapsed="false">
      <c r="A150" s="7" t="s">
        <v>174</v>
      </c>
      <c r="B150" s="6" t="s">
        <v>291</v>
      </c>
      <c r="C150" s="6" t="n">
        <v>36</v>
      </c>
      <c r="D150" s="6" t="n">
        <v>63</v>
      </c>
      <c r="E150" s="6" t="n">
        <v>33</v>
      </c>
      <c r="F150" s="6" t="s">
        <v>47</v>
      </c>
      <c r="G150" s="6" t="s">
        <v>24</v>
      </c>
      <c r="H150" s="6" t="s">
        <v>36</v>
      </c>
      <c r="I150" s="6" t="s">
        <v>89</v>
      </c>
      <c r="J150" s="6" t="s">
        <v>66</v>
      </c>
      <c r="K150" s="6" t="n">
        <v>15</v>
      </c>
      <c r="L150" s="6" t="s">
        <v>125</v>
      </c>
      <c r="M150" s="6" t="s">
        <v>128</v>
      </c>
      <c r="N150" s="6"/>
    </row>
    <row r="151" customFormat="false" ht="15" hidden="false" customHeight="false" outlineLevel="0" collapsed="false">
      <c r="A151" s="7" t="s">
        <v>174</v>
      </c>
      <c r="B151" s="6" t="s">
        <v>291</v>
      </c>
      <c r="C151" s="6" t="n">
        <v>36</v>
      </c>
      <c r="D151" s="6" t="n">
        <v>63</v>
      </c>
      <c r="E151" s="6" t="n">
        <v>45</v>
      </c>
      <c r="F151" s="6" t="s">
        <v>23</v>
      </c>
      <c r="G151" s="6" t="s">
        <v>24</v>
      </c>
      <c r="H151" s="6" t="s">
        <v>25</v>
      </c>
      <c r="I151" s="6" t="s">
        <v>112</v>
      </c>
      <c r="J151" s="6" t="s">
        <v>66</v>
      </c>
      <c r="K151" s="6" t="n">
        <v>15</v>
      </c>
      <c r="L151" s="6" t="s">
        <v>275</v>
      </c>
      <c r="M151" s="6" t="s">
        <v>276</v>
      </c>
      <c r="N151" s="6"/>
    </row>
    <row r="152" customFormat="false" ht="15" hidden="false" customHeight="false" outlineLevel="0" collapsed="false">
      <c r="A152" s="7" t="s">
        <v>174</v>
      </c>
      <c r="B152" s="6" t="s">
        <v>291</v>
      </c>
      <c r="C152" s="6" t="n">
        <v>36</v>
      </c>
      <c r="D152" s="6" t="n">
        <v>63</v>
      </c>
      <c r="E152" s="6" t="n">
        <v>46</v>
      </c>
      <c r="F152" s="6" t="s">
        <v>47</v>
      </c>
      <c r="G152" s="6" t="s">
        <v>24</v>
      </c>
      <c r="H152" s="6" t="s">
        <v>36</v>
      </c>
      <c r="I152" s="6" t="s">
        <v>112</v>
      </c>
      <c r="J152" s="6" t="s">
        <v>66</v>
      </c>
      <c r="K152" s="6" t="n">
        <v>15</v>
      </c>
      <c r="L152" s="6" t="s">
        <v>292</v>
      </c>
      <c r="M152" s="6" t="s">
        <v>293</v>
      </c>
      <c r="N152" s="6"/>
    </row>
    <row r="153" customFormat="false" ht="15" hidden="false" customHeight="false" outlineLevel="0" collapsed="false">
      <c r="A153" s="7" t="s">
        <v>174</v>
      </c>
      <c r="B153" s="6" t="s">
        <v>291</v>
      </c>
      <c r="C153" s="6" t="n">
        <v>36</v>
      </c>
      <c r="D153" s="6" t="n">
        <v>63</v>
      </c>
      <c r="E153" s="6" t="n">
        <v>47</v>
      </c>
      <c r="F153" s="6" t="s">
        <v>62</v>
      </c>
      <c r="G153" s="6" t="s">
        <v>24</v>
      </c>
      <c r="H153" s="6" t="s">
        <v>41</v>
      </c>
      <c r="I153" s="6" t="s">
        <v>112</v>
      </c>
      <c r="J153" s="6" t="s">
        <v>66</v>
      </c>
      <c r="K153" s="6" t="n">
        <v>15</v>
      </c>
      <c r="L153" s="6" t="s">
        <v>277</v>
      </c>
      <c r="M153" s="6" t="s">
        <v>278</v>
      </c>
      <c r="N153" s="6"/>
    </row>
    <row r="154" customFormat="false" ht="15" hidden="false" customHeight="false" outlineLevel="0" collapsed="false">
      <c r="A154" s="8" t="s">
        <v>294</v>
      </c>
      <c r="B154" s="6" t="s">
        <v>233</v>
      </c>
      <c r="C154" s="6" t="n">
        <v>26</v>
      </c>
      <c r="D154" s="6" t="n">
        <v>84</v>
      </c>
      <c r="E154" s="6" t="n">
        <v>7</v>
      </c>
      <c r="F154" s="6" t="s">
        <v>175</v>
      </c>
      <c r="G154" s="6" t="s">
        <v>35</v>
      </c>
      <c r="H154" s="6" t="s">
        <v>41</v>
      </c>
      <c r="I154" s="6" t="s">
        <v>26</v>
      </c>
      <c r="J154" s="6" t="s">
        <v>27</v>
      </c>
      <c r="K154" s="6" t="n">
        <v>9</v>
      </c>
      <c r="L154" s="6" t="s">
        <v>190</v>
      </c>
      <c r="M154" s="6" t="s">
        <v>58</v>
      </c>
      <c r="N154" s="6"/>
    </row>
    <row r="155" customFormat="false" ht="15" hidden="false" customHeight="false" outlineLevel="0" collapsed="false">
      <c r="A155" s="8" t="s">
        <v>294</v>
      </c>
      <c r="B155" s="6" t="s">
        <v>233</v>
      </c>
      <c r="C155" s="6" t="n">
        <v>26</v>
      </c>
      <c r="D155" s="6" t="n">
        <v>84</v>
      </c>
      <c r="E155" s="6" t="n">
        <v>24</v>
      </c>
      <c r="F155" s="6" t="s">
        <v>175</v>
      </c>
      <c r="G155" s="6" t="s">
        <v>35</v>
      </c>
      <c r="H155" s="6" t="s">
        <v>41</v>
      </c>
      <c r="I155" s="6" t="s">
        <v>65</v>
      </c>
      <c r="J155" s="6" t="s">
        <v>66</v>
      </c>
      <c r="K155" s="6" t="n">
        <v>15</v>
      </c>
      <c r="L155" s="6" t="s">
        <v>179</v>
      </c>
      <c r="M155" s="6" t="s">
        <v>180</v>
      </c>
      <c r="N155" s="6"/>
    </row>
    <row r="156" customFormat="false" ht="15" hidden="false" customHeight="false" outlineLevel="0" collapsed="false">
      <c r="A156" s="8" t="s">
        <v>294</v>
      </c>
      <c r="B156" s="6" t="s">
        <v>233</v>
      </c>
      <c r="C156" s="6" t="n">
        <v>26</v>
      </c>
      <c r="D156" s="6" t="n">
        <v>84</v>
      </c>
      <c r="E156" s="6" t="n">
        <v>34</v>
      </c>
      <c r="F156" s="6" t="s">
        <v>175</v>
      </c>
      <c r="G156" s="6" t="s">
        <v>35</v>
      </c>
      <c r="H156" s="6" t="s">
        <v>41</v>
      </c>
      <c r="I156" s="6" t="s">
        <v>89</v>
      </c>
      <c r="J156" s="6" t="s">
        <v>66</v>
      </c>
      <c r="K156" s="6" t="n">
        <v>15</v>
      </c>
      <c r="L156" s="6" t="s">
        <v>295</v>
      </c>
      <c r="M156" s="6" t="s">
        <v>296</v>
      </c>
      <c r="N156" s="6"/>
    </row>
    <row r="157" customFormat="false" ht="15" hidden="false" customHeight="false" outlineLevel="0" collapsed="false">
      <c r="A157" s="8" t="s">
        <v>294</v>
      </c>
      <c r="B157" s="6" t="s">
        <v>233</v>
      </c>
      <c r="C157" s="6" t="n">
        <v>26</v>
      </c>
      <c r="D157" s="6" t="n">
        <v>84</v>
      </c>
      <c r="E157" s="6" t="n">
        <v>41</v>
      </c>
      <c r="F157" s="6" t="s">
        <v>175</v>
      </c>
      <c r="G157" s="6" t="s">
        <v>35</v>
      </c>
      <c r="H157" s="6" t="s">
        <v>41</v>
      </c>
      <c r="I157" s="6" t="s">
        <v>112</v>
      </c>
      <c r="J157" s="6" t="s">
        <v>66</v>
      </c>
      <c r="K157" s="6" t="n">
        <v>15</v>
      </c>
      <c r="L157" s="6" t="s">
        <v>292</v>
      </c>
      <c r="M157" s="6" t="s">
        <v>293</v>
      </c>
      <c r="N157" s="6"/>
    </row>
    <row r="158" customFormat="false" ht="15" hidden="false" customHeight="false" outlineLevel="0" collapsed="false">
      <c r="A158" s="8" t="s">
        <v>294</v>
      </c>
      <c r="B158" s="6" t="s">
        <v>291</v>
      </c>
      <c r="C158" s="6" t="n">
        <v>36</v>
      </c>
      <c r="D158" s="6" t="n">
        <v>85</v>
      </c>
      <c r="E158" s="6" t="n">
        <v>2</v>
      </c>
      <c r="F158" s="6" t="s">
        <v>30</v>
      </c>
      <c r="G158" s="6" t="s">
        <v>31</v>
      </c>
      <c r="H158" s="6" t="s">
        <v>25</v>
      </c>
      <c r="I158" s="6" t="s">
        <v>26</v>
      </c>
      <c r="J158" s="6" t="s">
        <v>27</v>
      </c>
      <c r="K158" s="6" t="n">
        <v>9</v>
      </c>
      <c r="L158" s="6" t="s">
        <v>37</v>
      </c>
      <c r="M158" s="6" t="s">
        <v>38</v>
      </c>
      <c r="N158" s="6"/>
    </row>
    <row r="159" customFormat="false" ht="15" hidden="false" customHeight="false" outlineLevel="0" collapsed="false">
      <c r="A159" s="8" t="s">
        <v>294</v>
      </c>
      <c r="B159" s="6" t="s">
        <v>291</v>
      </c>
      <c r="C159" s="6" t="n">
        <v>36</v>
      </c>
      <c r="D159" s="6" t="n">
        <v>94</v>
      </c>
      <c r="E159" s="6" t="n">
        <v>3</v>
      </c>
      <c r="F159" s="6" t="s">
        <v>34</v>
      </c>
      <c r="G159" s="6" t="s">
        <v>35</v>
      </c>
      <c r="H159" s="6" t="s">
        <v>36</v>
      </c>
      <c r="I159" s="6" t="s">
        <v>26</v>
      </c>
      <c r="J159" s="6" t="s">
        <v>27</v>
      </c>
      <c r="K159" s="6" t="n">
        <v>9</v>
      </c>
      <c r="L159" s="6" t="s">
        <v>42</v>
      </c>
      <c r="M159" s="6" t="s">
        <v>234</v>
      </c>
      <c r="N159" s="6"/>
    </row>
    <row r="160" customFormat="false" ht="15" hidden="false" customHeight="false" outlineLevel="0" collapsed="false">
      <c r="A160" s="8" t="s">
        <v>294</v>
      </c>
      <c r="B160" s="6" t="s">
        <v>291</v>
      </c>
      <c r="C160" s="6" t="n">
        <v>36</v>
      </c>
      <c r="D160" s="6" t="n">
        <v>76</v>
      </c>
      <c r="E160" s="6" t="n">
        <v>4</v>
      </c>
      <c r="F160" s="6" t="s">
        <v>39</v>
      </c>
      <c r="G160" s="6" t="s">
        <v>40</v>
      </c>
      <c r="H160" s="6" t="s">
        <v>41</v>
      </c>
      <c r="I160" s="6" t="s">
        <v>26</v>
      </c>
      <c r="J160" s="6" t="s">
        <v>27</v>
      </c>
      <c r="K160" s="6" t="n">
        <v>9</v>
      </c>
      <c r="L160" s="6" t="s">
        <v>235</v>
      </c>
      <c r="M160" s="6" t="s">
        <v>49</v>
      </c>
      <c r="N160" s="6"/>
    </row>
    <row r="161" customFormat="false" ht="15" hidden="false" customHeight="false" outlineLevel="0" collapsed="false">
      <c r="A161" s="8" t="s">
        <v>294</v>
      </c>
      <c r="B161" s="6" t="s">
        <v>291</v>
      </c>
      <c r="C161" s="6" t="n">
        <v>36</v>
      </c>
      <c r="D161" s="6" t="n">
        <v>94</v>
      </c>
      <c r="E161" s="6" t="n">
        <v>5</v>
      </c>
      <c r="F161" s="6" t="s">
        <v>44</v>
      </c>
      <c r="G161" s="6" t="s">
        <v>35</v>
      </c>
      <c r="H161" s="6" t="s">
        <v>25</v>
      </c>
      <c r="I161" s="6" t="s">
        <v>26</v>
      </c>
      <c r="J161" s="6" t="s">
        <v>27</v>
      </c>
      <c r="K161" s="6" t="n">
        <v>9</v>
      </c>
      <c r="L161" s="6" t="s">
        <v>176</v>
      </c>
      <c r="M161" s="6" t="s">
        <v>138</v>
      </c>
      <c r="N161" s="6"/>
    </row>
    <row r="162" customFormat="false" ht="15" hidden="false" customHeight="false" outlineLevel="0" collapsed="false">
      <c r="A162" s="8" t="s">
        <v>294</v>
      </c>
      <c r="B162" s="6" t="s">
        <v>291</v>
      </c>
      <c r="C162" s="6" t="n">
        <v>36</v>
      </c>
      <c r="D162" s="6" t="n">
        <v>94</v>
      </c>
      <c r="E162" s="6" t="n">
        <v>7</v>
      </c>
      <c r="F162" s="6" t="s">
        <v>175</v>
      </c>
      <c r="G162" s="6" t="s">
        <v>35</v>
      </c>
      <c r="H162" s="6" t="s">
        <v>41</v>
      </c>
      <c r="I162" s="6" t="s">
        <v>26</v>
      </c>
      <c r="J162" s="6" t="s">
        <v>27</v>
      </c>
      <c r="K162" s="6" t="n">
        <v>9</v>
      </c>
      <c r="L162" s="6" t="s">
        <v>190</v>
      </c>
      <c r="M162" s="6" t="s">
        <v>58</v>
      </c>
      <c r="N162" s="6"/>
    </row>
    <row r="163" customFormat="false" ht="15" hidden="false" customHeight="false" outlineLevel="0" collapsed="false">
      <c r="A163" s="8" t="s">
        <v>294</v>
      </c>
      <c r="B163" s="6" t="s">
        <v>291</v>
      </c>
      <c r="C163" s="6" t="n">
        <v>36</v>
      </c>
      <c r="D163" s="6" t="n">
        <v>85</v>
      </c>
      <c r="E163" s="6" t="n">
        <v>8</v>
      </c>
      <c r="F163" s="6" t="s">
        <v>50</v>
      </c>
      <c r="G163" s="6" t="s">
        <v>31</v>
      </c>
      <c r="H163" s="6" t="s">
        <v>36</v>
      </c>
      <c r="I163" s="6" t="s">
        <v>26</v>
      </c>
      <c r="J163" s="6" t="s">
        <v>27</v>
      </c>
      <c r="K163" s="6" t="n">
        <v>9</v>
      </c>
      <c r="L163" s="6" t="s">
        <v>60</v>
      </c>
      <c r="M163" s="6" t="s">
        <v>64</v>
      </c>
      <c r="N163" s="6"/>
    </row>
    <row r="164" customFormat="false" ht="15" hidden="false" customHeight="false" outlineLevel="0" collapsed="false">
      <c r="A164" s="8" t="s">
        <v>294</v>
      </c>
      <c r="B164" s="6" t="s">
        <v>291</v>
      </c>
      <c r="C164" s="6" t="n">
        <v>36</v>
      </c>
      <c r="D164" s="6" t="n">
        <v>85</v>
      </c>
      <c r="E164" s="6" t="n">
        <v>9</v>
      </c>
      <c r="F164" s="6" t="s">
        <v>53</v>
      </c>
      <c r="G164" s="6" t="s">
        <v>31</v>
      </c>
      <c r="H164" s="6" t="s">
        <v>41</v>
      </c>
      <c r="I164" s="6" t="s">
        <v>26</v>
      </c>
      <c r="J164" s="6" t="s">
        <v>27</v>
      </c>
      <c r="K164" s="6" t="n">
        <v>9</v>
      </c>
      <c r="L164" s="6" t="s">
        <v>67</v>
      </c>
      <c r="M164" s="6" t="s">
        <v>236</v>
      </c>
      <c r="N164" s="6"/>
    </row>
    <row r="165" customFormat="false" ht="15" hidden="false" customHeight="false" outlineLevel="0" collapsed="false">
      <c r="A165" s="8" t="s">
        <v>294</v>
      </c>
      <c r="B165" s="6" t="s">
        <v>291</v>
      </c>
      <c r="C165" s="6" t="n">
        <v>36</v>
      </c>
      <c r="D165" s="6" t="n">
        <v>76</v>
      </c>
      <c r="E165" s="6" t="n">
        <v>10</v>
      </c>
      <c r="F165" s="6" t="s">
        <v>56</v>
      </c>
      <c r="G165" s="6" t="s">
        <v>40</v>
      </c>
      <c r="H165" s="6" t="s">
        <v>36</v>
      </c>
      <c r="I165" s="6" t="s">
        <v>26</v>
      </c>
      <c r="J165" s="6" t="s">
        <v>27</v>
      </c>
      <c r="K165" s="6" t="n">
        <v>9</v>
      </c>
      <c r="L165" s="6" t="s">
        <v>237</v>
      </c>
      <c r="M165" s="6" t="s">
        <v>143</v>
      </c>
      <c r="N165" s="6"/>
    </row>
    <row r="166" customFormat="false" ht="15" hidden="false" customHeight="false" outlineLevel="0" collapsed="false">
      <c r="A166" s="8" t="s">
        <v>294</v>
      </c>
      <c r="B166" s="6" t="s">
        <v>291</v>
      </c>
      <c r="C166" s="6" t="n">
        <v>36</v>
      </c>
      <c r="D166" s="6" t="n">
        <v>76</v>
      </c>
      <c r="E166" s="6" t="n">
        <v>11</v>
      </c>
      <c r="F166" s="6" t="s">
        <v>59</v>
      </c>
      <c r="G166" s="6" t="s">
        <v>40</v>
      </c>
      <c r="H166" s="6" t="s">
        <v>25</v>
      </c>
      <c r="I166" s="6" t="s">
        <v>26</v>
      </c>
      <c r="J166" s="6" t="s">
        <v>27</v>
      </c>
      <c r="K166" s="6" t="n">
        <v>9</v>
      </c>
      <c r="L166" s="6" t="s">
        <v>191</v>
      </c>
      <c r="M166" s="6" t="s">
        <v>238</v>
      </c>
      <c r="N166" s="6"/>
    </row>
    <row r="167" customFormat="false" ht="15" hidden="false" customHeight="false" outlineLevel="0" collapsed="false">
      <c r="A167" s="8" t="s">
        <v>294</v>
      </c>
      <c r="B167" s="6" t="s">
        <v>291</v>
      </c>
      <c r="C167" s="6" t="n">
        <v>36</v>
      </c>
      <c r="D167" s="6" t="n">
        <v>94</v>
      </c>
      <c r="E167" s="6" t="n">
        <v>13</v>
      </c>
      <c r="F167" s="6" t="s">
        <v>44</v>
      </c>
      <c r="G167" s="6" t="s">
        <v>35</v>
      </c>
      <c r="H167" s="6" t="s">
        <v>25</v>
      </c>
      <c r="I167" s="6" t="s">
        <v>65</v>
      </c>
      <c r="J167" s="6" t="s">
        <v>66</v>
      </c>
      <c r="K167" s="6" t="n">
        <v>15</v>
      </c>
      <c r="L167" s="6" t="s">
        <v>28</v>
      </c>
      <c r="M167" s="6" t="s">
        <v>184</v>
      </c>
      <c r="N167" s="6" t="s">
        <v>297</v>
      </c>
    </row>
    <row r="168" customFormat="false" ht="15" hidden="false" customHeight="false" outlineLevel="0" collapsed="false">
      <c r="A168" s="8" t="s">
        <v>294</v>
      </c>
      <c r="B168" s="6" t="s">
        <v>291</v>
      </c>
      <c r="C168" s="6" t="n">
        <v>36</v>
      </c>
      <c r="D168" s="6" t="n">
        <v>76</v>
      </c>
      <c r="E168" s="6" t="n">
        <v>15</v>
      </c>
      <c r="F168" s="6" t="s">
        <v>39</v>
      </c>
      <c r="G168" s="6" t="s">
        <v>40</v>
      </c>
      <c r="H168" s="6" t="s">
        <v>41</v>
      </c>
      <c r="I168" s="6" t="s">
        <v>65</v>
      </c>
      <c r="J168" s="6" t="s">
        <v>66</v>
      </c>
      <c r="K168" s="6" t="n">
        <v>15</v>
      </c>
      <c r="L168" s="6" t="s">
        <v>242</v>
      </c>
      <c r="M168" s="6" t="s">
        <v>81</v>
      </c>
      <c r="N168" s="6"/>
    </row>
    <row r="169" customFormat="false" ht="15" hidden="false" customHeight="false" outlineLevel="0" collapsed="false">
      <c r="A169" s="8" t="s">
        <v>294</v>
      </c>
      <c r="B169" s="6" t="s">
        <v>291</v>
      </c>
      <c r="C169" s="6" t="n">
        <v>36</v>
      </c>
      <c r="D169" s="6" t="n">
        <v>85</v>
      </c>
      <c r="E169" s="6" t="n">
        <v>16</v>
      </c>
      <c r="F169" s="6" t="s">
        <v>50</v>
      </c>
      <c r="G169" s="6" t="s">
        <v>31</v>
      </c>
      <c r="H169" s="6" t="s">
        <v>36</v>
      </c>
      <c r="I169" s="6" t="s">
        <v>65</v>
      </c>
      <c r="J169" s="6" t="s">
        <v>66</v>
      </c>
      <c r="K169" s="6" t="n">
        <v>15</v>
      </c>
      <c r="L169" s="6" t="s">
        <v>243</v>
      </c>
      <c r="M169" s="6" t="s">
        <v>85</v>
      </c>
      <c r="N169" s="6"/>
    </row>
    <row r="170" customFormat="false" ht="15" hidden="false" customHeight="false" outlineLevel="0" collapsed="false">
      <c r="A170" s="8" t="s">
        <v>294</v>
      </c>
      <c r="B170" s="6" t="s">
        <v>291</v>
      </c>
      <c r="C170" s="6" t="n">
        <v>36</v>
      </c>
      <c r="D170" s="6" t="n">
        <v>76</v>
      </c>
      <c r="E170" s="6" t="n">
        <v>17</v>
      </c>
      <c r="F170" s="6" t="s">
        <v>59</v>
      </c>
      <c r="G170" s="6" t="s">
        <v>40</v>
      </c>
      <c r="H170" s="6" t="s">
        <v>25</v>
      </c>
      <c r="I170" s="6" t="s">
        <v>65</v>
      </c>
      <c r="J170" s="6" t="s">
        <v>66</v>
      </c>
      <c r="K170" s="6" t="n">
        <v>15</v>
      </c>
      <c r="L170" s="6" t="s">
        <v>244</v>
      </c>
      <c r="M170" s="6" t="s">
        <v>245</v>
      </c>
      <c r="N170" s="6"/>
    </row>
    <row r="171" customFormat="false" ht="15" hidden="false" customHeight="false" outlineLevel="0" collapsed="false">
      <c r="A171" s="8" t="s">
        <v>294</v>
      </c>
      <c r="B171" s="6" t="s">
        <v>291</v>
      </c>
      <c r="C171" s="6" t="n">
        <v>36</v>
      </c>
      <c r="D171" s="6" t="n">
        <v>85</v>
      </c>
      <c r="E171" s="6" t="n">
        <v>19</v>
      </c>
      <c r="F171" s="6" t="s">
        <v>30</v>
      </c>
      <c r="G171" s="6" t="s">
        <v>31</v>
      </c>
      <c r="H171" s="6" t="s">
        <v>25</v>
      </c>
      <c r="I171" s="6" t="s">
        <v>65</v>
      </c>
      <c r="J171" s="6" t="s">
        <v>66</v>
      </c>
      <c r="K171" s="6" t="n">
        <v>15</v>
      </c>
      <c r="L171" s="6" t="s">
        <v>248</v>
      </c>
      <c r="M171" s="6" t="s">
        <v>249</v>
      </c>
      <c r="N171" s="6"/>
    </row>
    <row r="172" customFormat="false" ht="15" hidden="false" customHeight="false" outlineLevel="0" collapsed="false">
      <c r="A172" s="8" t="s">
        <v>294</v>
      </c>
      <c r="B172" s="6" t="s">
        <v>291</v>
      </c>
      <c r="C172" s="6" t="n">
        <v>36</v>
      </c>
      <c r="D172" s="6" t="n">
        <v>76</v>
      </c>
      <c r="E172" s="6" t="n">
        <v>21</v>
      </c>
      <c r="F172" s="6" t="s">
        <v>56</v>
      </c>
      <c r="G172" s="6" t="s">
        <v>40</v>
      </c>
      <c r="H172" s="6" t="s">
        <v>36</v>
      </c>
      <c r="I172" s="6" t="s">
        <v>65</v>
      </c>
      <c r="J172" s="6" t="s">
        <v>66</v>
      </c>
      <c r="K172" s="6" t="n">
        <v>15</v>
      </c>
      <c r="L172" s="6" t="s">
        <v>251</v>
      </c>
      <c r="M172" s="6" t="s">
        <v>252</v>
      </c>
      <c r="N172" s="6"/>
    </row>
    <row r="173" customFormat="false" ht="15" hidden="false" customHeight="false" outlineLevel="0" collapsed="false">
      <c r="A173" s="8" t="s">
        <v>294</v>
      </c>
      <c r="B173" s="6" t="s">
        <v>291</v>
      </c>
      <c r="C173" s="6" t="n">
        <v>36</v>
      </c>
      <c r="D173" s="6" t="n">
        <v>85</v>
      </c>
      <c r="E173" s="6" t="n">
        <v>22</v>
      </c>
      <c r="F173" s="6" t="s">
        <v>53</v>
      </c>
      <c r="G173" s="6" t="s">
        <v>31</v>
      </c>
      <c r="H173" s="6" t="s">
        <v>41</v>
      </c>
      <c r="I173" s="6" t="s">
        <v>65</v>
      </c>
      <c r="J173" s="6" t="s">
        <v>66</v>
      </c>
      <c r="K173" s="6" t="n">
        <v>15</v>
      </c>
      <c r="L173" s="6" t="s">
        <v>253</v>
      </c>
      <c r="M173" s="6" t="s">
        <v>254</v>
      </c>
      <c r="N173" s="6"/>
    </row>
    <row r="174" customFormat="false" ht="15" hidden="false" customHeight="false" outlineLevel="0" collapsed="false">
      <c r="A174" s="8" t="s">
        <v>294</v>
      </c>
      <c r="B174" s="6" t="s">
        <v>291</v>
      </c>
      <c r="C174" s="6" t="n">
        <v>36</v>
      </c>
      <c r="D174" s="6" t="n">
        <v>94</v>
      </c>
      <c r="E174" s="6" t="n">
        <v>23</v>
      </c>
      <c r="F174" s="6" t="s">
        <v>34</v>
      </c>
      <c r="G174" s="6" t="s">
        <v>35</v>
      </c>
      <c r="H174" s="6" t="s">
        <v>36</v>
      </c>
      <c r="I174" s="6" t="s">
        <v>65</v>
      </c>
      <c r="J174" s="6" t="s">
        <v>66</v>
      </c>
      <c r="K174" s="6" t="n">
        <v>15</v>
      </c>
      <c r="L174" s="6" t="s">
        <v>255</v>
      </c>
      <c r="M174" s="6" t="s">
        <v>103</v>
      </c>
      <c r="N174" s="6"/>
    </row>
    <row r="175" customFormat="false" ht="15" hidden="false" customHeight="false" outlineLevel="0" collapsed="false">
      <c r="A175" s="8" t="s">
        <v>294</v>
      </c>
      <c r="B175" s="6" t="s">
        <v>291</v>
      </c>
      <c r="C175" s="6" t="n">
        <v>36</v>
      </c>
      <c r="D175" s="6" t="n">
        <v>94</v>
      </c>
      <c r="E175" s="6" t="n">
        <v>24</v>
      </c>
      <c r="F175" s="6" t="s">
        <v>175</v>
      </c>
      <c r="G175" s="6" t="s">
        <v>35</v>
      </c>
      <c r="H175" s="6" t="s">
        <v>41</v>
      </c>
      <c r="I175" s="6" t="s">
        <v>65</v>
      </c>
      <c r="J175" s="6" t="s">
        <v>66</v>
      </c>
      <c r="K175" s="6" t="n">
        <v>15</v>
      </c>
      <c r="L175" s="6" t="s">
        <v>104</v>
      </c>
      <c r="M175" s="6" t="s">
        <v>107</v>
      </c>
      <c r="N175" s="6"/>
    </row>
    <row r="176" customFormat="false" ht="15" hidden="false" customHeight="false" outlineLevel="0" collapsed="false">
      <c r="A176" s="8" t="s">
        <v>294</v>
      </c>
      <c r="B176" s="6" t="s">
        <v>291</v>
      </c>
      <c r="C176" s="6" t="n">
        <v>36</v>
      </c>
      <c r="D176" s="6" t="n">
        <v>94</v>
      </c>
      <c r="E176" s="6" t="n">
        <v>25</v>
      </c>
      <c r="F176" s="6" t="s">
        <v>34</v>
      </c>
      <c r="G176" s="6" t="s">
        <v>35</v>
      </c>
      <c r="H176" s="6" t="s">
        <v>36</v>
      </c>
      <c r="I176" s="6" t="s">
        <v>89</v>
      </c>
      <c r="J176" s="6" t="s">
        <v>66</v>
      </c>
      <c r="K176" s="6" t="n">
        <v>15</v>
      </c>
      <c r="L176" s="6" t="s">
        <v>179</v>
      </c>
      <c r="M176" s="6" t="s">
        <v>180</v>
      </c>
      <c r="N176" s="6"/>
    </row>
    <row r="177" customFormat="false" ht="15" hidden="false" customHeight="false" outlineLevel="0" collapsed="false">
      <c r="A177" s="8" t="s">
        <v>294</v>
      </c>
      <c r="B177" s="6" t="s">
        <v>291</v>
      </c>
      <c r="C177" s="6" t="n">
        <v>36</v>
      </c>
      <c r="D177" s="6" t="n">
        <v>85</v>
      </c>
      <c r="E177" s="6" t="n">
        <v>27</v>
      </c>
      <c r="F177" s="6" t="s">
        <v>50</v>
      </c>
      <c r="G177" s="6" t="s">
        <v>31</v>
      </c>
      <c r="H177" s="6" t="s">
        <v>36</v>
      </c>
      <c r="I177" s="6" t="s">
        <v>89</v>
      </c>
      <c r="J177" s="6" t="s">
        <v>66</v>
      </c>
      <c r="K177" s="6" t="n">
        <v>15</v>
      </c>
      <c r="L177" s="6" t="s">
        <v>257</v>
      </c>
      <c r="M177" s="6" t="s">
        <v>114</v>
      </c>
      <c r="N177" s="6"/>
    </row>
    <row r="178" customFormat="false" ht="15" hidden="false" customHeight="false" outlineLevel="0" collapsed="false">
      <c r="A178" s="8" t="s">
        <v>294</v>
      </c>
      <c r="B178" s="6" t="s">
        <v>291</v>
      </c>
      <c r="C178" s="6" t="n">
        <v>36</v>
      </c>
      <c r="D178" s="6" t="n">
        <v>76</v>
      </c>
      <c r="E178" s="6" t="n">
        <v>29</v>
      </c>
      <c r="F178" s="6" t="s">
        <v>56</v>
      </c>
      <c r="G178" s="6" t="s">
        <v>40</v>
      </c>
      <c r="H178" s="6" t="s">
        <v>36</v>
      </c>
      <c r="I178" s="6" t="s">
        <v>89</v>
      </c>
      <c r="J178" s="6" t="s">
        <v>66</v>
      </c>
      <c r="K178" s="6" t="n">
        <v>15</v>
      </c>
      <c r="L178" s="6" t="s">
        <v>117</v>
      </c>
      <c r="M178" s="6" t="s">
        <v>258</v>
      </c>
      <c r="N178" s="6"/>
    </row>
    <row r="179" customFormat="false" ht="15" hidden="false" customHeight="false" outlineLevel="0" collapsed="false">
      <c r="A179" s="8" t="s">
        <v>294</v>
      </c>
      <c r="B179" s="6" t="s">
        <v>291</v>
      </c>
      <c r="C179" s="6" t="n">
        <v>36</v>
      </c>
      <c r="D179" s="6" t="n">
        <v>94</v>
      </c>
      <c r="E179" s="6" t="n">
        <v>30</v>
      </c>
      <c r="F179" s="6" t="s">
        <v>44</v>
      </c>
      <c r="G179" s="6" t="s">
        <v>35</v>
      </c>
      <c r="H179" s="6" t="s">
        <v>25</v>
      </c>
      <c r="I179" s="6" t="s">
        <v>89</v>
      </c>
      <c r="J179" s="6" t="s">
        <v>66</v>
      </c>
      <c r="K179" s="6" t="n">
        <v>15</v>
      </c>
      <c r="L179" s="6" t="s">
        <v>259</v>
      </c>
      <c r="M179" s="6" t="s">
        <v>260</v>
      </c>
      <c r="N179" s="6"/>
    </row>
    <row r="180" customFormat="false" ht="15" hidden="false" customHeight="false" outlineLevel="0" collapsed="false">
      <c r="A180" s="8" t="s">
        <v>294</v>
      </c>
      <c r="B180" s="6" t="s">
        <v>291</v>
      </c>
      <c r="C180" s="6" t="n">
        <v>36</v>
      </c>
      <c r="D180" s="6" t="n">
        <v>85</v>
      </c>
      <c r="E180" s="6" t="n">
        <v>31</v>
      </c>
      <c r="F180" s="6" t="s">
        <v>53</v>
      </c>
      <c r="G180" s="6" t="s">
        <v>31</v>
      </c>
      <c r="H180" s="6" t="s">
        <v>41</v>
      </c>
      <c r="I180" s="6" t="s">
        <v>89</v>
      </c>
      <c r="J180" s="6" t="s">
        <v>66</v>
      </c>
      <c r="K180" s="6" t="n">
        <v>15</v>
      </c>
      <c r="L180" s="6" t="s">
        <v>261</v>
      </c>
      <c r="M180" s="6" t="s">
        <v>262</v>
      </c>
      <c r="N180" s="6"/>
    </row>
    <row r="181" customFormat="false" ht="15" hidden="false" customHeight="false" outlineLevel="0" collapsed="false">
      <c r="A181" s="8" t="s">
        <v>294</v>
      </c>
      <c r="B181" s="6" t="s">
        <v>291</v>
      </c>
      <c r="C181" s="6" t="n">
        <v>36</v>
      </c>
      <c r="D181" s="6" t="n">
        <v>76</v>
      </c>
      <c r="E181" s="6" t="n">
        <v>32</v>
      </c>
      <c r="F181" s="6" t="s">
        <v>59</v>
      </c>
      <c r="G181" s="6" t="s">
        <v>40</v>
      </c>
      <c r="H181" s="6" t="s">
        <v>25</v>
      </c>
      <c r="I181" s="6" t="s">
        <v>89</v>
      </c>
      <c r="J181" s="6" t="s">
        <v>66</v>
      </c>
      <c r="K181" s="6" t="n">
        <v>15</v>
      </c>
      <c r="L181" s="6" t="s">
        <v>263</v>
      </c>
      <c r="M181" s="6" t="s">
        <v>124</v>
      </c>
      <c r="N181" s="6"/>
    </row>
    <row r="182" customFormat="false" ht="15" hidden="false" customHeight="false" outlineLevel="0" collapsed="false">
      <c r="A182" s="8" t="s">
        <v>294</v>
      </c>
      <c r="B182" s="6" t="s">
        <v>291</v>
      </c>
      <c r="C182" s="6" t="n">
        <v>36</v>
      </c>
      <c r="D182" s="6" t="n">
        <v>94</v>
      </c>
      <c r="E182" s="6" t="n">
        <v>34</v>
      </c>
      <c r="F182" s="6" t="s">
        <v>175</v>
      </c>
      <c r="G182" s="6" t="s">
        <v>35</v>
      </c>
      <c r="H182" s="6" t="s">
        <v>41</v>
      </c>
      <c r="I182" s="6" t="s">
        <v>89</v>
      </c>
      <c r="J182" s="6" t="s">
        <v>66</v>
      </c>
      <c r="K182" s="6" t="n">
        <v>15</v>
      </c>
      <c r="L182" s="6" t="s">
        <v>185</v>
      </c>
      <c r="M182" s="6" t="s">
        <v>186</v>
      </c>
      <c r="N182" s="6" t="s">
        <v>297</v>
      </c>
    </row>
    <row r="183" customFormat="false" ht="15" hidden="false" customHeight="false" outlineLevel="0" collapsed="false">
      <c r="A183" s="8" t="s">
        <v>294</v>
      </c>
      <c r="B183" s="6" t="s">
        <v>291</v>
      </c>
      <c r="C183" s="6" t="n">
        <v>36</v>
      </c>
      <c r="D183" s="6" t="n">
        <v>85</v>
      </c>
      <c r="E183" s="6" t="n">
        <v>35</v>
      </c>
      <c r="F183" s="6" t="s">
        <v>30</v>
      </c>
      <c r="G183" s="6" t="s">
        <v>31</v>
      </c>
      <c r="H183" s="6" t="s">
        <v>25</v>
      </c>
      <c r="I183" s="6" t="s">
        <v>89</v>
      </c>
      <c r="J183" s="6" t="s">
        <v>66</v>
      </c>
      <c r="K183" s="6" t="n">
        <v>15</v>
      </c>
      <c r="L183" s="6" t="s">
        <v>129</v>
      </c>
      <c r="M183" s="6" t="s">
        <v>264</v>
      </c>
      <c r="N183" s="6"/>
    </row>
    <row r="184" customFormat="false" ht="15" hidden="false" customHeight="false" outlineLevel="0" collapsed="false">
      <c r="A184" s="8" t="s">
        <v>294</v>
      </c>
      <c r="B184" s="6" t="s">
        <v>291</v>
      </c>
      <c r="C184" s="6" t="n">
        <v>36</v>
      </c>
      <c r="D184" s="6" t="n">
        <v>76</v>
      </c>
      <c r="E184" s="6" t="n">
        <v>36</v>
      </c>
      <c r="F184" s="6" t="s">
        <v>39</v>
      </c>
      <c r="G184" s="6" t="s">
        <v>40</v>
      </c>
      <c r="H184" s="6" t="s">
        <v>41</v>
      </c>
      <c r="I184" s="6" t="s">
        <v>89</v>
      </c>
      <c r="J184" s="6" t="s">
        <v>66</v>
      </c>
      <c r="K184" s="6" t="n">
        <v>15</v>
      </c>
      <c r="L184" s="6" t="s">
        <v>295</v>
      </c>
      <c r="M184" s="6" t="s">
        <v>296</v>
      </c>
      <c r="N184" s="6"/>
    </row>
    <row r="185" customFormat="false" ht="15" hidden="false" customHeight="false" outlineLevel="0" collapsed="false">
      <c r="A185" s="8" t="s">
        <v>294</v>
      </c>
      <c r="B185" s="6" t="s">
        <v>291</v>
      </c>
      <c r="C185" s="6" t="n">
        <v>36</v>
      </c>
      <c r="D185" s="6" t="n">
        <v>76</v>
      </c>
      <c r="E185" s="6" t="n">
        <v>37</v>
      </c>
      <c r="F185" s="6" t="s">
        <v>39</v>
      </c>
      <c r="G185" s="6" t="s">
        <v>40</v>
      </c>
      <c r="H185" s="6" t="s">
        <v>41</v>
      </c>
      <c r="I185" s="6" t="s">
        <v>112</v>
      </c>
      <c r="J185" s="6" t="s">
        <v>66</v>
      </c>
      <c r="K185" s="6" t="n">
        <v>15</v>
      </c>
      <c r="L185" s="6" t="s">
        <v>265</v>
      </c>
      <c r="M185" s="6" t="s">
        <v>266</v>
      </c>
      <c r="N185" s="6"/>
    </row>
    <row r="186" customFormat="false" ht="15" hidden="false" customHeight="false" outlineLevel="0" collapsed="false">
      <c r="A186" s="8" t="s">
        <v>294</v>
      </c>
      <c r="B186" s="6" t="s">
        <v>291</v>
      </c>
      <c r="C186" s="6" t="n">
        <v>36</v>
      </c>
      <c r="D186" s="6" t="n">
        <v>94</v>
      </c>
      <c r="E186" s="6" t="n">
        <v>38</v>
      </c>
      <c r="F186" s="6" t="s">
        <v>34</v>
      </c>
      <c r="G186" s="6" t="s">
        <v>35</v>
      </c>
      <c r="H186" s="6" t="s">
        <v>36</v>
      </c>
      <c r="I186" s="6" t="s">
        <v>112</v>
      </c>
      <c r="J186" s="6" t="s">
        <v>66</v>
      </c>
      <c r="K186" s="6" t="n">
        <v>15</v>
      </c>
      <c r="L186" s="6" t="s">
        <v>187</v>
      </c>
      <c r="M186" s="6" t="s">
        <v>138</v>
      </c>
      <c r="N186" s="6" t="s">
        <v>297</v>
      </c>
    </row>
    <row r="187" customFormat="false" ht="15" hidden="false" customHeight="false" outlineLevel="0" collapsed="false">
      <c r="A187" s="8" t="s">
        <v>294</v>
      </c>
      <c r="B187" s="6" t="s">
        <v>291</v>
      </c>
      <c r="C187" s="6" t="n">
        <v>36</v>
      </c>
      <c r="D187" s="6" t="n">
        <v>85</v>
      </c>
      <c r="E187" s="6" t="n">
        <v>39</v>
      </c>
      <c r="F187" s="6" t="s">
        <v>30</v>
      </c>
      <c r="G187" s="6" t="s">
        <v>31</v>
      </c>
      <c r="H187" s="6" t="s">
        <v>25</v>
      </c>
      <c r="I187" s="6" t="s">
        <v>112</v>
      </c>
      <c r="J187" s="6" t="s">
        <v>66</v>
      </c>
      <c r="K187" s="6" t="n">
        <v>15</v>
      </c>
      <c r="L187" s="6" t="s">
        <v>267</v>
      </c>
      <c r="M187" s="6" t="s">
        <v>268</v>
      </c>
      <c r="N187" s="6"/>
    </row>
    <row r="188" customFormat="false" ht="15" hidden="false" customHeight="false" outlineLevel="0" collapsed="false">
      <c r="A188" s="8" t="s">
        <v>294</v>
      </c>
      <c r="B188" s="6" t="s">
        <v>291</v>
      </c>
      <c r="C188" s="6" t="n">
        <v>36</v>
      </c>
      <c r="D188" s="6" t="n">
        <v>85</v>
      </c>
      <c r="E188" s="6" t="n">
        <v>40</v>
      </c>
      <c r="F188" s="6" t="s">
        <v>50</v>
      </c>
      <c r="G188" s="6" t="s">
        <v>31</v>
      </c>
      <c r="H188" s="6" t="s">
        <v>36</v>
      </c>
      <c r="I188" s="6" t="s">
        <v>112</v>
      </c>
      <c r="J188" s="6" t="s">
        <v>66</v>
      </c>
      <c r="K188" s="6" t="n">
        <v>15</v>
      </c>
      <c r="L188" s="6" t="s">
        <v>269</v>
      </c>
      <c r="M188" s="6" t="s">
        <v>270</v>
      </c>
      <c r="N188" s="6"/>
    </row>
    <row r="189" customFormat="false" ht="15" hidden="false" customHeight="false" outlineLevel="0" collapsed="false">
      <c r="A189" s="8" t="s">
        <v>294</v>
      </c>
      <c r="B189" s="6" t="s">
        <v>291</v>
      </c>
      <c r="C189" s="6" t="n">
        <v>36</v>
      </c>
      <c r="D189" s="6" t="n">
        <v>94</v>
      </c>
      <c r="E189" s="6" t="n">
        <v>41</v>
      </c>
      <c r="F189" s="6" t="s">
        <v>175</v>
      </c>
      <c r="G189" s="6" t="s">
        <v>35</v>
      </c>
      <c r="H189" s="6" t="s">
        <v>41</v>
      </c>
      <c r="I189" s="6" t="s">
        <v>112</v>
      </c>
      <c r="J189" s="6" t="s">
        <v>66</v>
      </c>
      <c r="K189" s="6" t="n">
        <v>15</v>
      </c>
      <c r="L189" s="6" t="s">
        <v>51</v>
      </c>
      <c r="M189" s="6" t="s">
        <v>298</v>
      </c>
      <c r="N189" s="6" t="s">
        <v>297</v>
      </c>
    </row>
    <row r="190" customFormat="false" ht="15" hidden="false" customHeight="false" outlineLevel="0" collapsed="false">
      <c r="A190" s="8" t="s">
        <v>294</v>
      </c>
      <c r="B190" s="6" t="s">
        <v>291</v>
      </c>
      <c r="C190" s="6" t="n">
        <v>36</v>
      </c>
      <c r="D190" s="6" t="n">
        <v>94</v>
      </c>
      <c r="E190" s="6" t="n">
        <v>42</v>
      </c>
      <c r="F190" s="6" t="s">
        <v>44</v>
      </c>
      <c r="G190" s="6" t="s">
        <v>35</v>
      </c>
      <c r="H190" s="6" t="s">
        <v>25</v>
      </c>
      <c r="I190" s="6" t="s">
        <v>112</v>
      </c>
      <c r="J190" s="6" t="s">
        <v>66</v>
      </c>
      <c r="K190" s="6" t="n">
        <v>15</v>
      </c>
      <c r="L190" s="6" t="s">
        <v>299</v>
      </c>
      <c r="M190" s="6" t="s">
        <v>300</v>
      </c>
      <c r="N190" s="6" t="s">
        <v>297</v>
      </c>
    </row>
    <row r="191" customFormat="false" ht="15" hidden="false" customHeight="false" outlineLevel="0" collapsed="false">
      <c r="A191" s="8" t="s">
        <v>294</v>
      </c>
      <c r="B191" s="6" t="s">
        <v>291</v>
      </c>
      <c r="C191" s="6" t="n">
        <v>36</v>
      </c>
      <c r="D191" s="6" t="n">
        <v>85</v>
      </c>
      <c r="E191" s="6" t="n">
        <v>43</v>
      </c>
      <c r="F191" s="6" t="s">
        <v>53</v>
      </c>
      <c r="G191" s="6" t="s">
        <v>31</v>
      </c>
      <c r="H191" s="6" t="s">
        <v>41</v>
      </c>
      <c r="I191" s="6" t="s">
        <v>112</v>
      </c>
      <c r="J191" s="6" t="s">
        <v>66</v>
      </c>
      <c r="K191" s="6" t="n">
        <v>15</v>
      </c>
      <c r="L191" s="6" t="s">
        <v>271</v>
      </c>
      <c r="M191" s="6" t="s">
        <v>272</v>
      </c>
      <c r="N191" s="6"/>
    </row>
    <row r="192" customFormat="false" ht="15" hidden="false" customHeight="false" outlineLevel="0" collapsed="false">
      <c r="A192" s="8" t="s">
        <v>294</v>
      </c>
      <c r="B192" s="6" t="s">
        <v>291</v>
      </c>
      <c r="C192" s="6" t="n">
        <v>36</v>
      </c>
      <c r="D192" s="6" t="n">
        <v>76</v>
      </c>
      <c r="E192" s="6" t="n">
        <v>44</v>
      </c>
      <c r="F192" s="6" t="s">
        <v>59</v>
      </c>
      <c r="G192" s="6" t="s">
        <v>40</v>
      </c>
      <c r="H192" s="6" t="s">
        <v>25</v>
      </c>
      <c r="I192" s="6" t="s">
        <v>112</v>
      </c>
      <c r="J192" s="6" t="s">
        <v>66</v>
      </c>
      <c r="K192" s="6" t="n">
        <v>15</v>
      </c>
      <c r="L192" s="6" t="s">
        <v>273</v>
      </c>
      <c r="M192" s="6" t="s">
        <v>274</v>
      </c>
      <c r="N192" s="6"/>
    </row>
    <row r="193" customFormat="false" ht="15" hidden="false" customHeight="false" outlineLevel="0" collapsed="false">
      <c r="A193" s="8" t="s">
        <v>294</v>
      </c>
      <c r="B193" s="6" t="s">
        <v>291</v>
      </c>
      <c r="C193" s="6" t="n">
        <v>36</v>
      </c>
      <c r="D193" s="6" t="n">
        <v>76</v>
      </c>
      <c r="E193" s="6" t="n">
        <v>48</v>
      </c>
      <c r="F193" s="6" t="s">
        <v>56</v>
      </c>
      <c r="G193" s="6" t="s">
        <v>40</v>
      </c>
      <c r="H193" s="6" t="s">
        <v>36</v>
      </c>
      <c r="I193" s="6" t="s">
        <v>112</v>
      </c>
      <c r="J193" s="6" t="s">
        <v>66</v>
      </c>
      <c r="K193" s="6" t="n">
        <v>15</v>
      </c>
      <c r="L193" s="6" t="s">
        <v>279</v>
      </c>
      <c r="M193" s="6" t="s">
        <v>280</v>
      </c>
      <c r="N193" s="6"/>
    </row>
  </sheetData>
  <autoFilter ref="A1:N1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6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22"/>
    <col collapsed="false" customWidth="true" hidden="false" outlineLevel="0" max="14" min="14" style="0" width="44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301</v>
      </c>
      <c r="P1" s="4" t="s">
        <v>302</v>
      </c>
    </row>
    <row r="2" customFormat="false" ht="15" hidden="false" customHeight="false" outlineLevel="0" collapsed="false">
      <c r="A2" s="5" t="s">
        <v>21</v>
      </c>
      <c r="B2" s="6" t="s">
        <v>22</v>
      </c>
      <c r="C2" s="6" t="n">
        <v>6</v>
      </c>
      <c r="D2" s="6" t="n">
        <v>33</v>
      </c>
      <c r="E2" s="6" t="n">
        <v>1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n">
        <v>3</v>
      </c>
      <c r="L2" s="6" t="s">
        <v>28</v>
      </c>
      <c r="M2" s="6" t="s">
        <v>29</v>
      </c>
      <c r="N2" s="6"/>
      <c r="O2" s="9" t="n">
        <v>0</v>
      </c>
      <c r="P2" s="6" t="str">
        <f aca="false">IF(O2="","",IF(O2=0,"Healthy",IF(O2&lt;=5,"Very low",IF(O2&lt;=10,"Low",IF(O2&lt;=25,"Moderate",IF(O2&lt;=50,"High","Very high"))))))</f>
        <v>Healthy</v>
      </c>
    </row>
    <row r="3" customFormat="false" ht="15" hidden="false" customHeight="false" outlineLevel="0" collapsed="false">
      <c r="A3" s="5" t="s">
        <v>21</v>
      </c>
      <c r="B3" s="6" t="s">
        <v>22</v>
      </c>
      <c r="C3" s="6" t="n">
        <v>6</v>
      </c>
      <c r="D3" s="6" t="n">
        <v>55</v>
      </c>
      <c r="E3" s="6" t="n">
        <v>2</v>
      </c>
      <c r="F3" s="6" t="s">
        <v>30</v>
      </c>
      <c r="G3" s="6" t="s">
        <v>31</v>
      </c>
      <c r="H3" s="6" t="s">
        <v>25</v>
      </c>
      <c r="I3" s="6" t="s">
        <v>26</v>
      </c>
      <c r="J3" s="6" t="s">
        <v>27</v>
      </c>
      <c r="K3" s="6" t="n">
        <v>6</v>
      </c>
      <c r="L3" s="6" t="s">
        <v>32</v>
      </c>
      <c r="M3" s="6" t="s">
        <v>33</v>
      </c>
      <c r="N3" s="6"/>
      <c r="O3" s="9" t="n">
        <v>0</v>
      </c>
      <c r="P3" s="6" t="str">
        <f aca="false">IF(O3="","",IF(O3=0,"Healthy",IF(O3&lt;=5,"Very low",IF(O3&lt;=10,"Low",IF(O3&lt;=25,"Moderate",IF(O3&lt;=50,"High","Very high"))))))</f>
        <v>Healthy</v>
      </c>
    </row>
    <row r="4" customFormat="false" ht="15" hidden="false" customHeight="false" outlineLevel="0" collapsed="false">
      <c r="A4" s="5" t="s">
        <v>21</v>
      </c>
      <c r="B4" s="6" t="s">
        <v>22</v>
      </c>
      <c r="C4" s="6" t="n">
        <v>6</v>
      </c>
      <c r="D4" s="6" t="n">
        <v>64</v>
      </c>
      <c r="E4" s="6" t="n">
        <v>3</v>
      </c>
      <c r="F4" s="6" t="s">
        <v>34</v>
      </c>
      <c r="G4" s="6" t="s">
        <v>35</v>
      </c>
      <c r="H4" s="6" t="s">
        <v>36</v>
      </c>
      <c r="I4" s="6" t="s">
        <v>26</v>
      </c>
      <c r="J4" s="6" t="s">
        <v>27</v>
      </c>
      <c r="K4" s="6" t="n">
        <v>9</v>
      </c>
      <c r="L4" s="6" t="s">
        <v>37</v>
      </c>
      <c r="M4" s="6" t="s">
        <v>38</v>
      </c>
      <c r="N4" s="6"/>
      <c r="O4" s="9" t="n">
        <v>0</v>
      </c>
      <c r="P4" s="6" t="str">
        <f aca="false">IF(O4="","",IF(O4=0,"Healthy",IF(O4&lt;=5,"Very low",IF(O4&lt;=10,"Low",IF(O4&lt;=25,"Moderate",IF(O4&lt;=50,"High","Very high"))))))</f>
        <v>Healthy</v>
      </c>
    </row>
    <row r="5" customFormat="false" ht="15" hidden="false" customHeight="false" outlineLevel="0" collapsed="false">
      <c r="A5" s="5" t="s">
        <v>21</v>
      </c>
      <c r="B5" s="6" t="s">
        <v>22</v>
      </c>
      <c r="C5" s="6" t="n">
        <v>6</v>
      </c>
      <c r="D5" s="6" t="n">
        <v>46</v>
      </c>
      <c r="E5" s="6" t="n">
        <v>4</v>
      </c>
      <c r="F5" s="6" t="s">
        <v>39</v>
      </c>
      <c r="G5" s="6" t="s">
        <v>40</v>
      </c>
      <c r="H5" s="6" t="s">
        <v>41</v>
      </c>
      <c r="I5" s="6" t="s">
        <v>26</v>
      </c>
      <c r="J5" s="6" t="s">
        <v>27</v>
      </c>
      <c r="K5" s="6" t="n">
        <v>6</v>
      </c>
      <c r="L5" s="6" t="s">
        <v>42</v>
      </c>
      <c r="M5" s="6" t="s">
        <v>43</v>
      </c>
      <c r="N5" s="6"/>
      <c r="O5" s="9" t="n">
        <v>0</v>
      </c>
      <c r="P5" s="6" t="str">
        <f aca="false">IF(O5="","",IF(O5=0,"Healthy",IF(O5&lt;=5,"Very low",IF(O5&lt;=10,"Low",IF(O5&lt;=25,"Moderate",IF(O5&lt;=50,"High","Very high"))))))</f>
        <v>Healthy</v>
      </c>
    </row>
    <row r="6" customFormat="false" ht="15" hidden="false" customHeight="false" outlineLevel="0" collapsed="false">
      <c r="A6" s="5" t="s">
        <v>21</v>
      </c>
      <c r="B6" s="6" t="s">
        <v>22</v>
      </c>
      <c r="C6" s="6" t="n">
        <v>6</v>
      </c>
      <c r="D6" s="6" t="n">
        <v>64</v>
      </c>
      <c r="E6" s="6" t="n">
        <v>5</v>
      </c>
      <c r="F6" s="6" t="s">
        <v>44</v>
      </c>
      <c r="G6" s="6" t="s">
        <v>35</v>
      </c>
      <c r="H6" s="6" t="s">
        <v>25</v>
      </c>
      <c r="I6" s="6" t="s">
        <v>26</v>
      </c>
      <c r="J6" s="6" t="s">
        <v>27</v>
      </c>
      <c r="K6" s="6" t="n">
        <v>9</v>
      </c>
      <c r="L6" s="6" t="s">
        <v>45</v>
      </c>
      <c r="M6" s="6" t="s">
        <v>46</v>
      </c>
      <c r="N6" s="6"/>
      <c r="O6" s="9" t="n">
        <v>0</v>
      </c>
      <c r="P6" s="6" t="str">
        <f aca="false">IF(O6="","",IF(O6=0,"Healthy",IF(O6&lt;=5,"Very low",IF(O6&lt;=10,"Low",IF(O6&lt;=25,"Moderate",IF(O6&lt;=50,"High","Very high"))))))</f>
        <v>Healthy</v>
      </c>
    </row>
    <row r="7" customFormat="false" ht="15" hidden="false" customHeight="false" outlineLevel="0" collapsed="false">
      <c r="A7" s="5" t="s">
        <v>21</v>
      </c>
      <c r="B7" s="6" t="s">
        <v>22</v>
      </c>
      <c r="C7" s="6" t="n">
        <v>6</v>
      </c>
      <c r="D7" s="6" t="n">
        <v>33</v>
      </c>
      <c r="E7" s="6" t="n">
        <v>6</v>
      </c>
      <c r="F7" s="6" t="s">
        <v>47</v>
      </c>
      <c r="G7" s="6" t="s">
        <v>24</v>
      </c>
      <c r="H7" s="6" t="s">
        <v>36</v>
      </c>
      <c r="I7" s="6" t="s">
        <v>26</v>
      </c>
      <c r="J7" s="6" t="s">
        <v>27</v>
      </c>
      <c r="K7" s="6" t="n">
        <v>3</v>
      </c>
      <c r="L7" s="6" t="s">
        <v>48</v>
      </c>
      <c r="M7" s="6" t="s">
        <v>49</v>
      </c>
      <c r="N7" s="6"/>
      <c r="O7" s="9" t="n">
        <v>0</v>
      </c>
      <c r="P7" s="6" t="str">
        <f aca="false">IF(O7="","",IF(O7=0,"Healthy",IF(O7&lt;=5,"Very low",IF(O7&lt;=10,"Low",IF(O7&lt;=25,"Moderate",IF(O7&lt;=50,"High","Very high"))))))</f>
        <v>Healthy</v>
      </c>
    </row>
    <row r="8" customFormat="false" ht="15" hidden="false" customHeight="false" outlineLevel="0" collapsed="false">
      <c r="A8" s="5" t="s">
        <v>21</v>
      </c>
      <c r="B8" s="6" t="s">
        <v>22</v>
      </c>
      <c r="C8" s="6" t="n">
        <v>6</v>
      </c>
      <c r="D8" s="6" t="n">
        <v>55</v>
      </c>
      <c r="E8" s="6" t="n">
        <v>8</v>
      </c>
      <c r="F8" s="6" t="s">
        <v>50</v>
      </c>
      <c r="G8" s="6" t="s">
        <v>31</v>
      </c>
      <c r="H8" s="6" t="s">
        <v>36</v>
      </c>
      <c r="I8" s="6" t="s">
        <v>26</v>
      </c>
      <c r="J8" s="6" t="s">
        <v>27</v>
      </c>
      <c r="K8" s="6" t="n">
        <v>6</v>
      </c>
      <c r="L8" s="6" t="s">
        <v>51</v>
      </c>
      <c r="M8" s="6" t="s">
        <v>52</v>
      </c>
      <c r="N8" s="6"/>
      <c r="O8" s="9" t="n">
        <v>0</v>
      </c>
      <c r="P8" s="6" t="str">
        <f aca="false">IF(O8="","",IF(O8=0,"Healthy",IF(O8&lt;=5,"Very low",IF(O8&lt;=10,"Low",IF(O8&lt;=25,"Moderate",IF(O8&lt;=50,"High","Very high"))))))</f>
        <v>Healthy</v>
      </c>
    </row>
    <row r="9" customFormat="false" ht="15" hidden="false" customHeight="false" outlineLevel="0" collapsed="false">
      <c r="A9" s="5" t="s">
        <v>21</v>
      </c>
      <c r="B9" s="6" t="s">
        <v>22</v>
      </c>
      <c r="C9" s="6" t="n">
        <v>6</v>
      </c>
      <c r="D9" s="6" t="n">
        <v>55</v>
      </c>
      <c r="E9" s="6" t="n">
        <v>9</v>
      </c>
      <c r="F9" s="6" t="s">
        <v>53</v>
      </c>
      <c r="G9" s="6" t="s">
        <v>31</v>
      </c>
      <c r="H9" s="6" t="s">
        <v>41</v>
      </c>
      <c r="I9" s="6" t="s">
        <v>26</v>
      </c>
      <c r="J9" s="6" t="s">
        <v>27</v>
      </c>
      <c r="K9" s="6" t="n">
        <v>6</v>
      </c>
      <c r="L9" s="6" t="s">
        <v>54</v>
      </c>
      <c r="M9" s="6" t="s">
        <v>55</v>
      </c>
      <c r="N9" s="6"/>
      <c r="O9" s="9" t="n">
        <v>0</v>
      </c>
      <c r="P9" s="6" t="str">
        <f aca="false">IF(O9="","",IF(O9=0,"Healthy",IF(O9&lt;=5,"Very low",IF(O9&lt;=10,"Low",IF(O9&lt;=25,"Moderate",IF(O9&lt;=50,"High","Very high"))))))</f>
        <v>Healthy</v>
      </c>
    </row>
    <row r="10" customFormat="false" ht="15" hidden="false" customHeight="false" outlineLevel="0" collapsed="false">
      <c r="A10" s="5" t="s">
        <v>21</v>
      </c>
      <c r="B10" s="6" t="s">
        <v>22</v>
      </c>
      <c r="C10" s="6" t="n">
        <v>6</v>
      </c>
      <c r="D10" s="6" t="n">
        <v>46</v>
      </c>
      <c r="E10" s="6" t="n">
        <v>10</v>
      </c>
      <c r="F10" s="6" t="s">
        <v>56</v>
      </c>
      <c r="G10" s="6" t="s">
        <v>40</v>
      </c>
      <c r="H10" s="6" t="s">
        <v>36</v>
      </c>
      <c r="I10" s="6" t="s">
        <v>26</v>
      </c>
      <c r="J10" s="6" t="s">
        <v>27</v>
      </c>
      <c r="K10" s="6" t="n">
        <v>6</v>
      </c>
      <c r="L10" s="6" t="s">
        <v>57</v>
      </c>
      <c r="M10" s="6" t="s">
        <v>58</v>
      </c>
      <c r="N10" s="6"/>
      <c r="O10" s="9" t="n">
        <v>0</v>
      </c>
      <c r="P10" s="6" t="str">
        <f aca="false">IF(O10="","",IF(O10=0,"Healthy",IF(O10&lt;=5,"Very low",IF(O10&lt;=10,"Low",IF(O10&lt;=25,"Moderate",IF(O10&lt;=50,"High","Very high"))))))</f>
        <v>Healthy</v>
      </c>
    </row>
    <row r="11" customFormat="false" ht="15" hidden="false" customHeight="false" outlineLevel="0" collapsed="false">
      <c r="A11" s="5" t="s">
        <v>21</v>
      </c>
      <c r="B11" s="6" t="s">
        <v>22</v>
      </c>
      <c r="C11" s="6" t="n">
        <v>6</v>
      </c>
      <c r="D11" s="6" t="n">
        <v>46</v>
      </c>
      <c r="E11" s="6" t="n">
        <v>11</v>
      </c>
      <c r="F11" s="6" t="s">
        <v>59</v>
      </c>
      <c r="G11" s="6" t="s">
        <v>40</v>
      </c>
      <c r="H11" s="6" t="s">
        <v>25</v>
      </c>
      <c r="I11" s="6" t="s">
        <v>26</v>
      </c>
      <c r="J11" s="6" t="s">
        <v>27</v>
      </c>
      <c r="K11" s="6" t="n">
        <v>6</v>
      </c>
      <c r="L11" s="6" t="s">
        <v>60</v>
      </c>
      <c r="M11" s="6" t="s">
        <v>61</v>
      </c>
      <c r="N11" s="6"/>
      <c r="O11" s="9" t="n">
        <v>0</v>
      </c>
      <c r="P11" s="6" t="str">
        <f aca="false">IF(O11="","",IF(O11=0,"Healthy",IF(O11&lt;=5,"Very low",IF(O11&lt;=10,"Low",IF(O11&lt;=25,"Moderate",IF(O11&lt;=50,"High","Very high"))))))</f>
        <v>Healthy</v>
      </c>
    </row>
    <row r="12" customFormat="false" ht="15" hidden="false" customHeight="false" outlineLevel="0" collapsed="false">
      <c r="A12" s="5" t="s">
        <v>21</v>
      </c>
      <c r="B12" s="6" t="s">
        <v>22</v>
      </c>
      <c r="C12" s="6" t="n">
        <v>6</v>
      </c>
      <c r="D12" s="6" t="n">
        <v>33</v>
      </c>
      <c r="E12" s="6" t="n">
        <v>12</v>
      </c>
      <c r="F12" s="6" t="s">
        <v>62</v>
      </c>
      <c r="G12" s="6" t="s">
        <v>24</v>
      </c>
      <c r="H12" s="6" t="s">
        <v>41</v>
      </c>
      <c r="I12" s="6" t="s">
        <v>26</v>
      </c>
      <c r="J12" s="6" t="s">
        <v>27</v>
      </c>
      <c r="K12" s="6" t="n">
        <v>3</v>
      </c>
      <c r="L12" s="6" t="s">
        <v>63</v>
      </c>
      <c r="M12" s="6" t="s">
        <v>64</v>
      </c>
      <c r="N12" s="6"/>
      <c r="O12" s="9" t="n">
        <v>0</v>
      </c>
      <c r="P12" s="6" t="str">
        <f aca="false">IF(O12="","",IF(O12=0,"Healthy",IF(O12&lt;=5,"Very low",IF(O12&lt;=10,"Low",IF(O12&lt;=25,"Moderate",IF(O12&lt;=50,"High","Very high"))))))</f>
        <v>Healthy</v>
      </c>
    </row>
    <row r="13" customFormat="false" ht="15" hidden="false" customHeight="false" outlineLevel="0" collapsed="false">
      <c r="A13" s="5" t="s">
        <v>21</v>
      </c>
      <c r="B13" s="6" t="s">
        <v>22</v>
      </c>
      <c r="C13" s="6" t="n">
        <v>6</v>
      </c>
      <c r="D13" s="6" t="n">
        <v>64</v>
      </c>
      <c r="E13" s="6" t="n">
        <v>13</v>
      </c>
      <c r="F13" s="6" t="s">
        <v>44</v>
      </c>
      <c r="G13" s="6" t="s">
        <v>35</v>
      </c>
      <c r="H13" s="6" t="s">
        <v>25</v>
      </c>
      <c r="I13" s="6" t="s">
        <v>65</v>
      </c>
      <c r="J13" s="6" t="s">
        <v>66</v>
      </c>
      <c r="K13" s="6" t="n">
        <v>15</v>
      </c>
      <c r="L13" s="6" t="s">
        <v>67</v>
      </c>
      <c r="M13" s="6" t="s">
        <v>68</v>
      </c>
      <c r="N13" s="6"/>
      <c r="O13" s="9"/>
      <c r="P13" s="6" t="str">
        <f aca="false">IF(O13="","",IF(O13=0,"Healthy",IF(O13&lt;=5,"Very low",IF(O13&lt;=10,"Low",IF(O13&lt;=25,"Moderate",IF(O13&lt;=50,"High","Very high"))))))</f>
        <v/>
      </c>
    </row>
    <row r="14" customFormat="false" ht="15" hidden="false" customHeight="false" outlineLevel="0" collapsed="false">
      <c r="A14" s="5" t="s">
        <v>21</v>
      </c>
      <c r="B14" s="6" t="s">
        <v>22</v>
      </c>
      <c r="C14" s="6" t="n">
        <v>6</v>
      </c>
      <c r="D14" s="6" t="n">
        <v>33</v>
      </c>
      <c r="E14" s="6" t="n">
        <v>14</v>
      </c>
      <c r="F14" s="6" t="s">
        <v>62</v>
      </c>
      <c r="G14" s="6" t="s">
        <v>24</v>
      </c>
      <c r="H14" s="6" t="s">
        <v>41</v>
      </c>
      <c r="I14" s="6" t="s">
        <v>65</v>
      </c>
      <c r="J14" s="6" t="s">
        <v>66</v>
      </c>
      <c r="K14" s="6" t="n">
        <v>5</v>
      </c>
      <c r="L14" s="6" t="s">
        <v>69</v>
      </c>
      <c r="M14" s="6" t="s">
        <v>70</v>
      </c>
      <c r="N14" s="6"/>
      <c r="O14" s="9"/>
      <c r="P14" s="6" t="str">
        <f aca="false">IF(O14="","",IF(O14=0,"Healthy",IF(O14&lt;=5,"Very low",IF(O14&lt;=10,"Low",IF(O14&lt;=25,"Moderate",IF(O14&lt;=50,"High","Very high"))))))</f>
        <v/>
      </c>
    </row>
    <row r="15" customFormat="false" ht="15" hidden="false" customHeight="false" outlineLevel="0" collapsed="false">
      <c r="A15" s="5" t="s">
        <v>21</v>
      </c>
      <c r="B15" s="6" t="s">
        <v>22</v>
      </c>
      <c r="C15" s="6" t="n">
        <v>6</v>
      </c>
      <c r="D15" s="6" t="n">
        <v>46</v>
      </c>
      <c r="E15" s="6" t="n">
        <v>15</v>
      </c>
      <c r="F15" s="6" t="s">
        <v>39</v>
      </c>
      <c r="G15" s="6" t="s">
        <v>40</v>
      </c>
      <c r="H15" s="6" t="s">
        <v>41</v>
      </c>
      <c r="I15" s="6" t="s">
        <v>65</v>
      </c>
      <c r="J15" s="6" t="s">
        <v>66</v>
      </c>
      <c r="K15" s="6" t="n">
        <v>10</v>
      </c>
      <c r="L15" s="6" t="s">
        <v>71</v>
      </c>
      <c r="M15" s="6" t="s">
        <v>72</v>
      </c>
      <c r="N15" s="6"/>
      <c r="O15" s="9"/>
      <c r="P15" s="6" t="str">
        <f aca="false">IF(O15="","",IF(O15=0,"Healthy",IF(O15&lt;=5,"Very low",IF(O15&lt;=10,"Low",IF(O15&lt;=25,"Moderate",IF(O15&lt;=50,"High","Very high"))))))</f>
        <v/>
      </c>
    </row>
    <row r="16" customFormat="false" ht="15" hidden="false" customHeight="false" outlineLevel="0" collapsed="false">
      <c r="A16" s="5" t="s">
        <v>21</v>
      </c>
      <c r="B16" s="6" t="s">
        <v>22</v>
      </c>
      <c r="C16" s="6" t="n">
        <v>6</v>
      </c>
      <c r="D16" s="6" t="n">
        <v>55</v>
      </c>
      <c r="E16" s="6" t="n">
        <v>16</v>
      </c>
      <c r="F16" s="6" t="s">
        <v>50</v>
      </c>
      <c r="G16" s="6" t="s">
        <v>31</v>
      </c>
      <c r="H16" s="6" t="s">
        <v>36</v>
      </c>
      <c r="I16" s="6" t="s">
        <v>65</v>
      </c>
      <c r="J16" s="6" t="s">
        <v>66</v>
      </c>
      <c r="K16" s="6" t="n">
        <v>10</v>
      </c>
      <c r="L16" s="6" t="s">
        <v>73</v>
      </c>
      <c r="M16" s="6" t="s">
        <v>74</v>
      </c>
      <c r="N16" s="6"/>
      <c r="O16" s="9"/>
      <c r="P16" s="6" t="str">
        <f aca="false">IF(O16="","",IF(O16=0,"Healthy",IF(O16&lt;=5,"Very low",IF(O16&lt;=10,"Low",IF(O16&lt;=25,"Moderate",IF(O16&lt;=50,"High","Very high"))))))</f>
        <v/>
      </c>
    </row>
    <row r="17" customFormat="false" ht="15" hidden="false" customHeight="false" outlineLevel="0" collapsed="false">
      <c r="A17" s="5" t="s">
        <v>21</v>
      </c>
      <c r="B17" s="6" t="s">
        <v>22</v>
      </c>
      <c r="C17" s="6" t="n">
        <v>6</v>
      </c>
      <c r="D17" s="6" t="n">
        <v>46</v>
      </c>
      <c r="E17" s="6" t="n">
        <v>17</v>
      </c>
      <c r="F17" s="6" t="s">
        <v>59</v>
      </c>
      <c r="G17" s="6" t="s">
        <v>40</v>
      </c>
      <c r="H17" s="6" t="s">
        <v>25</v>
      </c>
      <c r="I17" s="6" t="s">
        <v>65</v>
      </c>
      <c r="J17" s="6" t="s">
        <v>66</v>
      </c>
      <c r="K17" s="6" t="n">
        <v>10</v>
      </c>
      <c r="L17" s="6" t="s">
        <v>75</v>
      </c>
      <c r="M17" s="6" t="s">
        <v>76</v>
      </c>
      <c r="N17" s="6"/>
      <c r="O17" s="9"/>
      <c r="P17" s="6" t="str">
        <f aca="false">IF(O17="","",IF(O17=0,"Healthy",IF(O17&lt;=5,"Very low",IF(O17&lt;=10,"Low",IF(O17&lt;=25,"Moderate",IF(O17&lt;=50,"High","Very high"))))))</f>
        <v/>
      </c>
    </row>
    <row r="18" customFormat="false" ht="15" hidden="false" customHeight="false" outlineLevel="0" collapsed="false">
      <c r="A18" s="5" t="s">
        <v>21</v>
      </c>
      <c r="B18" s="6" t="s">
        <v>22</v>
      </c>
      <c r="C18" s="6" t="n">
        <v>6</v>
      </c>
      <c r="D18" s="6" t="n">
        <v>33</v>
      </c>
      <c r="E18" s="6" t="n">
        <v>18</v>
      </c>
      <c r="F18" s="6" t="s">
        <v>23</v>
      </c>
      <c r="G18" s="6" t="s">
        <v>24</v>
      </c>
      <c r="H18" s="6" t="s">
        <v>25</v>
      </c>
      <c r="I18" s="6" t="s">
        <v>65</v>
      </c>
      <c r="J18" s="6" t="s">
        <v>66</v>
      </c>
      <c r="K18" s="6" t="n">
        <v>5</v>
      </c>
      <c r="L18" s="6" t="s">
        <v>77</v>
      </c>
      <c r="M18" s="6" t="s">
        <v>78</v>
      </c>
      <c r="N18" s="6"/>
      <c r="O18" s="9"/>
      <c r="P18" s="6" t="str">
        <f aca="false">IF(O18="","",IF(O18=0,"Healthy",IF(O18&lt;=5,"Very low",IF(O18&lt;=10,"Low",IF(O18&lt;=25,"Moderate",IF(O18&lt;=50,"High","Very high"))))))</f>
        <v/>
      </c>
    </row>
    <row r="19" customFormat="false" ht="15" hidden="false" customHeight="false" outlineLevel="0" collapsed="false">
      <c r="A19" s="5" t="s">
        <v>21</v>
      </c>
      <c r="B19" s="6" t="s">
        <v>22</v>
      </c>
      <c r="C19" s="6" t="n">
        <v>6</v>
      </c>
      <c r="D19" s="6" t="n">
        <v>55</v>
      </c>
      <c r="E19" s="6" t="n">
        <v>19</v>
      </c>
      <c r="F19" s="6" t="s">
        <v>30</v>
      </c>
      <c r="G19" s="6" t="s">
        <v>31</v>
      </c>
      <c r="H19" s="6" t="s">
        <v>25</v>
      </c>
      <c r="I19" s="6" t="s">
        <v>65</v>
      </c>
      <c r="J19" s="6" t="s">
        <v>66</v>
      </c>
      <c r="K19" s="6" t="n">
        <v>10</v>
      </c>
      <c r="L19" s="6" t="s">
        <v>79</v>
      </c>
      <c r="M19" s="6" t="s">
        <v>80</v>
      </c>
      <c r="N19" s="6"/>
      <c r="O19" s="9"/>
      <c r="P19" s="6" t="str">
        <f aca="false">IF(O19="","",IF(O19=0,"Healthy",IF(O19&lt;=5,"Very low",IF(O19&lt;=10,"Low",IF(O19&lt;=25,"Moderate",IF(O19&lt;=50,"High","Very high"))))))</f>
        <v/>
      </c>
    </row>
    <row r="20" customFormat="false" ht="15" hidden="false" customHeight="false" outlineLevel="0" collapsed="false">
      <c r="A20" s="5" t="s">
        <v>21</v>
      </c>
      <c r="B20" s="6" t="s">
        <v>22</v>
      </c>
      <c r="C20" s="6" t="n">
        <v>6</v>
      </c>
      <c r="D20" s="6" t="n">
        <v>33</v>
      </c>
      <c r="E20" s="6" t="n">
        <v>20</v>
      </c>
      <c r="F20" s="6" t="s">
        <v>47</v>
      </c>
      <c r="G20" s="6" t="s">
        <v>24</v>
      </c>
      <c r="H20" s="6" t="s">
        <v>36</v>
      </c>
      <c r="I20" s="6" t="s">
        <v>65</v>
      </c>
      <c r="J20" s="6" t="s">
        <v>66</v>
      </c>
      <c r="K20" s="6" t="n">
        <v>5</v>
      </c>
      <c r="L20" s="6" t="s">
        <v>81</v>
      </c>
      <c r="M20" s="6" t="s">
        <v>82</v>
      </c>
      <c r="N20" s="6"/>
      <c r="O20" s="9"/>
      <c r="P20" s="6" t="str">
        <f aca="false">IF(O20="","",IF(O20=0,"Healthy",IF(O20&lt;=5,"Very low",IF(O20&lt;=10,"Low",IF(O20&lt;=25,"Moderate",IF(O20&lt;=50,"High","Very high"))))))</f>
        <v/>
      </c>
    </row>
    <row r="21" customFormat="false" ht="15" hidden="false" customHeight="false" outlineLevel="0" collapsed="false">
      <c r="A21" s="5" t="s">
        <v>21</v>
      </c>
      <c r="B21" s="6" t="s">
        <v>22</v>
      </c>
      <c r="C21" s="6" t="n">
        <v>6</v>
      </c>
      <c r="D21" s="6" t="n">
        <v>46</v>
      </c>
      <c r="E21" s="6" t="n">
        <v>21</v>
      </c>
      <c r="F21" s="6" t="s">
        <v>56</v>
      </c>
      <c r="G21" s="6" t="s">
        <v>40</v>
      </c>
      <c r="H21" s="6" t="s">
        <v>36</v>
      </c>
      <c r="I21" s="6" t="s">
        <v>65</v>
      </c>
      <c r="J21" s="6" t="s">
        <v>66</v>
      </c>
      <c r="K21" s="6" t="n">
        <v>10</v>
      </c>
      <c r="L21" s="6" t="s">
        <v>83</v>
      </c>
      <c r="M21" s="6" t="s">
        <v>84</v>
      </c>
      <c r="N21" s="6"/>
      <c r="O21" s="9"/>
      <c r="P21" s="6" t="str">
        <f aca="false">IF(O21="","",IF(O21=0,"Healthy",IF(O21&lt;=5,"Very low",IF(O21&lt;=10,"Low",IF(O21&lt;=25,"Moderate",IF(O21&lt;=50,"High","Very high"))))))</f>
        <v/>
      </c>
    </row>
    <row r="22" customFormat="false" ht="15" hidden="false" customHeight="false" outlineLevel="0" collapsed="false">
      <c r="A22" s="5" t="s">
        <v>21</v>
      </c>
      <c r="B22" s="6" t="s">
        <v>22</v>
      </c>
      <c r="C22" s="6" t="n">
        <v>6</v>
      </c>
      <c r="D22" s="6" t="n">
        <v>55</v>
      </c>
      <c r="E22" s="6" t="n">
        <v>22</v>
      </c>
      <c r="F22" s="6" t="s">
        <v>53</v>
      </c>
      <c r="G22" s="6" t="s">
        <v>31</v>
      </c>
      <c r="H22" s="6" t="s">
        <v>41</v>
      </c>
      <c r="I22" s="6" t="s">
        <v>65</v>
      </c>
      <c r="J22" s="6" t="s">
        <v>66</v>
      </c>
      <c r="K22" s="6" t="n">
        <v>10</v>
      </c>
      <c r="L22" s="6" t="s">
        <v>85</v>
      </c>
      <c r="M22" s="6" t="s">
        <v>86</v>
      </c>
      <c r="N22" s="6"/>
      <c r="O22" s="9"/>
      <c r="P22" s="6" t="str">
        <f aca="false">IF(O22="","",IF(O22=0,"Healthy",IF(O22&lt;=5,"Very low",IF(O22&lt;=10,"Low",IF(O22&lt;=25,"Moderate",IF(O22&lt;=50,"High","Very high"))))))</f>
        <v/>
      </c>
    </row>
    <row r="23" customFormat="false" ht="15" hidden="false" customHeight="false" outlineLevel="0" collapsed="false">
      <c r="A23" s="5" t="s">
        <v>21</v>
      </c>
      <c r="B23" s="6" t="s">
        <v>22</v>
      </c>
      <c r="C23" s="6" t="n">
        <v>6</v>
      </c>
      <c r="D23" s="6" t="n">
        <v>64</v>
      </c>
      <c r="E23" s="6" t="n">
        <v>23</v>
      </c>
      <c r="F23" s="6" t="s">
        <v>34</v>
      </c>
      <c r="G23" s="6" t="s">
        <v>35</v>
      </c>
      <c r="H23" s="6" t="s">
        <v>36</v>
      </c>
      <c r="I23" s="6" t="s">
        <v>65</v>
      </c>
      <c r="J23" s="6" t="s">
        <v>66</v>
      </c>
      <c r="K23" s="6" t="n">
        <v>15</v>
      </c>
      <c r="L23" s="6" t="s">
        <v>87</v>
      </c>
      <c r="M23" s="6" t="s">
        <v>88</v>
      </c>
      <c r="N23" s="6"/>
      <c r="O23" s="9"/>
      <c r="P23" s="6" t="str">
        <f aca="false">IF(O23="","",IF(O23=0,"Healthy",IF(O23&lt;=5,"Very low",IF(O23&lt;=10,"Low",IF(O23&lt;=25,"Moderate",IF(O23&lt;=50,"High","Very high"))))))</f>
        <v/>
      </c>
    </row>
    <row r="24" customFormat="false" ht="15" hidden="false" customHeight="false" outlineLevel="0" collapsed="false">
      <c r="A24" s="5" t="s">
        <v>21</v>
      </c>
      <c r="B24" s="6" t="s">
        <v>22</v>
      </c>
      <c r="C24" s="6" t="n">
        <v>6</v>
      </c>
      <c r="D24" s="6" t="n">
        <v>64</v>
      </c>
      <c r="E24" s="6" t="n">
        <v>25</v>
      </c>
      <c r="F24" s="6" t="s">
        <v>34</v>
      </c>
      <c r="G24" s="6" t="s">
        <v>35</v>
      </c>
      <c r="H24" s="6" t="s">
        <v>36</v>
      </c>
      <c r="I24" s="6" t="s">
        <v>89</v>
      </c>
      <c r="J24" s="6" t="s">
        <v>66</v>
      </c>
      <c r="K24" s="6" t="n">
        <v>15</v>
      </c>
      <c r="L24" s="6" t="s">
        <v>90</v>
      </c>
      <c r="M24" s="6" t="s">
        <v>91</v>
      </c>
      <c r="N24" s="6"/>
      <c r="O24" s="9"/>
      <c r="P24" s="6" t="str">
        <f aca="false">IF(O24="","",IF(O24=0,"Healthy",IF(O24&lt;=5,"Very low",IF(O24&lt;=10,"Low",IF(O24&lt;=25,"Moderate",IF(O24&lt;=50,"High","Very high"))))))</f>
        <v/>
      </c>
    </row>
    <row r="25" customFormat="false" ht="15" hidden="false" customHeight="false" outlineLevel="0" collapsed="false">
      <c r="A25" s="5" t="s">
        <v>21</v>
      </c>
      <c r="B25" s="6" t="s">
        <v>22</v>
      </c>
      <c r="C25" s="6" t="n">
        <v>6</v>
      </c>
      <c r="D25" s="6" t="n">
        <v>33</v>
      </c>
      <c r="E25" s="6" t="n">
        <v>26</v>
      </c>
      <c r="F25" s="6" t="s">
        <v>23</v>
      </c>
      <c r="G25" s="6" t="s">
        <v>24</v>
      </c>
      <c r="H25" s="6" t="s">
        <v>25</v>
      </c>
      <c r="I25" s="6" t="s">
        <v>89</v>
      </c>
      <c r="J25" s="6" t="s">
        <v>66</v>
      </c>
      <c r="K25" s="6" t="n">
        <v>5</v>
      </c>
      <c r="L25" s="6" t="s">
        <v>92</v>
      </c>
      <c r="M25" s="6" t="s">
        <v>93</v>
      </c>
      <c r="N25" s="6"/>
      <c r="O25" s="9"/>
      <c r="P25" s="6" t="str">
        <f aca="false">IF(O25="","",IF(O25=0,"Healthy",IF(O25&lt;=5,"Very low",IF(O25&lt;=10,"Low",IF(O25&lt;=25,"Moderate",IF(O25&lt;=50,"High","Very high"))))))</f>
        <v/>
      </c>
    </row>
    <row r="26" customFormat="false" ht="15" hidden="false" customHeight="false" outlineLevel="0" collapsed="false">
      <c r="A26" s="5" t="s">
        <v>21</v>
      </c>
      <c r="B26" s="6" t="s">
        <v>22</v>
      </c>
      <c r="C26" s="6" t="n">
        <v>6</v>
      </c>
      <c r="D26" s="6" t="n">
        <v>55</v>
      </c>
      <c r="E26" s="6" t="n">
        <v>27</v>
      </c>
      <c r="F26" s="6" t="s">
        <v>50</v>
      </c>
      <c r="G26" s="6" t="s">
        <v>31</v>
      </c>
      <c r="H26" s="6" t="s">
        <v>36</v>
      </c>
      <c r="I26" s="6" t="s">
        <v>89</v>
      </c>
      <c r="J26" s="6" t="s">
        <v>66</v>
      </c>
      <c r="K26" s="6" t="n">
        <v>6</v>
      </c>
      <c r="L26" s="6" t="s">
        <v>94</v>
      </c>
      <c r="M26" s="6" t="s">
        <v>95</v>
      </c>
      <c r="N26" s="6"/>
      <c r="O26" s="9"/>
      <c r="P26" s="6" t="str">
        <f aca="false">IF(O26="","",IF(O26=0,"Healthy",IF(O26&lt;=5,"Very low",IF(O26&lt;=10,"Low",IF(O26&lt;=25,"Moderate",IF(O26&lt;=50,"High","Very high"))))))</f>
        <v/>
      </c>
    </row>
    <row r="27" customFormat="false" ht="15" hidden="false" customHeight="false" outlineLevel="0" collapsed="false">
      <c r="A27" s="5" t="s">
        <v>21</v>
      </c>
      <c r="B27" s="6" t="s">
        <v>22</v>
      </c>
      <c r="C27" s="6" t="n">
        <v>6</v>
      </c>
      <c r="D27" s="6" t="n">
        <v>33</v>
      </c>
      <c r="E27" s="6" t="n">
        <v>28</v>
      </c>
      <c r="F27" s="6" t="s">
        <v>62</v>
      </c>
      <c r="G27" s="6" t="s">
        <v>24</v>
      </c>
      <c r="H27" s="6" t="s">
        <v>41</v>
      </c>
      <c r="I27" s="6" t="s">
        <v>89</v>
      </c>
      <c r="J27" s="6" t="s">
        <v>66</v>
      </c>
      <c r="K27" s="6" t="n">
        <v>5</v>
      </c>
      <c r="L27" s="6" t="s">
        <v>96</v>
      </c>
      <c r="M27" s="6" t="s">
        <v>97</v>
      </c>
      <c r="N27" s="6"/>
      <c r="O27" s="9"/>
      <c r="P27" s="6" t="str">
        <f aca="false">IF(O27="","",IF(O27=0,"Healthy",IF(O27&lt;=5,"Very low",IF(O27&lt;=10,"Low",IF(O27&lt;=25,"Moderate",IF(O27&lt;=50,"High","Very high"))))))</f>
        <v/>
      </c>
    </row>
    <row r="28" customFormat="false" ht="15" hidden="false" customHeight="false" outlineLevel="0" collapsed="false">
      <c r="A28" s="5" t="s">
        <v>21</v>
      </c>
      <c r="B28" s="6" t="s">
        <v>22</v>
      </c>
      <c r="C28" s="6" t="n">
        <v>6</v>
      </c>
      <c r="D28" s="6" t="n">
        <v>46</v>
      </c>
      <c r="E28" s="6" t="n">
        <v>29</v>
      </c>
      <c r="F28" s="6" t="s">
        <v>56</v>
      </c>
      <c r="G28" s="6" t="s">
        <v>40</v>
      </c>
      <c r="H28" s="6" t="s">
        <v>36</v>
      </c>
      <c r="I28" s="6" t="s">
        <v>89</v>
      </c>
      <c r="J28" s="6" t="s">
        <v>66</v>
      </c>
      <c r="K28" s="6" t="n">
        <v>10</v>
      </c>
      <c r="L28" s="6" t="s">
        <v>98</v>
      </c>
      <c r="M28" s="6" t="s">
        <v>99</v>
      </c>
      <c r="N28" s="6"/>
      <c r="O28" s="9"/>
      <c r="P28" s="6" t="str">
        <f aca="false">IF(O28="","",IF(O28=0,"Healthy",IF(O28&lt;=5,"Very low",IF(O28&lt;=10,"Low",IF(O28&lt;=25,"Moderate",IF(O28&lt;=50,"High","Very high"))))))</f>
        <v/>
      </c>
    </row>
    <row r="29" customFormat="false" ht="15" hidden="false" customHeight="false" outlineLevel="0" collapsed="false">
      <c r="A29" s="5" t="s">
        <v>21</v>
      </c>
      <c r="B29" s="6" t="s">
        <v>22</v>
      </c>
      <c r="C29" s="6" t="n">
        <v>6</v>
      </c>
      <c r="D29" s="6" t="n">
        <v>64</v>
      </c>
      <c r="E29" s="6" t="n">
        <v>30</v>
      </c>
      <c r="F29" s="6" t="s">
        <v>44</v>
      </c>
      <c r="G29" s="6" t="s">
        <v>35</v>
      </c>
      <c r="H29" s="6" t="s">
        <v>25</v>
      </c>
      <c r="I29" s="6" t="s">
        <v>89</v>
      </c>
      <c r="J29" s="6" t="s">
        <v>66</v>
      </c>
      <c r="K29" s="6" t="n">
        <v>15</v>
      </c>
      <c r="L29" s="6" t="s">
        <v>100</v>
      </c>
      <c r="M29" s="6" t="s">
        <v>101</v>
      </c>
      <c r="N29" s="6"/>
      <c r="O29" s="9"/>
      <c r="P29" s="6" t="str">
        <f aca="false">IF(O29="","",IF(O29=0,"Healthy",IF(O29&lt;=5,"Very low",IF(O29&lt;=10,"Low",IF(O29&lt;=25,"Moderate",IF(O29&lt;=50,"High","Very high"))))))</f>
        <v/>
      </c>
    </row>
    <row r="30" customFormat="false" ht="15" hidden="false" customHeight="false" outlineLevel="0" collapsed="false">
      <c r="A30" s="5" t="s">
        <v>21</v>
      </c>
      <c r="B30" s="6" t="s">
        <v>22</v>
      </c>
      <c r="C30" s="6" t="n">
        <v>6</v>
      </c>
      <c r="D30" s="6" t="n">
        <v>55</v>
      </c>
      <c r="E30" s="6" t="n">
        <v>31</v>
      </c>
      <c r="F30" s="6" t="s">
        <v>53</v>
      </c>
      <c r="G30" s="6" t="s">
        <v>31</v>
      </c>
      <c r="H30" s="6" t="s">
        <v>41</v>
      </c>
      <c r="I30" s="6" t="s">
        <v>89</v>
      </c>
      <c r="J30" s="6" t="s">
        <v>66</v>
      </c>
      <c r="K30" s="6" t="n">
        <v>10</v>
      </c>
      <c r="L30" s="6" t="s">
        <v>102</v>
      </c>
      <c r="M30" s="6" t="s">
        <v>103</v>
      </c>
      <c r="N30" s="6"/>
      <c r="O30" s="9"/>
      <c r="P30" s="6" t="str">
        <f aca="false">IF(O30="","",IF(O30=0,"Healthy",IF(O30&lt;=5,"Very low",IF(O30&lt;=10,"Low",IF(O30&lt;=25,"Moderate",IF(O30&lt;=50,"High","Very high"))))))</f>
        <v/>
      </c>
    </row>
    <row r="31" customFormat="false" ht="15" hidden="false" customHeight="false" outlineLevel="0" collapsed="false">
      <c r="A31" s="5" t="s">
        <v>21</v>
      </c>
      <c r="B31" s="6" t="s">
        <v>22</v>
      </c>
      <c r="C31" s="6" t="n">
        <v>6</v>
      </c>
      <c r="D31" s="6" t="n">
        <v>46</v>
      </c>
      <c r="E31" s="6" t="n">
        <v>32</v>
      </c>
      <c r="F31" s="6" t="s">
        <v>59</v>
      </c>
      <c r="G31" s="6" t="s">
        <v>40</v>
      </c>
      <c r="H31" s="6" t="s">
        <v>25</v>
      </c>
      <c r="I31" s="6" t="s">
        <v>89</v>
      </c>
      <c r="J31" s="6" t="s">
        <v>66</v>
      </c>
      <c r="K31" s="6" t="n">
        <v>10</v>
      </c>
      <c r="L31" s="6" t="s">
        <v>104</v>
      </c>
      <c r="M31" s="6" t="s">
        <v>105</v>
      </c>
      <c r="N31" s="6"/>
      <c r="O31" s="9"/>
      <c r="P31" s="6" t="str">
        <f aca="false">IF(O31="","",IF(O31=0,"Healthy",IF(O31&lt;=5,"Very low",IF(O31&lt;=10,"Low",IF(O31&lt;=25,"Moderate",IF(O31&lt;=50,"High","Very high"))))))</f>
        <v/>
      </c>
    </row>
    <row r="32" customFormat="false" ht="15" hidden="false" customHeight="false" outlineLevel="0" collapsed="false">
      <c r="A32" s="5" t="s">
        <v>21</v>
      </c>
      <c r="B32" s="6" t="s">
        <v>22</v>
      </c>
      <c r="C32" s="6" t="n">
        <v>6</v>
      </c>
      <c r="D32" s="6" t="n">
        <v>33</v>
      </c>
      <c r="E32" s="6" t="n">
        <v>33</v>
      </c>
      <c r="F32" s="6" t="s">
        <v>47</v>
      </c>
      <c r="G32" s="6" t="s">
        <v>24</v>
      </c>
      <c r="H32" s="6" t="s">
        <v>36</v>
      </c>
      <c r="I32" s="6" t="s">
        <v>89</v>
      </c>
      <c r="J32" s="6" t="s">
        <v>66</v>
      </c>
      <c r="K32" s="6" t="n">
        <v>5</v>
      </c>
      <c r="L32" s="6" t="s">
        <v>106</v>
      </c>
      <c r="M32" s="6" t="s">
        <v>107</v>
      </c>
      <c r="N32" s="6"/>
      <c r="O32" s="9"/>
      <c r="P32" s="6" t="str">
        <f aca="false">IF(O32="","",IF(O32=0,"Healthy",IF(O32&lt;=5,"Very low",IF(O32&lt;=10,"Low",IF(O32&lt;=25,"Moderate",IF(O32&lt;=50,"High","Very high"))))))</f>
        <v/>
      </c>
    </row>
    <row r="33" customFormat="false" ht="15" hidden="false" customHeight="false" outlineLevel="0" collapsed="false">
      <c r="A33" s="5" t="s">
        <v>21</v>
      </c>
      <c r="B33" s="6" t="s">
        <v>22</v>
      </c>
      <c r="C33" s="6" t="n">
        <v>6</v>
      </c>
      <c r="D33" s="6" t="n">
        <v>55</v>
      </c>
      <c r="E33" s="6" t="n">
        <v>35</v>
      </c>
      <c r="F33" s="6" t="s">
        <v>30</v>
      </c>
      <c r="G33" s="6" t="s">
        <v>31</v>
      </c>
      <c r="H33" s="6" t="s">
        <v>25</v>
      </c>
      <c r="I33" s="6" t="s">
        <v>89</v>
      </c>
      <c r="J33" s="6" t="s">
        <v>66</v>
      </c>
      <c r="K33" s="6" t="n">
        <v>10</v>
      </c>
      <c r="L33" s="6" t="s">
        <v>108</v>
      </c>
      <c r="M33" s="6" t="s">
        <v>109</v>
      </c>
      <c r="N33" s="6"/>
      <c r="O33" s="9"/>
      <c r="P33" s="6" t="str">
        <f aca="false">IF(O33="","",IF(O33=0,"Healthy",IF(O33&lt;=5,"Very low",IF(O33&lt;=10,"Low",IF(O33&lt;=25,"Moderate",IF(O33&lt;=50,"High","Very high"))))))</f>
        <v/>
      </c>
    </row>
    <row r="34" customFormat="false" ht="15" hidden="false" customHeight="false" outlineLevel="0" collapsed="false">
      <c r="A34" s="5" t="s">
        <v>21</v>
      </c>
      <c r="B34" s="6" t="s">
        <v>22</v>
      </c>
      <c r="C34" s="6" t="n">
        <v>6</v>
      </c>
      <c r="D34" s="6" t="n">
        <v>46</v>
      </c>
      <c r="E34" s="6" t="n">
        <v>36</v>
      </c>
      <c r="F34" s="6" t="s">
        <v>39</v>
      </c>
      <c r="G34" s="6" t="s">
        <v>40</v>
      </c>
      <c r="H34" s="6" t="s">
        <v>41</v>
      </c>
      <c r="I34" s="6" t="s">
        <v>89</v>
      </c>
      <c r="J34" s="6" t="s">
        <v>66</v>
      </c>
      <c r="K34" s="6" t="n">
        <v>10</v>
      </c>
      <c r="L34" s="6" t="s">
        <v>110</v>
      </c>
      <c r="M34" s="6" t="s">
        <v>111</v>
      </c>
      <c r="N34" s="6"/>
      <c r="O34" s="9"/>
      <c r="P34" s="6" t="str">
        <f aca="false">IF(O34="","",IF(O34=0,"Healthy",IF(O34&lt;=5,"Very low",IF(O34&lt;=10,"Low",IF(O34&lt;=25,"Moderate",IF(O34&lt;=50,"High","Very high"))))))</f>
        <v/>
      </c>
    </row>
    <row r="35" customFormat="false" ht="15" hidden="false" customHeight="false" outlineLevel="0" collapsed="false">
      <c r="A35" s="5" t="s">
        <v>21</v>
      </c>
      <c r="B35" s="6" t="s">
        <v>22</v>
      </c>
      <c r="C35" s="6" t="n">
        <v>6</v>
      </c>
      <c r="D35" s="6" t="n">
        <v>46</v>
      </c>
      <c r="E35" s="6" t="n">
        <v>37</v>
      </c>
      <c r="F35" s="6" t="s">
        <v>39</v>
      </c>
      <c r="G35" s="6" t="s">
        <v>40</v>
      </c>
      <c r="H35" s="6" t="s">
        <v>41</v>
      </c>
      <c r="I35" s="6" t="s">
        <v>112</v>
      </c>
      <c r="J35" s="6" t="s">
        <v>66</v>
      </c>
      <c r="K35" s="6" t="n">
        <v>10</v>
      </c>
      <c r="L35" s="6" t="s">
        <v>113</v>
      </c>
      <c r="M35" s="6" t="s">
        <v>114</v>
      </c>
      <c r="N35" s="6"/>
      <c r="O35" s="9"/>
      <c r="P35" s="6" t="str">
        <f aca="false">IF(O35="","",IF(O35=0,"Healthy",IF(O35&lt;=5,"Very low",IF(O35&lt;=10,"Low",IF(O35&lt;=25,"Moderate",IF(O35&lt;=50,"High","Very high"))))))</f>
        <v/>
      </c>
    </row>
    <row r="36" customFormat="false" ht="15" hidden="false" customHeight="false" outlineLevel="0" collapsed="false">
      <c r="A36" s="5" t="s">
        <v>21</v>
      </c>
      <c r="B36" s="6" t="s">
        <v>22</v>
      </c>
      <c r="C36" s="6" t="n">
        <v>6</v>
      </c>
      <c r="D36" s="6" t="n">
        <v>64</v>
      </c>
      <c r="E36" s="6" t="n">
        <v>38</v>
      </c>
      <c r="F36" s="6" t="s">
        <v>34</v>
      </c>
      <c r="G36" s="6" t="s">
        <v>35</v>
      </c>
      <c r="H36" s="6" t="s">
        <v>36</v>
      </c>
      <c r="I36" s="6" t="s">
        <v>112</v>
      </c>
      <c r="J36" s="6" t="s">
        <v>66</v>
      </c>
      <c r="K36" s="6" t="n">
        <v>15</v>
      </c>
      <c r="L36" s="6" t="s">
        <v>115</v>
      </c>
      <c r="M36" s="6" t="s">
        <v>116</v>
      </c>
      <c r="N36" s="6"/>
      <c r="O36" s="9"/>
      <c r="P36" s="6" t="str">
        <f aca="false">IF(O36="","",IF(O36=0,"Healthy",IF(O36&lt;=5,"Very low",IF(O36&lt;=10,"Low",IF(O36&lt;=25,"Moderate",IF(O36&lt;=50,"High","Very high"))))))</f>
        <v/>
      </c>
    </row>
    <row r="37" customFormat="false" ht="15" hidden="false" customHeight="false" outlineLevel="0" collapsed="false">
      <c r="A37" s="5" t="s">
        <v>21</v>
      </c>
      <c r="B37" s="6" t="s">
        <v>22</v>
      </c>
      <c r="C37" s="6" t="n">
        <v>6</v>
      </c>
      <c r="D37" s="6" t="n">
        <v>55</v>
      </c>
      <c r="E37" s="6" t="n">
        <v>39</v>
      </c>
      <c r="F37" s="6" t="s">
        <v>30</v>
      </c>
      <c r="G37" s="6" t="s">
        <v>31</v>
      </c>
      <c r="H37" s="6" t="s">
        <v>25</v>
      </c>
      <c r="I37" s="6" t="s">
        <v>112</v>
      </c>
      <c r="J37" s="6" t="s">
        <v>66</v>
      </c>
      <c r="K37" s="6" t="n">
        <v>10</v>
      </c>
      <c r="L37" s="6" t="s">
        <v>117</v>
      </c>
      <c r="M37" s="6" t="s">
        <v>118</v>
      </c>
      <c r="N37" s="6"/>
      <c r="O37" s="9"/>
      <c r="P37" s="6" t="str">
        <f aca="false">IF(O37="","",IF(O37=0,"Healthy",IF(O37&lt;=5,"Very low",IF(O37&lt;=10,"Low",IF(O37&lt;=25,"Moderate",IF(O37&lt;=50,"High","Very high"))))))</f>
        <v/>
      </c>
    </row>
    <row r="38" customFormat="false" ht="15" hidden="false" customHeight="false" outlineLevel="0" collapsed="false">
      <c r="A38" s="5" t="s">
        <v>21</v>
      </c>
      <c r="B38" s="6" t="s">
        <v>22</v>
      </c>
      <c r="C38" s="6" t="n">
        <v>6</v>
      </c>
      <c r="D38" s="6" t="n">
        <v>55</v>
      </c>
      <c r="E38" s="6" t="n">
        <v>40</v>
      </c>
      <c r="F38" s="6" t="s">
        <v>50</v>
      </c>
      <c r="G38" s="6" t="s">
        <v>31</v>
      </c>
      <c r="H38" s="6" t="s">
        <v>36</v>
      </c>
      <c r="I38" s="6" t="s">
        <v>112</v>
      </c>
      <c r="J38" s="6" t="s">
        <v>66</v>
      </c>
      <c r="K38" s="6" t="n">
        <v>10</v>
      </c>
      <c r="L38" s="6" t="s">
        <v>119</v>
      </c>
      <c r="M38" s="6" t="s">
        <v>120</v>
      </c>
      <c r="N38" s="6"/>
      <c r="O38" s="9"/>
      <c r="P38" s="6" t="str">
        <f aca="false">IF(O38="","",IF(O38=0,"Healthy",IF(O38&lt;=5,"Very low",IF(O38&lt;=10,"Low",IF(O38&lt;=25,"Moderate",IF(O38&lt;=50,"High","Very high"))))))</f>
        <v/>
      </c>
    </row>
    <row r="39" customFormat="false" ht="15" hidden="false" customHeight="false" outlineLevel="0" collapsed="false">
      <c r="A39" s="5" t="s">
        <v>21</v>
      </c>
      <c r="B39" s="6" t="s">
        <v>22</v>
      </c>
      <c r="C39" s="6" t="n">
        <v>6</v>
      </c>
      <c r="D39" s="6" t="n">
        <v>64</v>
      </c>
      <c r="E39" s="6" t="n">
        <v>42</v>
      </c>
      <c r="F39" s="6" t="s">
        <v>44</v>
      </c>
      <c r="G39" s="6" t="s">
        <v>35</v>
      </c>
      <c r="H39" s="6" t="s">
        <v>25</v>
      </c>
      <c r="I39" s="6" t="s">
        <v>112</v>
      </c>
      <c r="J39" s="6" t="s">
        <v>66</v>
      </c>
      <c r="K39" s="6" t="n">
        <v>15</v>
      </c>
      <c r="L39" s="6" t="s">
        <v>121</v>
      </c>
      <c r="M39" s="6" t="s">
        <v>122</v>
      </c>
      <c r="N39" s="6"/>
      <c r="O39" s="9"/>
      <c r="P39" s="6" t="str">
        <f aca="false">IF(O39="","",IF(O39=0,"Healthy",IF(O39&lt;=5,"Very low",IF(O39&lt;=10,"Low",IF(O39&lt;=25,"Moderate",IF(O39&lt;=50,"High","Very high"))))))</f>
        <v/>
      </c>
    </row>
    <row r="40" customFormat="false" ht="15" hidden="false" customHeight="false" outlineLevel="0" collapsed="false">
      <c r="A40" s="5" t="s">
        <v>21</v>
      </c>
      <c r="B40" s="6" t="s">
        <v>22</v>
      </c>
      <c r="C40" s="6" t="n">
        <v>6</v>
      </c>
      <c r="D40" s="6" t="n">
        <v>55</v>
      </c>
      <c r="E40" s="6" t="n">
        <v>43</v>
      </c>
      <c r="F40" s="6" t="s">
        <v>53</v>
      </c>
      <c r="G40" s="6" t="s">
        <v>31</v>
      </c>
      <c r="H40" s="6" t="s">
        <v>41</v>
      </c>
      <c r="I40" s="6" t="s">
        <v>112</v>
      </c>
      <c r="J40" s="6" t="s">
        <v>66</v>
      </c>
      <c r="K40" s="6" t="n">
        <v>10</v>
      </c>
      <c r="L40" s="6" t="s">
        <v>123</v>
      </c>
      <c r="M40" s="6" t="s">
        <v>124</v>
      </c>
      <c r="N40" s="6"/>
      <c r="O40" s="9"/>
      <c r="P40" s="6" t="str">
        <f aca="false">IF(O40="","",IF(O40=0,"Healthy",IF(O40&lt;=5,"Very low",IF(O40&lt;=10,"Low",IF(O40&lt;=25,"Moderate",IF(O40&lt;=50,"High","Very high"))))))</f>
        <v/>
      </c>
    </row>
    <row r="41" customFormat="false" ht="15" hidden="false" customHeight="false" outlineLevel="0" collapsed="false">
      <c r="A41" s="5" t="s">
        <v>21</v>
      </c>
      <c r="B41" s="6" t="s">
        <v>22</v>
      </c>
      <c r="C41" s="6" t="n">
        <v>6</v>
      </c>
      <c r="D41" s="6" t="n">
        <v>46</v>
      </c>
      <c r="E41" s="6" t="n">
        <v>44</v>
      </c>
      <c r="F41" s="6" t="s">
        <v>59</v>
      </c>
      <c r="G41" s="6" t="s">
        <v>40</v>
      </c>
      <c r="H41" s="6" t="s">
        <v>25</v>
      </c>
      <c r="I41" s="6" t="s">
        <v>112</v>
      </c>
      <c r="J41" s="6" t="s">
        <v>66</v>
      </c>
      <c r="K41" s="6" t="n">
        <v>10</v>
      </c>
      <c r="L41" s="6" t="s">
        <v>125</v>
      </c>
      <c r="M41" s="6" t="s">
        <v>126</v>
      </c>
      <c r="N41" s="6"/>
      <c r="O41" s="9"/>
      <c r="P41" s="6" t="str">
        <f aca="false">IF(O41="","",IF(O41=0,"Healthy",IF(O41&lt;=5,"Very low",IF(O41&lt;=10,"Low",IF(O41&lt;=25,"Moderate",IF(O41&lt;=50,"High","Very high"))))))</f>
        <v/>
      </c>
    </row>
    <row r="42" customFormat="false" ht="15" hidden="false" customHeight="false" outlineLevel="0" collapsed="false">
      <c r="A42" s="5" t="s">
        <v>21</v>
      </c>
      <c r="B42" s="6" t="s">
        <v>22</v>
      </c>
      <c r="C42" s="6" t="n">
        <v>6</v>
      </c>
      <c r="D42" s="6" t="n">
        <v>33</v>
      </c>
      <c r="E42" s="6" t="n">
        <v>45</v>
      </c>
      <c r="F42" s="6" t="s">
        <v>23</v>
      </c>
      <c r="G42" s="6" t="s">
        <v>24</v>
      </c>
      <c r="H42" s="6" t="s">
        <v>25</v>
      </c>
      <c r="I42" s="6" t="s">
        <v>112</v>
      </c>
      <c r="J42" s="6" t="s">
        <v>66</v>
      </c>
      <c r="K42" s="6" t="n">
        <v>5</v>
      </c>
      <c r="L42" s="6" t="s">
        <v>127</v>
      </c>
      <c r="M42" s="6" t="s">
        <v>128</v>
      </c>
      <c r="N42" s="6"/>
      <c r="O42" s="9"/>
      <c r="P42" s="6" t="str">
        <f aca="false">IF(O42="","",IF(O42=0,"Healthy",IF(O42&lt;=5,"Very low",IF(O42&lt;=10,"Low",IF(O42&lt;=25,"Moderate",IF(O42&lt;=50,"High","Very high"))))))</f>
        <v/>
      </c>
    </row>
    <row r="43" customFormat="false" ht="15" hidden="false" customHeight="false" outlineLevel="0" collapsed="false">
      <c r="A43" s="5" t="s">
        <v>21</v>
      </c>
      <c r="B43" s="6" t="s">
        <v>22</v>
      </c>
      <c r="C43" s="6" t="n">
        <v>6</v>
      </c>
      <c r="D43" s="6" t="n">
        <v>33</v>
      </c>
      <c r="E43" s="6" t="n">
        <v>46</v>
      </c>
      <c r="F43" s="6" t="s">
        <v>47</v>
      </c>
      <c r="G43" s="6" t="s">
        <v>24</v>
      </c>
      <c r="H43" s="6" t="s">
        <v>36</v>
      </c>
      <c r="I43" s="6" t="s">
        <v>112</v>
      </c>
      <c r="J43" s="6" t="s">
        <v>66</v>
      </c>
      <c r="K43" s="6" t="n">
        <v>5</v>
      </c>
      <c r="L43" s="6" t="s">
        <v>129</v>
      </c>
      <c r="M43" s="6" t="s">
        <v>130</v>
      </c>
      <c r="N43" s="6"/>
      <c r="O43" s="9"/>
      <c r="P43" s="6" t="str">
        <f aca="false">IF(O43="","",IF(O43=0,"Healthy",IF(O43&lt;=5,"Very low",IF(O43&lt;=10,"Low",IF(O43&lt;=25,"Moderate",IF(O43&lt;=50,"High","Very high"))))))</f>
        <v/>
      </c>
    </row>
    <row r="44" customFormat="false" ht="15" hidden="false" customHeight="false" outlineLevel="0" collapsed="false">
      <c r="A44" s="5" t="s">
        <v>21</v>
      </c>
      <c r="B44" s="6" t="s">
        <v>22</v>
      </c>
      <c r="C44" s="6" t="n">
        <v>6</v>
      </c>
      <c r="D44" s="6" t="n">
        <v>33</v>
      </c>
      <c r="E44" s="6" t="n">
        <v>47</v>
      </c>
      <c r="F44" s="6" t="s">
        <v>62</v>
      </c>
      <c r="G44" s="6" t="s">
        <v>24</v>
      </c>
      <c r="H44" s="6" t="s">
        <v>41</v>
      </c>
      <c r="I44" s="6" t="s">
        <v>112</v>
      </c>
      <c r="J44" s="6" t="s">
        <v>66</v>
      </c>
      <c r="K44" s="6" t="n">
        <v>5</v>
      </c>
      <c r="L44" s="6" t="s">
        <v>131</v>
      </c>
      <c r="M44" s="6" t="s">
        <v>132</v>
      </c>
      <c r="N44" s="6"/>
      <c r="O44" s="9"/>
      <c r="P44" s="6" t="str">
        <f aca="false">IF(O44="","",IF(O44=0,"Healthy",IF(O44&lt;=5,"Very low",IF(O44&lt;=10,"Low",IF(O44&lt;=25,"Moderate",IF(O44&lt;=50,"High","Very high"))))))</f>
        <v/>
      </c>
    </row>
    <row r="45" customFormat="false" ht="15" hidden="false" customHeight="false" outlineLevel="0" collapsed="false">
      <c r="A45" s="5" t="s">
        <v>21</v>
      </c>
      <c r="B45" s="6" t="s">
        <v>22</v>
      </c>
      <c r="C45" s="6" t="n">
        <v>6</v>
      </c>
      <c r="D45" s="6" t="n">
        <v>46</v>
      </c>
      <c r="E45" s="6" t="n">
        <v>48</v>
      </c>
      <c r="F45" s="6" t="s">
        <v>56</v>
      </c>
      <c r="G45" s="6" t="s">
        <v>40</v>
      </c>
      <c r="H45" s="6" t="s">
        <v>36</v>
      </c>
      <c r="I45" s="6" t="s">
        <v>112</v>
      </c>
      <c r="J45" s="6" t="s">
        <v>66</v>
      </c>
      <c r="K45" s="6" t="n">
        <v>10</v>
      </c>
      <c r="L45" s="6" t="s">
        <v>133</v>
      </c>
      <c r="M45" s="6" t="s">
        <v>134</v>
      </c>
      <c r="N45" s="6"/>
      <c r="O45" s="9"/>
      <c r="P45" s="6" t="str">
        <f aca="false">IF(O45="","",IF(O45=0,"Healthy",IF(O45&lt;=5,"Very low",IF(O45&lt;=10,"Low",IF(O45&lt;=25,"Moderate",IF(O45&lt;=50,"High","Very high"))))))</f>
        <v/>
      </c>
    </row>
    <row r="46" customFormat="false" ht="15" hidden="false" customHeight="false" outlineLevel="0" collapsed="false">
      <c r="A46" s="5" t="s">
        <v>21</v>
      </c>
      <c r="B46" s="6" t="s">
        <v>135</v>
      </c>
      <c r="C46" s="6" t="n">
        <v>19</v>
      </c>
      <c r="D46" s="6" t="n">
        <v>46</v>
      </c>
      <c r="E46" s="6" t="n">
        <v>1</v>
      </c>
      <c r="F46" s="6" t="s">
        <v>23</v>
      </c>
      <c r="G46" s="6" t="s">
        <v>24</v>
      </c>
      <c r="H46" s="6" t="s">
        <v>25</v>
      </c>
      <c r="I46" s="6" t="s">
        <v>26</v>
      </c>
      <c r="J46" s="6" t="s">
        <v>27</v>
      </c>
      <c r="K46" s="6" t="n">
        <v>6</v>
      </c>
      <c r="L46" s="6" t="s">
        <v>28</v>
      </c>
      <c r="M46" s="6" t="s">
        <v>136</v>
      </c>
      <c r="N46" s="6"/>
      <c r="O46" s="9" t="n">
        <v>0</v>
      </c>
      <c r="P46" s="6" t="str">
        <f aca="false">IF(O46="","",IF(O46=0,"Healthy",IF(O46&lt;=5,"Very low",IF(O46&lt;=10,"Low",IF(O46&lt;=25,"Moderate",IF(O46&lt;=50,"High","Very high"))))))</f>
        <v>Healthy</v>
      </c>
    </row>
    <row r="47" customFormat="false" ht="15" hidden="false" customHeight="false" outlineLevel="0" collapsed="false">
      <c r="A47" s="5" t="s">
        <v>21</v>
      </c>
      <c r="B47" s="6" t="s">
        <v>135</v>
      </c>
      <c r="C47" s="6" t="n">
        <v>19</v>
      </c>
      <c r="D47" s="6" t="n">
        <v>46</v>
      </c>
      <c r="E47" s="6" t="n">
        <v>6</v>
      </c>
      <c r="F47" s="6" t="s">
        <v>47</v>
      </c>
      <c r="G47" s="6" t="s">
        <v>24</v>
      </c>
      <c r="H47" s="6" t="s">
        <v>36</v>
      </c>
      <c r="I47" s="6" t="s">
        <v>26</v>
      </c>
      <c r="J47" s="6" t="s">
        <v>27</v>
      </c>
      <c r="K47" s="6" t="n">
        <v>6</v>
      </c>
      <c r="L47" s="6" t="s">
        <v>137</v>
      </c>
      <c r="M47" s="6" t="s">
        <v>138</v>
      </c>
      <c r="N47" s="6"/>
      <c r="O47" s="9" t="n">
        <v>0</v>
      </c>
      <c r="P47" s="6" t="str">
        <f aca="false">IF(O47="","",IF(O47=0,"Healthy",IF(O47&lt;=5,"Very low",IF(O47&lt;=10,"Low",IF(O47&lt;=25,"Moderate",IF(O47&lt;=50,"High","Very high"))))))</f>
        <v>Healthy</v>
      </c>
    </row>
    <row r="48" customFormat="false" ht="15" hidden="false" customHeight="false" outlineLevel="0" collapsed="false">
      <c r="A48" s="5" t="s">
        <v>21</v>
      </c>
      <c r="B48" s="6" t="s">
        <v>135</v>
      </c>
      <c r="C48" s="6" t="n">
        <v>19</v>
      </c>
      <c r="D48" s="6" t="n">
        <v>59</v>
      </c>
      <c r="E48" s="6" t="n">
        <v>10</v>
      </c>
      <c r="F48" s="6" t="s">
        <v>56</v>
      </c>
      <c r="G48" s="6" t="s">
        <v>40</v>
      </c>
      <c r="H48" s="6" t="s">
        <v>36</v>
      </c>
      <c r="I48" s="6" t="s">
        <v>26</v>
      </c>
      <c r="J48" s="6" t="s">
        <v>27</v>
      </c>
      <c r="K48" s="6" t="n">
        <v>6</v>
      </c>
      <c r="L48" s="6" t="s">
        <v>67</v>
      </c>
      <c r="M48" s="6" t="s">
        <v>139</v>
      </c>
      <c r="N48" s="6"/>
      <c r="O48" s="9" t="n">
        <v>0</v>
      </c>
      <c r="P48" s="6" t="str">
        <f aca="false">IF(O48="","",IF(O48=0,"Healthy",IF(O48&lt;=5,"Very low",IF(O48&lt;=10,"Low",IF(O48&lt;=25,"Moderate",IF(O48&lt;=50,"High","Very high"))))))</f>
        <v>Healthy</v>
      </c>
    </row>
    <row r="49" customFormat="false" ht="15" hidden="false" customHeight="false" outlineLevel="0" collapsed="false">
      <c r="A49" s="5" t="s">
        <v>21</v>
      </c>
      <c r="B49" s="6" t="s">
        <v>135</v>
      </c>
      <c r="C49" s="6" t="n">
        <v>19</v>
      </c>
      <c r="D49" s="6" t="n">
        <v>59</v>
      </c>
      <c r="E49" s="6" t="n">
        <v>11</v>
      </c>
      <c r="F49" s="6" t="s">
        <v>59</v>
      </c>
      <c r="G49" s="6" t="s">
        <v>40</v>
      </c>
      <c r="H49" s="6" t="s">
        <v>25</v>
      </c>
      <c r="I49" s="6" t="s">
        <v>26</v>
      </c>
      <c r="J49" s="6" t="s">
        <v>27</v>
      </c>
      <c r="K49" s="6" t="n">
        <v>6</v>
      </c>
      <c r="L49" s="6" t="s">
        <v>140</v>
      </c>
      <c r="M49" s="6" t="s">
        <v>141</v>
      </c>
      <c r="N49" s="6"/>
      <c r="O49" s="9" t="n">
        <v>0</v>
      </c>
      <c r="P49" s="6" t="str">
        <f aca="false">IF(O49="","",IF(O49=0,"Healthy",IF(O49&lt;=5,"Very low",IF(O49&lt;=10,"Low",IF(O49&lt;=25,"Moderate",IF(O49&lt;=50,"High","Very high"))))))</f>
        <v>Healthy</v>
      </c>
    </row>
    <row r="50" customFormat="false" ht="15" hidden="false" customHeight="false" outlineLevel="0" collapsed="false">
      <c r="A50" s="5" t="s">
        <v>21</v>
      </c>
      <c r="B50" s="6" t="s">
        <v>135</v>
      </c>
      <c r="C50" s="6" t="n">
        <v>19</v>
      </c>
      <c r="D50" s="6" t="n">
        <v>46</v>
      </c>
      <c r="E50" s="6" t="n">
        <v>12</v>
      </c>
      <c r="F50" s="6" t="s">
        <v>62</v>
      </c>
      <c r="G50" s="6" t="s">
        <v>24</v>
      </c>
      <c r="H50" s="6" t="s">
        <v>41</v>
      </c>
      <c r="I50" s="6" t="s">
        <v>26</v>
      </c>
      <c r="J50" s="6" t="s">
        <v>27</v>
      </c>
      <c r="K50" s="6" t="n">
        <v>6</v>
      </c>
      <c r="L50" s="6" t="s">
        <v>142</v>
      </c>
      <c r="M50" s="6" t="s">
        <v>143</v>
      </c>
      <c r="N50" s="6"/>
      <c r="O50" s="9" t="n">
        <v>0</v>
      </c>
      <c r="P50" s="6" t="str">
        <f aca="false">IF(O50="","",IF(O50=0,"Healthy",IF(O50&lt;=5,"Very low",IF(O50&lt;=10,"Low",IF(O50&lt;=25,"Moderate",IF(O50&lt;=50,"High","Very high"))))))</f>
        <v>Healthy</v>
      </c>
    </row>
    <row r="51" customFormat="false" ht="15" hidden="false" customHeight="false" outlineLevel="0" collapsed="false">
      <c r="A51" s="5" t="s">
        <v>21</v>
      </c>
      <c r="B51" s="6" t="s">
        <v>135</v>
      </c>
      <c r="C51" s="6" t="n">
        <v>19</v>
      </c>
      <c r="D51" s="6" t="n">
        <v>46</v>
      </c>
      <c r="E51" s="6" t="n">
        <v>14</v>
      </c>
      <c r="F51" s="6" t="s">
        <v>62</v>
      </c>
      <c r="G51" s="6" t="s">
        <v>24</v>
      </c>
      <c r="H51" s="6" t="s">
        <v>41</v>
      </c>
      <c r="I51" s="6" t="s">
        <v>65</v>
      </c>
      <c r="J51" s="6" t="s">
        <v>66</v>
      </c>
      <c r="K51" s="6" t="n">
        <v>10</v>
      </c>
      <c r="L51" s="6" t="s">
        <v>144</v>
      </c>
      <c r="M51" s="6" t="s">
        <v>145</v>
      </c>
      <c r="N51" s="6"/>
      <c r="O51" s="9"/>
      <c r="P51" s="6" t="str">
        <f aca="false">IF(O51="","",IF(O51=0,"Healthy",IF(O51&lt;=5,"Very low",IF(O51&lt;=10,"Low",IF(O51&lt;=25,"Moderate",IF(O51&lt;=50,"High","Very high"))))))</f>
        <v/>
      </c>
    </row>
    <row r="52" customFormat="false" ht="15" hidden="false" customHeight="false" outlineLevel="0" collapsed="false">
      <c r="A52" s="5" t="s">
        <v>21</v>
      </c>
      <c r="B52" s="6" t="s">
        <v>135</v>
      </c>
      <c r="C52" s="6" t="n">
        <v>19</v>
      </c>
      <c r="D52" s="6" t="n">
        <v>59</v>
      </c>
      <c r="E52" s="6" t="n">
        <v>17</v>
      </c>
      <c r="F52" s="6" t="s">
        <v>59</v>
      </c>
      <c r="G52" s="6" t="s">
        <v>40</v>
      </c>
      <c r="H52" s="6" t="s">
        <v>25</v>
      </c>
      <c r="I52" s="6" t="s">
        <v>65</v>
      </c>
      <c r="J52" s="6" t="s">
        <v>66</v>
      </c>
      <c r="K52" s="6" t="n">
        <v>10</v>
      </c>
      <c r="L52" s="6" t="s">
        <v>146</v>
      </c>
      <c r="M52" s="6" t="s">
        <v>147</v>
      </c>
      <c r="N52" s="6"/>
      <c r="O52" s="9"/>
      <c r="P52" s="6" t="str">
        <f aca="false">IF(O52="","",IF(O52=0,"Healthy",IF(O52&lt;=5,"Very low",IF(O52&lt;=10,"Low",IF(O52&lt;=25,"Moderate",IF(O52&lt;=50,"High","Very high"))))))</f>
        <v/>
      </c>
    </row>
    <row r="53" customFormat="false" ht="15" hidden="false" customHeight="false" outlineLevel="0" collapsed="false">
      <c r="A53" s="5" t="s">
        <v>21</v>
      </c>
      <c r="B53" s="6" t="s">
        <v>135</v>
      </c>
      <c r="C53" s="6" t="n">
        <v>19</v>
      </c>
      <c r="D53" s="6" t="n">
        <v>46</v>
      </c>
      <c r="E53" s="6" t="n">
        <v>18</v>
      </c>
      <c r="F53" s="6" t="s">
        <v>23</v>
      </c>
      <c r="G53" s="6" t="s">
        <v>24</v>
      </c>
      <c r="H53" s="6" t="s">
        <v>25</v>
      </c>
      <c r="I53" s="6" t="s">
        <v>65</v>
      </c>
      <c r="J53" s="6" t="s">
        <v>66</v>
      </c>
      <c r="K53" s="6" t="n">
        <v>10</v>
      </c>
      <c r="L53" s="6" t="s">
        <v>148</v>
      </c>
      <c r="M53" s="6" t="s">
        <v>149</v>
      </c>
      <c r="N53" s="6"/>
      <c r="O53" s="9"/>
      <c r="P53" s="6" t="str">
        <f aca="false">IF(O53="","",IF(O53=0,"Healthy",IF(O53&lt;=5,"Very low",IF(O53&lt;=10,"Low",IF(O53&lt;=25,"Moderate",IF(O53&lt;=50,"High","Very high"))))))</f>
        <v/>
      </c>
    </row>
    <row r="54" customFormat="false" ht="15" hidden="false" customHeight="false" outlineLevel="0" collapsed="false">
      <c r="A54" s="5" t="s">
        <v>21</v>
      </c>
      <c r="B54" s="6" t="s">
        <v>135</v>
      </c>
      <c r="C54" s="6" t="n">
        <v>19</v>
      </c>
      <c r="D54" s="6" t="n">
        <v>46</v>
      </c>
      <c r="E54" s="6" t="n">
        <v>20</v>
      </c>
      <c r="F54" s="6" t="s">
        <v>47</v>
      </c>
      <c r="G54" s="6" t="s">
        <v>24</v>
      </c>
      <c r="H54" s="6" t="s">
        <v>36</v>
      </c>
      <c r="I54" s="6" t="s">
        <v>65</v>
      </c>
      <c r="J54" s="6" t="s">
        <v>66</v>
      </c>
      <c r="K54" s="6" t="n">
        <v>10</v>
      </c>
      <c r="L54" s="6" t="s">
        <v>150</v>
      </c>
      <c r="M54" s="6" t="s">
        <v>151</v>
      </c>
      <c r="N54" s="6"/>
      <c r="O54" s="9"/>
      <c r="P54" s="6" t="str">
        <f aca="false">IF(O54="","",IF(O54=0,"Healthy",IF(O54&lt;=5,"Very low",IF(O54&lt;=10,"Low",IF(O54&lt;=25,"Moderate",IF(O54&lt;=50,"High","Very high"))))))</f>
        <v/>
      </c>
    </row>
    <row r="55" customFormat="false" ht="15" hidden="false" customHeight="false" outlineLevel="0" collapsed="false">
      <c r="A55" s="5" t="s">
        <v>21</v>
      </c>
      <c r="B55" s="6" t="s">
        <v>135</v>
      </c>
      <c r="C55" s="6" t="n">
        <v>19</v>
      </c>
      <c r="D55" s="6" t="n">
        <v>59</v>
      </c>
      <c r="E55" s="6" t="n">
        <v>21</v>
      </c>
      <c r="F55" s="6" t="s">
        <v>56</v>
      </c>
      <c r="G55" s="6" t="s">
        <v>40</v>
      </c>
      <c r="H55" s="6" t="s">
        <v>36</v>
      </c>
      <c r="I55" s="6" t="s">
        <v>65</v>
      </c>
      <c r="J55" s="6" t="s">
        <v>66</v>
      </c>
      <c r="K55" s="6" t="n">
        <v>10</v>
      </c>
      <c r="L55" s="6" t="s">
        <v>152</v>
      </c>
      <c r="M55" s="6" t="s">
        <v>153</v>
      </c>
      <c r="N55" s="6"/>
      <c r="O55" s="9"/>
      <c r="P55" s="6" t="str">
        <f aca="false">IF(O55="","",IF(O55=0,"Healthy",IF(O55&lt;=5,"Very low",IF(O55&lt;=10,"Low",IF(O55&lt;=25,"Moderate",IF(O55&lt;=50,"High","Very high"))))))</f>
        <v/>
      </c>
    </row>
    <row r="56" customFormat="false" ht="15" hidden="false" customHeight="false" outlineLevel="0" collapsed="false">
      <c r="A56" s="5" t="s">
        <v>21</v>
      </c>
      <c r="B56" s="6" t="s">
        <v>135</v>
      </c>
      <c r="C56" s="6" t="n">
        <v>19</v>
      </c>
      <c r="D56" s="6" t="n">
        <v>46</v>
      </c>
      <c r="E56" s="6" t="n">
        <v>26</v>
      </c>
      <c r="F56" s="6" t="s">
        <v>23</v>
      </c>
      <c r="G56" s="6" t="s">
        <v>24</v>
      </c>
      <c r="H56" s="6" t="s">
        <v>25</v>
      </c>
      <c r="I56" s="6" t="s">
        <v>89</v>
      </c>
      <c r="J56" s="6" t="s">
        <v>66</v>
      </c>
      <c r="K56" s="6" t="n">
        <v>15</v>
      </c>
      <c r="L56" s="6" t="s">
        <v>154</v>
      </c>
      <c r="M56" s="6" t="s">
        <v>155</v>
      </c>
      <c r="N56" s="6"/>
      <c r="O56" s="9"/>
      <c r="P56" s="6" t="str">
        <f aca="false">IF(O56="","",IF(O56=0,"Healthy",IF(O56&lt;=5,"Very low",IF(O56&lt;=10,"Low",IF(O56&lt;=25,"Moderate",IF(O56&lt;=50,"High","Very high"))))))</f>
        <v/>
      </c>
    </row>
    <row r="57" customFormat="false" ht="15" hidden="false" customHeight="false" outlineLevel="0" collapsed="false">
      <c r="A57" s="5" t="s">
        <v>21</v>
      </c>
      <c r="B57" s="6" t="s">
        <v>135</v>
      </c>
      <c r="C57" s="6" t="n">
        <v>19</v>
      </c>
      <c r="D57" s="6" t="n">
        <v>46</v>
      </c>
      <c r="E57" s="6" t="n">
        <v>28</v>
      </c>
      <c r="F57" s="6" t="s">
        <v>62</v>
      </c>
      <c r="G57" s="6" t="s">
        <v>24</v>
      </c>
      <c r="H57" s="6" t="s">
        <v>41</v>
      </c>
      <c r="I57" s="6" t="s">
        <v>89</v>
      </c>
      <c r="J57" s="6" t="s">
        <v>66</v>
      </c>
      <c r="K57" s="6" t="n">
        <v>10</v>
      </c>
      <c r="L57" s="6" t="s">
        <v>156</v>
      </c>
      <c r="M57" s="6" t="s">
        <v>157</v>
      </c>
      <c r="N57" s="6"/>
      <c r="O57" s="9"/>
      <c r="P57" s="6" t="str">
        <f aca="false">IF(O57="","",IF(O57=0,"Healthy",IF(O57&lt;=5,"Very low",IF(O57&lt;=10,"Low",IF(O57&lt;=25,"Moderate",IF(O57&lt;=50,"High","Very high"))))))</f>
        <v/>
      </c>
    </row>
    <row r="58" customFormat="false" ht="15" hidden="false" customHeight="false" outlineLevel="0" collapsed="false">
      <c r="A58" s="5" t="s">
        <v>21</v>
      </c>
      <c r="B58" s="6" t="s">
        <v>135</v>
      </c>
      <c r="C58" s="6" t="n">
        <v>19</v>
      </c>
      <c r="D58" s="6" t="n">
        <v>59</v>
      </c>
      <c r="E58" s="6" t="n">
        <v>29</v>
      </c>
      <c r="F58" s="6" t="s">
        <v>56</v>
      </c>
      <c r="G58" s="6" t="s">
        <v>40</v>
      </c>
      <c r="H58" s="6" t="s">
        <v>36</v>
      </c>
      <c r="I58" s="6" t="s">
        <v>89</v>
      </c>
      <c r="J58" s="6" t="s">
        <v>66</v>
      </c>
      <c r="K58" s="6" t="n">
        <v>10</v>
      </c>
      <c r="L58" s="6" t="s">
        <v>158</v>
      </c>
      <c r="M58" s="6" t="s">
        <v>159</v>
      </c>
      <c r="N58" s="6"/>
      <c r="O58" s="9"/>
      <c r="P58" s="6" t="str">
        <f aca="false">IF(O58="","",IF(O58=0,"Healthy",IF(O58&lt;=5,"Very low",IF(O58&lt;=10,"Low",IF(O58&lt;=25,"Moderate",IF(O58&lt;=50,"High","Very high"))))))</f>
        <v/>
      </c>
    </row>
    <row r="59" customFormat="false" ht="15" hidden="false" customHeight="false" outlineLevel="0" collapsed="false">
      <c r="A59" s="5" t="s">
        <v>21</v>
      </c>
      <c r="B59" s="6" t="s">
        <v>135</v>
      </c>
      <c r="C59" s="6" t="n">
        <v>19</v>
      </c>
      <c r="D59" s="6" t="n">
        <v>59</v>
      </c>
      <c r="E59" s="6" t="n">
        <v>32</v>
      </c>
      <c r="F59" s="6" t="s">
        <v>59</v>
      </c>
      <c r="G59" s="6" t="s">
        <v>40</v>
      </c>
      <c r="H59" s="6" t="s">
        <v>25</v>
      </c>
      <c r="I59" s="6" t="s">
        <v>89</v>
      </c>
      <c r="J59" s="6" t="s">
        <v>66</v>
      </c>
      <c r="K59" s="6" t="n">
        <v>10</v>
      </c>
      <c r="L59" s="6" t="s">
        <v>160</v>
      </c>
      <c r="M59" s="6" t="s">
        <v>161</v>
      </c>
      <c r="N59" s="6"/>
      <c r="O59" s="9"/>
      <c r="P59" s="6" t="str">
        <f aca="false">IF(O59="","",IF(O59=0,"Healthy",IF(O59&lt;=5,"Very low",IF(O59&lt;=10,"Low",IF(O59&lt;=25,"Moderate",IF(O59&lt;=50,"High","Very high"))))))</f>
        <v/>
      </c>
    </row>
    <row r="60" customFormat="false" ht="15" hidden="false" customHeight="false" outlineLevel="0" collapsed="false">
      <c r="A60" s="5" t="s">
        <v>21</v>
      </c>
      <c r="B60" s="6" t="s">
        <v>135</v>
      </c>
      <c r="C60" s="6" t="n">
        <v>19</v>
      </c>
      <c r="D60" s="6" t="n">
        <v>46</v>
      </c>
      <c r="E60" s="6" t="n">
        <v>33</v>
      </c>
      <c r="F60" s="6" t="s">
        <v>47</v>
      </c>
      <c r="G60" s="6" t="s">
        <v>24</v>
      </c>
      <c r="H60" s="6" t="s">
        <v>36</v>
      </c>
      <c r="I60" s="6" t="s">
        <v>89</v>
      </c>
      <c r="J60" s="6" t="s">
        <v>66</v>
      </c>
      <c r="K60" s="6" t="n">
        <v>10</v>
      </c>
      <c r="L60" s="6" t="s">
        <v>162</v>
      </c>
      <c r="M60" s="6" t="s">
        <v>163</v>
      </c>
      <c r="N60" s="6"/>
      <c r="O60" s="9"/>
      <c r="P60" s="6" t="str">
        <f aca="false">IF(O60="","",IF(O60=0,"Healthy",IF(O60&lt;=5,"Very low",IF(O60&lt;=10,"Low",IF(O60&lt;=25,"Moderate",IF(O60&lt;=50,"High","Very high"))))))</f>
        <v/>
      </c>
    </row>
    <row r="61" customFormat="false" ht="15" hidden="false" customHeight="false" outlineLevel="0" collapsed="false">
      <c r="A61" s="5" t="s">
        <v>21</v>
      </c>
      <c r="B61" s="6" t="s">
        <v>135</v>
      </c>
      <c r="C61" s="6" t="n">
        <v>19</v>
      </c>
      <c r="D61" s="6" t="n">
        <v>59</v>
      </c>
      <c r="E61" s="6" t="n">
        <v>44</v>
      </c>
      <c r="F61" s="6" t="s">
        <v>59</v>
      </c>
      <c r="G61" s="6" t="s">
        <v>40</v>
      </c>
      <c r="H61" s="6" t="s">
        <v>25</v>
      </c>
      <c r="I61" s="6" t="s">
        <v>112</v>
      </c>
      <c r="J61" s="6" t="s">
        <v>66</v>
      </c>
      <c r="K61" s="6" t="n">
        <v>10</v>
      </c>
      <c r="L61" s="6" t="s">
        <v>164</v>
      </c>
      <c r="M61" s="6" t="s">
        <v>165</v>
      </c>
      <c r="N61" s="6"/>
      <c r="O61" s="9"/>
      <c r="P61" s="6" t="str">
        <f aca="false">IF(O61="","",IF(O61=0,"Healthy",IF(O61&lt;=5,"Very low",IF(O61&lt;=10,"Low",IF(O61&lt;=25,"Moderate",IF(O61&lt;=50,"High","Very high"))))))</f>
        <v/>
      </c>
    </row>
    <row r="62" customFormat="false" ht="15" hidden="false" customHeight="false" outlineLevel="0" collapsed="false">
      <c r="A62" s="5" t="s">
        <v>21</v>
      </c>
      <c r="B62" s="6" t="s">
        <v>135</v>
      </c>
      <c r="C62" s="6" t="n">
        <v>19</v>
      </c>
      <c r="D62" s="6" t="n">
        <v>46</v>
      </c>
      <c r="E62" s="6" t="n">
        <v>45</v>
      </c>
      <c r="F62" s="6" t="s">
        <v>23</v>
      </c>
      <c r="G62" s="6" t="s">
        <v>24</v>
      </c>
      <c r="H62" s="6" t="s">
        <v>25</v>
      </c>
      <c r="I62" s="6" t="s">
        <v>112</v>
      </c>
      <c r="J62" s="6" t="s">
        <v>66</v>
      </c>
      <c r="K62" s="6" t="n">
        <v>15</v>
      </c>
      <c r="L62" s="6" t="s">
        <v>166</v>
      </c>
      <c r="M62" s="6" t="s">
        <v>167</v>
      </c>
      <c r="N62" s="6"/>
      <c r="O62" s="9"/>
      <c r="P62" s="6" t="str">
        <f aca="false">IF(O62="","",IF(O62=0,"Healthy",IF(O62&lt;=5,"Very low",IF(O62&lt;=10,"Low",IF(O62&lt;=25,"Moderate",IF(O62&lt;=50,"High","Very high"))))))</f>
        <v/>
      </c>
    </row>
    <row r="63" customFormat="false" ht="15" hidden="false" customHeight="false" outlineLevel="0" collapsed="false">
      <c r="A63" s="5" t="s">
        <v>21</v>
      </c>
      <c r="B63" s="6" t="s">
        <v>135</v>
      </c>
      <c r="C63" s="6" t="n">
        <v>19</v>
      </c>
      <c r="D63" s="6" t="n">
        <v>46</v>
      </c>
      <c r="E63" s="6" t="n">
        <v>46</v>
      </c>
      <c r="F63" s="6" t="s">
        <v>47</v>
      </c>
      <c r="G63" s="6" t="s">
        <v>24</v>
      </c>
      <c r="H63" s="6" t="s">
        <v>36</v>
      </c>
      <c r="I63" s="6" t="s">
        <v>112</v>
      </c>
      <c r="J63" s="6" t="s">
        <v>66</v>
      </c>
      <c r="K63" s="6" t="n">
        <v>10</v>
      </c>
      <c r="L63" s="6" t="s">
        <v>168</v>
      </c>
      <c r="M63" s="6" t="s">
        <v>169</v>
      </c>
      <c r="N63" s="6"/>
      <c r="O63" s="9"/>
      <c r="P63" s="6" t="str">
        <f aca="false">IF(O63="","",IF(O63=0,"Healthy",IF(O63&lt;=5,"Very low",IF(O63&lt;=10,"Low",IF(O63&lt;=25,"Moderate",IF(O63&lt;=50,"High","Very high"))))))</f>
        <v/>
      </c>
    </row>
    <row r="64" customFormat="false" ht="15" hidden="false" customHeight="false" outlineLevel="0" collapsed="false">
      <c r="A64" s="5" t="s">
        <v>21</v>
      </c>
      <c r="B64" s="6" t="s">
        <v>135</v>
      </c>
      <c r="C64" s="6" t="n">
        <v>19</v>
      </c>
      <c r="D64" s="6" t="n">
        <v>46</v>
      </c>
      <c r="E64" s="6" t="n">
        <v>47</v>
      </c>
      <c r="F64" s="6" t="s">
        <v>62</v>
      </c>
      <c r="G64" s="6" t="s">
        <v>24</v>
      </c>
      <c r="H64" s="6" t="s">
        <v>41</v>
      </c>
      <c r="I64" s="6" t="s">
        <v>112</v>
      </c>
      <c r="J64" s="6" t="s">
        <v>66</v>
      </c>
      <c r="K64" s="6" t="n">
        <v>10</v>
      </c>
      <c r="L64" s="6" t="s">
        <v>170</v>
      </c>
      <c r="M64" s="6" t="s">
        <v>171</v>
      </c>
      <c r="N64" s="6"/>
      <c r="O64" s="9"/>
      <c r="P64" s="6" t="str">
        <f aca="false">IF(O64="","",IF(O64=0,"Healthy",IF(O64&lt;=5,"Very low",IF(O64&lt;=10,"Low",IF(O64&lt;=25,"Moderate",IF(O64&lt;=50,"High","Very high"))))))</f>
        <v/>
      </c>
    </row>
    <row r="65" customFormat="false" ht="15" hidden="false" customHeight="false" outlineLevel="0" collapsed="false">
      <c r="A65" s="5" t="s">
        <v>21</v>
      </c>
      <c r="B65" s="6" t="s">
        <v>135</v>
      </c>
      <c r="C65" s="6" t="n">
        <v>19</v>
      </c>
      <c r="D65" s="6" t="n">
        <v>59</v>
      </c>
      <c r="E65" s="6" t="n">
        <v>48</v>
      </c>
      <c r="F65" s="6" t="s">
        <v>56</v>
      </c>
      <c r="G65" s="6" t="s">
        <v>40</v>
      </c>
      <c r="H65" s="6" t="s">
        <v>36</v>
      </c>
      <c r="I65" s="6" t="s">
        <v>112</v>
      </c>
      <c r="J65" s="6" t="s">
        <v>66</v>
      </c>
      <c r="K65" s="6" t="n">
        <v>10</v>
      </c>
      <c r="L65" s="6" t="s">
        <v>172</v>
      </c>
      <c r="M65" s="6" t="s">
        <v>173</v>
      </c>
      <c r="N65" s="6"/>
      <c r="O65" s="9"/>
      <c r="P65" s="6" t="str">
        <f aca="false">IF(O65="","",IF(O65=0,"Healthy",IF(O65&lt;=5,"Very low",IF(O65&lt;=10,"Low",IF(O65&lt;=25,"Moderate",IF(O65&lt;=50,"High","Very high"))))))</f>
        <v/>
      </c>
    </row>
  </sheetData>
  <autoFilter ref="A1:P65"/>
  <dataValidations count="1">
    <dataValidation allowBlank="true" error="DI must be between 0 and 100" errorStyle="stop" operator="between" showDropDown="false" showErrorMessage="false" showInputMessage="false" sqref="O2:O65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6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22"/>
    <col collapsed="false" customWidth="true" hidden="false" outlineLevel="0" max="14" min="14" style="0" width="44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301</v>
      </c>
      <c r="P1" s="4" t="s">
        <v>302</v>
      </c>
    </row>
    <row r="2" customFormat="false" ht="15" hidden="false" customHeight="false" outlineLevel="0" collapsed="false">
      <c r="A2" s="7" t="s">
        <v>174</v>
      </c>
      <c r="B2" s="6" t="s">
        <v>22</v>
      </c>
      <c r="C2" s="6" t="n">
        <v>6</v>
      </c>
      <c r="D2" s="6" t="n">
        <v>64</v>
      </c>
      <c r="E2" s="6" t="n">
        <v>7</v>
      </c>
      <c r="F2" s="6" t="s">
        <v>175</v>
      </c>
      <c r="G2" s="6" t="s">
        <v>35</v>
      </c>
      <c r="H2" s="6" t="s">
        <v>41</v>
      </c>
      <c r="I2" s="6" t="s">
        <v>26</v>
      </c>
      <c r="J2" s="6" t="s">
        <v>27</v>
      </c>
      <c r="K2" s="6" t="n">
        <v>9</v>
      </c>
      <c r="L2" s="6" t="s">
        <v>176</v>
      </c>
      <c r="M2" s="6" t="s">
        <v>138</v>
      </c>
      <c r="N2" s="6"/>
      <c r="O2" s="9" t="n">
        <v>0</v>
      </c>
      <c r="P2" s="6" t="str">
        <f aca="false">IF(O2="","",IF(O2=0,"Healthy",IF(O2&lt;=5,"Very low",IF(O2&lt;=10,"Low",IF(O2&lt;=25,"Moderate",IF(O2&lt;=50,"High","Very high"))))))</f>
        <v>Healthy</v>
      </c>
    </row>
    <row r="3" customFormat="false" ht="15" hidden="false" customHeight="false" outlineLevel="0" collapsed="false">
      <c r="A3" s="7" t="s">
        <v>174</v>
      </c>
      <c r="B3" s="6" t="s">
        <v>22</v>
      </c>
      <c r="C3" s="6" t="n">
        <v>6</v>
      </c>
      <c r="D3" s="6" t="n">
        <v>64</v>
      </c>
      <c r="E3" s="6" t="n">
        <v>24</v>
      </c>
      <c r="F3" s="6" t="s">
        <v>175</v>
      </c>
      <c r="G3" s="6" t="s">
        <v>35</v>
      </c>
      <c r="H3" s="6" t="s">
        <v>41</v>
      </c>
      <c r="I3" s="6" t="s">
        <v>65</v>
      </c>
      <c r="J3" s="6" t="s">
        <v>66</v>
      </c>
      <c r="K3" s="6" t="n">
        <v>15</v>
      </c>
      <c r="L3" s="6" t="s">
        <v>177</v>
      </c>
      <c r="M3" s="6" t="s">
        <v>178</v>
      </c>
      <c r="N3" s="6"/>
      <c r="O3" s="9"/>
      <c r="P3" s="6" t="str">
        <f aca="false">IF(O3="","",IF(O3=0,"Healthy",IF(O3&lt;=5,"Very low",IF(O3&lt;=10,"Low",IF(O3&lt;=25,"Moderate",IF(O3&lt;=50,"High","Very high"))))))</f>
        <v/>
      </c>
    </row>
    <row r="4" customFormat="false" ht="15" hidden="false" customHeight="false" outlineLevel="0" collapsed="false">
      <c r="A4" s="7" t="s">
        <v>174</v>
      </c>
      <c r="B4" s="6" t="s">
        <v>22</v>
      </c>
      <c r="C4" s="6" t="n">
        <v>6</v>
      </c>
      <c r="D4" s="6" t="n">
        <v>64</v>
      </c>
      <c r="E4" s="6" t="n">
        <v>34</v>
      </c>
      <c r="F4" s="6" t="s">
        <v>175</v>
      </c>
      <c r="G4" s="6" t="s">
        <v>35</v>
      </c>
      <c r="H4" s="6" t="s">
        <v>41</v>
      </c>
      <c r="I4" s="6" t="s">
        <v>89</v>
      </c>
      <c r="J4" s="6" t="s">
        <v>66</v>
      </c>
      <c r="K4" s="6" t="n">
        <v>15</v>
      </c>
      <c r="L4" s="6" t="s">
        <v>179</v>
      </c>
      <c r="M4" s="6" t="s">
        <v>180</v>
      </c>
      <c r="N4" s="6"/>
      <c r="O4" s="9"/>
      <c r="P4" s="6" t="str">
        <f aca="false">IF(O4="","",IF(O4=0,"Healthy",IF(O4&lt;=5,"Very low",IF(O4&lt;=10,"Low",IF(O4&lt;=25,"Moderate",IF(O4&lt;=50,"High","Very high"))))))</f>
        <v/>
      </c>
    </row>
    <row r="5" customFormat="false" ht="15" hidden="false" customHeight="false" outlineLevel="0" collapsed="false">
      <c r="A5" s="7" t="s">
        <v>174</v>
      </c>
      <c r="B5" s="6" t="s">
        <v>22</v>
      </c>
      <c r="C5" s="6" t="n">
        <v>6</v>
      </c>
      <c r="D5" s="6" t="n">
        <v>64</v>
      </c>
      <c r="E5" s="6" t="n">
        <v>41</v>
      </c>
      <c r="F5" s="6" t="s">
        <v>175</v>
      </c>
      <c r="G5" s="6" t="s">
        <v>35</v>
      </c>
      <c r="H5" s="6" t="s">
        <v>41</v>
      </c>
      <c r="I5" s="6" t="s">
        <v>112</v>
      </c>
      <c r="J5" s="6" t="s">
        <v>66</v>
      </c>
      <c r="K5" s="6" t="n">
        <v>15</v>
      </c>
      <c r="L5" s="6" t="s">
        <v>181</v>
      </c>
      <c r="M5" s="6" t="s">
        <v>182</v>
      </c>
      <c r="N5" s="6"/>
      <c r="O5" s="9"/>
      <c r="P5" s="6" t="str">
        <f aca="false">IF(O5="","",IF(O5=0,"Healthy",IF(O5&lt;=5,"Very low",IF(O5&lt;=10,"Low",IF(O5&lt;=25,"Moderate",IF(O5&lt;=50,"High","Very high"))))))</f>
        <v/>
      </c>
    </row>
    <row r="6" customFormat="false" ht="15" hidden="false" customHeight="false" outlineLevel="0" collapsed="false">
      <c r="A6" s="7" t="s">
        <v>174</v>
      </c>
      <c r="B6" s="6" t="s">
        <v>135</v>
      </c>
      <c r="C6" s="6" t="n">
        <v>19</v>
      </c>
      <c r="D6" s="6" t="n">
        <v>68</v>
      </c>
      <c r="E6" s="6" t="n">
        <v>2</v>
      </c>
      <c r="F6" s="6" t="s">
        <v>30</v>
      </c>
      <c r="G6" s="6" t="s">
        <v>31</v>
      </c>
      <c r="H6" s="6" t="s">
        <v>25</v>
      </c>
      <c r="I6" s="6" t="s">
        <v>26</v>
      </c>
      <c r="J6" s="6" t="s">
        <v>27</v>
      </c>
      <c r="K6" s="6" t="n">
        <v>9</v>
      </c>
      <c r="L6" s="6" t="s">
        <v>183</v>
      </c>
      <c r="M6" s="6" t="s">
        <v>184</v>
      </c>
      <c r="N6" s="6"/>
      <c r="O6" s="9" t="n">
        <v>0</v>
      </c>
      <c r="P6" s="6" t="str">
        <f aca="false">IF(O6="","",IF(O6=0,"Healthy",IF(O6&lt;=5,"Very low",IF(O6&lt;=10,"Low",IF(O6&lt;=25,"Moderate",IF(O6&lt;=50,"High","Very high"))))))</f>
        <v>Healthy</v>
      </c>
    </row>
    <row r="7" customFormat="false" ht="15" hidden="false" customHeight="false" outlineLevel="0" collapsed="false">
      <c r="A7" s="7" t="s">
        <v>174</v>
      </c>
      <c r="B7" s="6" t="s">
        <v>135</v>
      </c>
      <c r="C7" s="6" t="n">
        <v>19</v>
      </c>
      <c r="D7" s="6" t="n">
        <v>77</v>
      </c>
      <c r="E7" s="6" t="n">
        <v>3</v>
      </c>
      <c r="F7" s="6" t="s">
        <v>34</v>
      </c>
      <c r="G7" s="6" t="s">
        <v>35</v>
      </c>
      <c r="H7" s="6" t="s">
        <v>36</v>
      </c>
      <c r="I7" s="6" t="s">
        <v>26</v>
      </c>
      <c r="J7" s="6" t="s">
        <v>27</v>
      </c>
      <c r="K7" s="6" t="n">
        <v>9</v>
      </c>
      <c r="L7" s="6" t="s">
        <v>185</v>
      </c>
      <c r="M7" s="6" t="s">
        <v>43</v>
      </c>
      <c r="N7" s="6"/>
      <c r="O7" s="9" t="n">
        <v>0</v>
      </c>
      <c r="P7" s="6" t="str">
        <f aca="false">IF(O7="","",IF(O7=0,"Healthy",IF(O7&lt;=5,"Very low",IF(O7&lt;=10,"Low",IF(O7&lt;=25,"Moderate",IF(O7&lt;=50,"High","Very high"))))))</f>
        <v>Healthy</v>
      </c>
    </row>
    <row r="8" customFormat="false" ht="15" hidden="false" customHeight="false" outlineLevel="0" collapsed="false">
      <c r="A8" s="7" t="s">
        <v>174</v>
      </c>
      <c r="B8" s="6" t="s">
        <v>135</v>
      </c>
      <c r="C8" s="6" t="n">
        <v>19</v>
      </c>
      <c r="D8" s="6" t="n">
        <v>59</v>
      </c>
      <c r="E8" s="6" t="n">
        <v>4</v>
      </c>
      <c r="F8" s="6" t="s">
        <v>39</v>
      </c>
      <c r="G8" s="6" t="s">
        <v>40</v>
      </c>
      <c r="H8" s="6" t="s">
        <v>41</v>
      </c>
      <c r="I8" s="6" t="s">
        <v>26</v>
      </c>
      <c r="J8" s="6" t="s">
        <v>27</v>
      </c>
      <c r="K8" s="6" t="n">
        <v>6</v>
      </c>
      <c r="L8" s="6" t="s">
        <v>45</v>
      </c>
      <c r="M8" s="6" t="s">
        <v>186</v>
      </c>
      <c r="N8" s="6"/>
      <c r="O8" s="9" t="n">
        <v>0</v>
      </c>
      <c r="P8" s="6" t="str">
        <f aca="false">IF(O8="","",IF(O8=0,"Healthy",IF(O8&lt;=5,"Very low",IF(O8&lt;=10,"Low",IF(O8&lt;=25,"Moderate",IF(O8&lt;=50,"High","Very high"))))))</f>
        <v>Healthy</v>
      </c>
    </row>
    <row r="9" customFormat="false" ht="15" hidden="false" customHeight="false" outlineLevel="0" collapsed="false">
      <c r="A9" s="7" t="s">
        <v>174</v>
      </c>
      <c r="B9" s="6" t="s">
        <v>135</v>
      </c>
      <c r="C9" s="6" t="n">
        <v>19</v>
      </c>
      <c r="D9" s="6" t="n">
        <v>77</v>
      </c>
      <c r="E9" s="6" t="n">
        <v>5</v>
      </c>
      <c r="F9" s="6" t="s">
        <v>44</v>
      </c>
      <c r="G9" s="6" t="s">
        <v>35</v>
      </c>
      <c r="H9" s="6" t="s">
        <v>25</v>
      </c>
      <c r="I9" s="6" t="s">
        <v>26</v>
      </c>
      <c r="J9" s="6" t="s">
        <v>27</v>
      </c>
      <c r="K9" s="6" t="n">
        <v>9</v>
      </c>
      <c r="L9" s="6" t="s">
        <v>187</v>
      </c>
      <c r="M9" s="6" t="s">
        <v>188</v>
      </c>
      <c r="N9" s="6"/>
      <c r="O9" s="9" t="n">
        <v>0</v>
      </c>
      <c r="P9" s="6" t="str">
        <f aca="false">IF(O9="","",IF(O9=0,"Healthy",IF(O9&lt;=5,"Very low",IF(O9&lt;=10,"Low",IF(O9&lt;=25,"Moderate",IF(O9&lt;=50,"High","Very high"))))))</f>
        <v>Healthy</v>
      </c>
    </row>
    <row r="10" customFormat="false" ht="15" hidden="false" customHeight="false" outlineLevel="0" collapsed="false">
      <c r="A10" s="7" t="s">
        <v>174</v>
      </c>
      <c r="B10" s="6" t="s">
        <v>135</v>
      </c>
      <c r="C10" s="6" t="n">
        <v>19</v>
      </c>
      <c r="D10" s="6" t="n">
        <v>77</v>
      </c>
      <c r="E10" s="6" t="n">
        <v>7</v>
      </c>
      <c r="F10" s="6" t="s">
        <v>175</v>
      </c>
      <c r="G10" s="6" t="s">
        <v>35</v>
      </c>
      <c r="H10" s="6" t="s">
        <v>41</v>
      </c>
      <c r="I10" s="6" t="s">
        <v>26</v>
      </c>
      <c r="J10" s="6" t="s">
        <v>27</v>
      </c>
      <c r="K10" s="6" t="n">
        <v>9</v>
      </c>
      <c r="L10" s="6" t="s">
        <v>51</v>
      </c>
      <c r="M10" s="6" t="s">
        <v>189</v>
      </c>
      <c r="N10" s="6"/>
      <c r="O10" s="9" t="n">
        <v>0</v>
      </c>
      <c r="P10" s="6" t="str">
        <f aca="false">IF(O10="","",IF(O10=0,"Healthy",IF(O10&lt;=5,"Very low",IF(O10&lt;=10,"Low",IF(O10&lt;=25,"Moderate",IF(O10&lt;=50,"High","Very high"))))))</f>
        <v>Healthy</v>
      </c>
    </row>
    <row r="11" customFormat="false" ht="15" hidden="false" customHeight="false" outlineLevel="0" collapsed="false">
      <c r="A11" s="7" t="s">
        <v>174</v>
      </c>
      <c r="B11" s="6" t="s">
        <v>135</v>
      </c>
      <c r="C11" s="6" t="n">
        <v>19</v>
      </c>
      <c r="D11" s="6" t="n">
        <v>68</v>
      </c>
      <c r="E11" s="6" t="n">
        <v>8</v>
      </c>
      <c r="F11" s="6" t="s">
        <v>50</v>
      </c>
      <c r="G11" s="6" t="s">
        <v>31</v>
      </c>
      <c r="H11" s="6" t="s">
        <v>36</v>
      </c>
      <c r="I11" s="6" t="s">
        <v>26</v>
      </c>
      <c r="J11" s="6" t="s">
        <v>27</v>
      </c>
      <c r="K11" s="6" t="n">
        <v>9</v>
      </c>
      <c r="L11" s="6" t="s">
        <v>190</v>
      </c>
      <c r="M11" s="6" t="s">
        <v>58</v>
      </c>
      <c r="N11" s="6"/>
      <c r="O11" s="9" t="n">
        <v>0</v>
      </c>
      <c r="P11" s="6" t="str">
        <f aca="false">IF(O11="","",IF(O11=0,"Healthy",IF(O11&lt;=5,"Very low",IF(O11&lt;=10,"Low",IF(O11&lt;=25,"Moderate",IF(O11&lt;=50,"High","Very high"))))))</f>
        <v>Healthy</v>
      </c>
    </row>
    <row r="12" customFormat="false" ht="15" hidden="false" customHeight="false" outlineLevel="0" collapsed="false">
      <c r="A12" s="7" t="s">
        <v>174</v>
      </c>
      <c r="B12" s="6" t="s">
        <v>135</v>
      </c>
      <c r="C12" s="6" t="n">
        <v>19</v>
      </c>
      <c r="D12" s="6" t="n">
        <v>68</v>
      </c>
      <c r="E12" s="6" t="n">
        <v>9</v>
      </c>
      <c r="F12" s="6" t="s">
        <v>53</v>
      </c>
      <c r="G12" s="6" t="s">
        <v>31</v>
      </c>
      <c r="H12" s="6" t="s">
        <v>41</v>
      </c>
      <c r="I12" s="6" t="s">
        <v>26</v>
      </c>
      <c r="J12" s="6" t="s">
        <v>27</v>
      </c>
      <c r="K12" s="6" t="n">
        <v>9</v>
      </c>
      <c r="L12" s="6" t="s">
        <v>60</v>
      </c>
      <c r="M12" s="6" t="s">
        <v>64</v>
      </c>
      <c r="N12" s="6"/>
      <c r="O12" s="9" t="n">
        <v>0</v>
      </c>
      <c r="P12" s="6" t="str">
        <f aca="false">IF(O12="","",IF(O12=0,"Healthy",IF(O12&lt;=5,"Very low",IF(O12&lt;=10,"Low",IF(O12&lt;=25,"Moderate",IF(O12&lt;=50,"High","Very high"))))))</f>
        <v>Healthy</v>
      </c>
    </row>
    <row r="13" customFormat="false" ht="15" hidden="false" customHeight="false" outlineLevel="0" collapsed="false">
      <c r="A13" s="7" t="s">
        <v>174</v>
      </c>
      <c r="B13" s="6" t="s">
        <v>135</v>
      </c>
      <c r="C13" s="6" t="n">
        <v>19</v>
      </c>
      <c r="D13" s="6" t="n">
        <v>77</v>
      </c>
      <c r="E13" s="6" t="n">
        <v>13</v>
      </c>
      <c r="F13" s="6" t="s">
        <v>44</v>
      </c>
      <c r="G13" s="6" t="s">
        <v>35</v>
      </c>
      <c r="H13" s="6" t="s">
        <v>25</v>
      </c>
      <c r="I13" s="6" t="s">
        <v>65</v>
      </c>
      <c r="J13" s="6" t="s">
        <v>66</v>
      </c>
      <c r="K13" s="6" t="n">
        <v>15</v>
      </c>
      <c r="L13" s="6" t="s">
        <v>191</v>
      </c>
      <c r="M13" s="6" t="s">
        <v>192</v>
      </c>
      <c r="N13" s="6"/>
      <c r="O13" s="9"/>
      <c r="P13" s="6" t="str">
        <f aca="false">IF(O13="","",IF(O13=0,"Healthy",IF(O13&lt;=5,"Very low",IF(O13&lt;=10,"Low",IF(O13&lt;=25,"Moderate",IF(O13&lt;=50,"High","Very high"))))))</f>
        <v/>
      </c>
    </row>
    <row r="14" customFormat="false" ht="15" hidden="false" customHeight="false" outlineLevel="0" collapsed="false">
      <c r="A14" s="7" t="s">
        <v>174</v>
      </c>
      <c r="B14" s="6" t="s">
        <v>135</v>
      </c>
      <c r="C14" s="6" t="n">
        <v>19</v>
      </c>
      <c r="D14" s="6" t="n">
        <v>59</v>
      </c>
      <c r="E14" s="6" t="n">
        <v>15</v>
      </c>
      <c r="F14" s="6" t="s">
        <v>39</v>
      </c>
      <c r="G14" s="6" t="s">
        <v>40</v>
      </c>
      <c r="H14" s="6" t="s">
        <v>41</v>
      </c>
      <c r="I14" s="6" t="s">
        <v>65</v>
      </c>
      <c r="J14" s="6" t="s">
        <v>66</v>
      </c>
      <c r="K14" s="6" t="n">
        <v>10</v>
      </c>
      <c r="L14" s="6" t="s">
        <v>193</v>
      </c>
      <c r="M14" s="6" t="s">
        <v>194</v>
      </c>
      <c r="N14" s="6"/>
      <c r="O14" s="9"/>
      <c r="P14" s="6" t="str">
        <f aca="false">IF(O14="","",IF(O14=0,"Healthy",IF(O14&lt;=5,"Very low",IF(O14&lt;=10,"Low",IF(O14&lt;=25,"Moderate",IF(O14&lt;=50,"High","Very high"))))))</f>
        <v/>
      </c>
    </row>
    <row r="15" customFormat="false" ht="15" hidden="false" customHeight="false" outlineLevel="0" collapsed="false">
      <c r="A15" s="7" t="s">
        <v>174</v>
      </c>
      <c r="B15" s="6" t="s">
        <v>135</v>
      </c>
      <c r="C15" s="6" t="n">
        <v>19</v>
      </c>
      <c r="D15" s="6" t="n">
        <v>68</v>
      </c>
      <c r="E15" s="6" t="n">
        <v>16</v>
      </c>
      <c r="F15" s="6" t="s">
        <v>50</v>
      </c>
      <c r="G15" s="6" t="s">
        <v>31</v>
      </c>
      <c r="H15" s="6" t="s">
        <v>36</v>
      </c>
      <c r="I15" s="6" t="s">
        <v>65</v>
      </c>
      <c r="J15" s="6" t="s">
        <v>66</v>
      </c>
      <c r="K15" s="6" t="n">
        <v>15</v>
      </c>
      <c r="L15" s="6" t="s">
        <v>195</v>
      </c>
      <c r="M15" s="6" t="s">
        <v>196</v>
      </c>
      <c r="N15" s="6"/>
      <c r="O15" s="9"/>
      <c r="P15" s="6" t="str">
        <f aca="false">IF(O15="","",IF(O15=0,"Healthy",IF(O15&lt;=5,"Very low",IF(O15&lt;=10,"Low",IF(O15&lt;=25,"Moderate",IF(O15&lt;=50,"High","Very high"))))))</f>
        <v/>
      </c>
    </row>
    <row r="16" customFormat="false" ht="15" hidden="false" customHeight="false" outlineLevel="0" collapsed="false">
      <c r="A16" s="7" t="s">
        <v>174</v>
      </c>
      <c r="B16" s="6" t="s">
        <v>135</v>
      </c>
      <c r="C16" s="6" t="n">
        <v>19</v>
      </c>
      <c r="D16" s="6" t="n">
        <v>68</v>
      </c>
      <c r="E16" s="6" t="n">
        <v>19</v>
      </c>
      <c r="F16" s="6" t="s">
        <v>30</v>
      </c>
      <c r="G16" s="6" t="s">
        <v>31</v>
      </c>
      <c r="H16" s="6" t="s">
        <v>25</v>
      </c>
      <c r="I16" s="6" t="s">
        <v>65</v>
      </c>
      <c r="J16" s="6" t="s">
        <v>66</v>
      </c>
      <c r="K16" s="6" t="n">
        <v>15</v>
      </c>
      <c r="L16" s="6" t="s">
        <v>197</v>
      </c>
      <c r="M16" s="6" t="s">
        <v>198</v>
      </c>
      <c r="N16" s="6"/>
      <c r="O16" s="9"/>
      <c r="P16" s="6" t="str">
        <f aca="false">IF(O16="","",IF(O16=0,"Healthy",IF(O16&lt;=5,"Very low",IF(O16&lt;=10,"Low",IF(O16&lt;=25,"Moderate",IF(O16&lt;=50,"High","Very high"))))))</f>
        <v/>
      </c>
    </row>
    <row r="17" customFormat="false" ht="15" hidden="false" customHeight="false" outlineLevel="0" collapsed="false">
      <c r="A17" s="7" t="s">
        <v>174</v>
      </c>
      <c r="B17" s="6" t="s">
        <v>135</v>
      </c>
      <c r="C17" s="6" t="n">
        <v>19</v>
      </c>
      <c r="D17" s="6" t="n">
        <v>68</v>
      </c>
      <c r="E17" s="6" t="n">
        <v>22</v>
      </c>
      <c r="F17" s="6" t="s">
        <v>53</v>
      </c>
      <c r="G17" s="6" t="s">
        <v>31</v>
      </c>
      <c r="H17" s="6" t="s">
        <v>41</v>
      </c>
      <c r="I17" s="6" t="s">
        <v>65</v>
      </c>
      <c r="J17" s="6" t="s">
        <v>66</v>
      </c>
      <c r="K17" s="6" t="n">
        <v>15</v>
      </c>
      <c r="L17" s="6" t="s">
        <v>199</v>
      </c>
      <c r="M17" s="6" t="s">
        <v>200</v>
      </c>
      <c r="N17" s="6"/>
      <c r="O17" s="9"/>
      <c r="P17" s="6" t="str">
        <f aca="false">IF(O17="","",IF(O17=0,"Healthy",IF(O17&lt;=5,"Very low",IF(O17&lt;=10,"Low",IF(O17&lt;=25,"Moderate",IF(O17&lt;=50,"High","Very high"))))))</f>
        <v/>
      </c>
    </row>
    <row r="18" customFormat="false" ht="15" hidden="false" customHeight="false" outlineLevel="0" collapsed="false">
      <c r="A18" s="7" t="s">
        <v>174</v>
      </c>
      <c r="B18" s="6" t="s">
        <v>135</v>
      </c>
      <c r="C18" s="6" t="n">
        <v>19</v>
      </c>
      <c r="D18" s="6" t="n">
        <v>77</v>
      </c>
      <c r="E18" s="6" t="n">
        <v>23</v>
      </c>
      <c r="F18" s="6" t="s">
        <v>34</v>
      </c>
      <c r="G18" s="6" t="s">
        <v>35</v>
      </c>
      <c r="H18" s="6" t="s">
        <v>36</v>
      </c>
      <c r="I18" s="6" t="s">
        <v>65</v>
      </c>
      <c r="J18" s="6" t="s">
        <v>66</v>
      </c>
      <c r="K18" s="6" t="n">
        <v>15</v>
      </c>
      <c r="L18" s="6" t="s">
        <v>201</v>
      </c>
      <c r="M18" s="6" t="s">
        <v>202</v>
      </c>
      <c r="N18" s="6"/>
      <c r="O18" s="9"/>
      <c r="P18" s="6" t="str">
        <f aca="false">IF(O18="","",IF(O18=0,"Healthy",IF(O18&lt;=5,"Very low",IF(O18&lt;=10,"Low",IF(O18&lt;=25,"Moderate",IF(O18&lt;=50,"High","Very high"))))))</f>
        <v/>
      </c>
    </row>
    <row r="19" customFormat="false" ht="15" hidden="false" customHeight="false" outlineLevel="0" collapsed="false">
      <c r="A19" s="7" t="s">
        <v>174</v>
      </c>
      <c r="B19" s="6" t="s">
        <v>135</v>
      </c>
      <c r="C19" s="6" t="n">
        <v>19</v>
      </c>
      <c r="D19" s="6" t="n">
        <v>77</v>
      </c>
      <c r="E19" s="6" t="n">
        <v>24</v>
      </c>
      <c r="F19" s="6" t="s">
        <v>175</v>
      </c>
      <c r="G19" s="6" t="s">
        <v>35</v>
      </c>
      <c r="H19" s="6" t="s">
        <v>41</v>
      </c>
      <c r="I19" s="6" t="s">
        <v>65</v>
      </c>
      <c r="J19" s="6" t="s">
        <v>66</v>
      </c>
      <c r="K19" s="6" t="n">
        <v>15</v>
      </c>
      <c r="L19" s="6" t="s">
        <v>203</v>
      </c>
      <c r="M19" s="6" t="s">
        <v>204</v>
      </c>
      <c r="N19" s="6"/>
      <c r="O19" s="9"/>
      <c r="P19" s="6" t="str">
        <f aca="false">IF(O19="","",IF(O19=0,"Healthy",IF(O19&lt;=5,"Very low",IF(O19&lt;=10,"Low",IF(O19&lt;=25,"Moderate",IF(O19&lt;=50,"High","Very high"))))))</f>
        <v/>
      </c>
    </row>
    <row r="20" customFormat="false" ht="15" hidden="false" customHeight="false" outlineLevel="0" collapsed="false">
      <c r="A20" s="7" t="s">
        <v>174</v>
      </c>
      <c r="B20" s="6" t="s">
        <v>135</v>
      </c>
      <c r="C20" s="6" t="n">
        <v>19</v>
      </c>
      <c r="D20" s="6" t="n">
        <v>77</v>
      </c>
      <c r="E20" s="6" t="n">
        <v>25</v>
      </c>
      <c r="F20" s="6" t="s">
        <v>34</v>
      </c>
      <c r="G20" s="6" t="s">
        <v>35</v>
      </c>
      <c r="H20" s="6" t="s">
        <v>36</v>
      </c>
      <c r="I20" s="6" t="s">
        <v>89</v>
      </c>
      <c r="J20" s="6" t="s">
        <v>66</v>
      </c>
      <c r="K20" s="6" t="n">
        <v>15</v>
      </c>
      <c r="L20" s="6" t="s">
        <v>205</v>
      </c>
      <c r="M20" s="6" t="s">
        <v>206</v>
      </c>
      <c r="N20" s="6"/>
      <c r="O20" s="9"/>
      <c r="P20" s="6" t="str">
        <f aca="false">IF(O20="","",IF(O20=0,"Healthy",IF(O20&lt;=5,"Very low",IF(O20&lt;=10,"Low",IF(O20&lt;=25,"Moderate",IF(O20&lt;=50,"High","Very high"))))))</f>
        <v/>
      </c>
    </row>
    <row r="21" customFormat="false" ht="15" hidden="false" customHeight="false" outlineLevel="0" collapsed="false">
      <c r="A21" s="7" t="s">
        <v>174</v>
      </c>
      <c r="B21" s="6" t="s">
        <v>135</v>
      </c>
      <c r="C21" s="6" t="n">
        <v>19</v>
      </c>
      <c r="D21" s="6" t="n">
        <v>68</v>
      </c>
      <c r="E21" s="6" t="n">
        <v>27</v>
      </c>
      <c r="F21" s="6" t="s">
        <v>50</v>
      </c>
      <c r="G21" s="6" t="s">
        <v>31</v>
      </c>
      <c r="H21" s="6" t="s">
        <v>36</v>
      </c>
      <c r="I21" s="6" t="s">
        <v>89</v>
      </c>
      <c r="J21" s="6" t="s">
        <v>66</v>
      </c>
      <c r="K21" s="6" t="n">
        <v>15</v>
      </c>
      <c r="L21" s="6" t="s">
        <v>207</v>
      </c>
      <c r="M21" s="6" t="s">
        <v>208</v>
      </c>
      <c r="N21" s="6"/>
      <c r="O21" s="9"/>
      <c r="P21" s="6" t="str">
        <f aca="false">IF(O21="","",IF(O21=0,"Healthy",IF(O21&lt;=5,"Very low",IF(O21&lt;=10,"Low",IF(O21&lt;=25,"Moderate",IF(O21&lt;=50,"High","Very high"))))))</f>
        <v/>
      </c>
    </row>
    <row r="22" customFormat="false" ht="15" hidden="false" customHeight="false" outlineLevel="0" collapsed="false">
      <c r="A22" s="7" t="s">
        <v>174</v>
      </c>
      <c r="B22" s="6" t="s">
        <v>135</v>
      </c>
      <c r="C22" s="6" t="n">
        <v>19</v>
      </c>
      <c r="D22" s="6" t="n">
        <v>77</v>
      </c>
      <c r="E22" s="6" t="n">
        <v>30</v>
      </c>
      <c r="F22" s="6" t="s">
        <v>44</v>
      </c>
      <c r="G22" s="6" t="s">
        <v>35</v>
      </c>
      <c r="H22" s="6" t="s">
        <v>25</v>
      </c>
      <c r="I22" s="6" t="s">
        <v>89</v>
      </c>
      <c r="J22" s="6" t="s">
        <v>66</v>
      </c>
      <c r="K22" s="6" t="n">
        <v>15</v>
      </c>
      <c r="L22" s="6" t="s">
        <v>209</v>
      </c>
      <c r="M22" s="6" t="s">
        <v>210</v>
      </c>
      <c r="N22" s="6"/>
      <c r="O22" s="9"/>
      <c r="P22" s="6" t="str">
        <f aca="false">IF(O22="","",IF(O22=0,"Healthy",IF(O22&lt;=5,"Very low",IF(O22&lt;=10,"Low",IF(O22&lt;=25,"Moderate",IF(O22&lt;=50,"High","Very high"))))))</f>
        <v/>
      </c>
    </row>
    <row r="23" customFormat="false" ht="15" hidden="false" customHeight="false" outlineLevel="0" collapsed="false">
      <c r="A23" s="7" t="s">
        <v>174</v>
      </c>
      <c r="B23" s="6" t="s">
        <v>135</v>
      </c>
      <c r="C23" s="6" t="n">
        <v>19</v>
      </c>
      <c r="D23" s="6" t="n">
        <v>68</v>
      </c>
      <c r="E23" s="6" t="n">
        <v>31</v>
      </c>
      <c r="F23" s="6" t="s">
        <v>53</v>
      </c>
      <c r="G23" s="6" t="s">
        <v>31</v>
      </c>
      <c r="H23" s="6" t="s">
        <v>41</v>
      </c>
      <c r="I23" s="6" t="s">
        <v>89</v>
      </c>
      <c r="J23" s="6" t="s">
        <v>66</v>
      </c>
      <c r="K23" s="6" t="n">
        <v>10</v>
      </c>
      <c r="L23" s="6" t="s">
        <v>211</v>
      </c>
      <c r="M23" s="6" t="s">
        <v>212</v>
      </c>
      <c r="N23" s="6"/>
      <c r="O23" s="9"/>
      <c r="P23" s="6" t="str">
        <f aca="false">IF(O23="","",IF(O23=0,"Healthy",IF(O23&lt;=5,"Very low",IF(O23&lt;=10,"Low",IF(O23&lt;=25,"Moderate",IF(O23&lt;=50,"High","Very high"))))))</f>
        <v/>
      </c>
    </row>
    <row r="24" customFormat="false" ht="15" hidden="false" customHeight="false" outlineLevel="0" collapsed="false">
      <c r="A24" s="7" t="s">
        <v>174</v>
      </c>
      <c r="B24" s="6" t="s">
        <v>135</v>
      </c>
      <c r="C24" s="6" t="n">
        <v>19</v>
      </c>
      <c r="D24" s="6" t="n">
        <v>77</v>
      </c>
      <c r="E24" s="6" t="n">
        <v>34</v>
      </c>
      <c r="F24" s="6" t="s">
        <v>175</v>
      </c>
      <c r="G24" s="6" t="s">
        <v>35</v>
      </c>
      <c r="H24" s="6" t="s">
        <v>41</v>
      </c>
      <c r="I24" s="6" t="s">
        <v>89</v>
      </c>
      <c r="J24" s="6" t="s">
        <v>66</v>
      </c>
      <c r="K24" s="6" t="n">
        <v>15</v>
      </c>
      <c r="L24" s="6" t="s">
        <v>213</v>
      </c>
      <c r="M24" s="6" t="s">
        <v>214</v>
      </c>
      <c r="N24" s="6"/>
      <c r="O24" s="9"/>
      <c r="P24" s="6" t="str">
        <f aca="false">IF(O24="","",IF(O24=0,"Healthy",IF(O24&lt;=5,"Very low",IF(O24&lt;=10,"Low",IF(O24&lt;=25,"Moderate",IF(O24&lt;=50,"High","Very high"))))))</f>
        <v/>
      </c>
    </row>
    <row r="25" customFormat="false" ht="15" hidden="false" customHeight="false" outlineLevel="0" collapsed="false">
      <c r="A25" s="7" t="s">
        <v>174</v>
      </c>
      <c r="B25" s="6" t="s">
        <v>135</v>
      </c>
      <c r="C25" s="6" t="n">
        <v>19</v>
      </c>
      <c r="D25" s="6" t="n">
        <v>68</v>
      </c>
      <c r="E25" s="6" t="n">
        <v>35</v>
      </c>
      <c r="F25" s="6" t="s">
        <v>30</v>
      </c>
      <c r="G25" s="6" t="s">
        <v>31</v>
      </c>
      <c r="H25" s="6" t="s">
        <v>25</v>
      </c>
      <c r="I25" s="6" t="s">
        <v>89</v>
      </c>
      <c r="J25" s="6" t="s">
        <v>66</v>
      </c>
      <c r="K25" s="6" t="n">
        <v>15</v>
      </c>
      <c r="L25" s="6" t="s">
        <v>215</v>
      </c>
      <c r="M25" s="6" t="s">
        <v>216</v>
      </c>
      <c r="N25" s="6"/>
      <c r="O25" s="9"/>
      <c r="P25" s="6" t="str">
        <f aca="false">IF(O25="","",IF(O25=0,"Healthy",IF(O25&lt;=5,"Very low",IF(O25&lt;=10,"Low",IF(O25&lt;=25,"Moderate",IF(O25&lt;=50,"High","Very high"))))))</f>
        <v/>
      </c>
    </row>
    <row r="26" customFormat="false" ht="15" hidden="false" customHeight="false" outlineLevel="0" collapsed="false">
      <c r="A26" s="7" t="s">
        <v>174</v>
      </c>
      <c r="B26" s="6" t="s">
        <v>135</v>
      </c>
      <c r="C26" s="6" t="n">
        <v>19</v>
      </c>
      <c r="D26" s="6" t="n">
        <v>59</v>
      </c>
      <c r="E26" s="6" t="n">
        <v>36</v>
      </c>
      <c r="F26" s="6" t="s">
        <v>39</v>
      </c>
      <c r="G26" s="6" t="s">
        <v>40</v>
      </c>
      <c r="H26" s="6" t="s">
        <v>41</v>
      </c>
      <c r="I26" s="6" t="s">
        <v>89</v>
      </c>
      <c r="J26" s="6" t="s">
        <v>66</v>
      </c>
      <c r="K26" s="6" t="n">
        <v>10</v>
      </c>
      <c r="L26" s="6" t="s">
        <v>217</v>
      </c>
      <c r="M26" s="6" t="s">
        <v>218</v>
      </c>
      <c r="N26" s="6"/>
      <c r="O26" s="9"/>
      <c r="P26" s="6" t="str">
        <f aca="false">IF(O26="","",IF(O26=0,"Healthy",IF(O26&lt;=5,"Very low",IF(O26&lt;=10,"Low",IF(O26&lt;=25,"Moderate",IF(O26&lt;=50,"High","Very high"))))))</f>
        <v/>
      </c>
    </row>
    <row r="27" customFormat="false" ht="15" hidden="false" customHeight="false" outlineLevel="0" collapsed="false">
      <c r="A27" s="7" t="s">
        <v>174</v>
      </c>
      <c r="B27" s="6" t="s">
        <v>135</v>
      </c>
      <c r="C27" s="6" t="n">
        <v>19</v>
      </c>
      <c r="D27" s="6" t="n">
        <v>59</v>
      </c>
      <c r="E27" s="6" t="n">
        <v>37</v>
      </c>
      <c r="F27" s="6" t="s">
        <v>39</v>
      </c>
      <c r="G27" s="6" t="s">
        <v>40</v>
      </c>
      <c r="H27" s="6" t="s">
        <v>41</v>
      </c>
      <c r="I27" s="6" t="s">
        <v>112</v>
      </c>
      <c r="J27" s="6" t="s">
        <v>66</v>
      </c>
      <c r="K27" s="6" t="n">
        <v>10</v>
      </c>
      <c r="L27" s="6" t="s">
        <v>219</v>
      </c>
      <c r="M27" s="6" t="s">
        <v>220</v>
      </c>
      <c r="N27" s="6"/>
      <c r="O27" s="9"/>
      <c r="P27" s="6" t="str">
        <f aca="false">IF(O27="","",IF(O27=0,"Healthy",IF(O27&lt;=5,"Very low",IF(O27&lt;=10,"Low",IF(O27&lt;=25,"Moderate",IF(O27&lt;=50,"High","Very high"))))))</f>
        <v/>
      </c>
    </row>
    <row r="28" customFormat="false" ht="15" hidden="false" customHeight="false" outlineLevel="0" collapsed="false">
      <c r="A28" s="7" t="s">
        <v>174</v>
      </c>
      <c r="B28" s="6" t="s">
        <v>135</v>
      </c>
      <c r="C28" s="6" t="n">
        <v>19</v>
      </c>
      <c r="D28" s="6" t="n">
        <v>77</v>
      </c>
      <c r="E28" s="6" t="n">
        <v>38</v>
      </c>
      <c r="F28" s="6" t="s">
        <v>34</v>
      </c>
      <c r="G28" s="6" t="s">
        <v>35</v>
      </c>
      <c r="H28" s="6" t="s">
        <v>36</v>
      </c>
      <c r="I28" s="6" t="s">
        <v>112</v>
      </c>
      <c r="J28" s="6" t="s">
        <v>66</v>
      </c>
      <c r="K28" s="6" t="n">
        <v>15</v>
      </c>
      <c r="L28" s="6" t="s">
        <v>221</v>
      </c>
      <c r="M28" s="6" t="s">
        <v>222</v>
      </c>
      <c r="N28" s="6"/>
      <c r="O28" s="9"/>
      <c r="P28" s="6" t="str">
        <f aca="false">IF(O28="","",IF(O28=0,"Healthy",IF(O28&lt;=5,"Very low",IF(O28&lt;=10,"Low",IF(O28&lt;=25,"Moderate",IF(O28&lt;=50,"High","Very high"))))))</f>
        <v/>
      </c>
    </row>
    <row r="29" customFormat="false" ht="15" hidden="false" customHeight="false" outlineLevel="0" collapsed="false">
      <c r="A29" s="7" t="s">
        <v>174</v>
      </c>
      <c r="B29" s="6" t="s">
        <v>135</v>
      </c>
      <c r="C29" s="6" t="n">
        <v>19</v>
      </c>
      <c r="D29" s="6" t="n">
        <v>68</v>
      </c>
      <c r="E29" s="6" t="n">
        <v>39</v>
      </c>
      <c r="F29" s="6" t="s">
        <v>30</v>
      </c>
      <c r="G29" s="6" t="s">
        <v>31</v>
      </c>
      <c r="H29" s="6" t="s">
        <v>25</v>
      </c>
      <c r="I29" s="6" t="s">
        <v>112</v>
      </c>
      <c r="J29" s="6" t="s">
        <v>66</v>
      </c>
      <c r="K29" s="6" t="n">
        <v>15</v>
      </c>
      <c r="L29" s="6" t="s">
        <v>223</v>
      </c>
      <c r="M29" s="6" t="s">
        <v>224</v>
      </c>
      <c r="N29" s="6"/>
      <c r="O29" s="9"/>
      <c r="P29" s="6" t="str">
        <f aca="false">IF(O29="","",IF(O29=0,"Healthy",IF(O29&lt;=5,"Very low",IF(O29&lt;=10,"Low",IF(O29&lt;=25,"Moderate",IF(O29&lt;=50,"High","Very high"))))))</f>
        <v/>
      </c>
    </row>
    <row r="30" customFormat="false" ht="15" hidden="false" customHeight="false" outlineLevel="0" collapsed="false">
      <c r="A30" s="7" t="s">
        <v>174</v>
      </c>
      <c r="B30" s="6" t="s">
        <v>135</v>
      </c>
      <c r="C30" s="6" t="n">
        <v>19</v>
      </c>
      <c r="D30" s="6" t="n">
        <v>68</v>
      </c>
      <c r="E30" s="6" t="n">
        <v>40</v>
      </c>
      <c r="F30" s="6" t="s">
        <v>50</v>
      </c>
      <c r="G30" s="6" t="s">
        <v>31</v>
      </c>
      <c r="H30" s="6" t="s">
        <v>36</v>
      </c>
      <c r="I30" s="6" t="s">
        <v>112</v>
      </c>
      <c r="J30" s="6" t="s">
        <v>66</v>
      </c>
      <c r="K30" s="6" t="n">
        <v>15</v>
      </c>
      <c r="L30" s="6" t="s">
        <v>225</v>
      </c>
      <c r="M30" s="6" t="s">
        <v>226</v>
      </c>
      <c r="N30" s="6"/>
      <c r="O30" s="9"/>
      <c r="P30" s="6" t="str">
        <f aca="false">IF(O30="","",IF(O30=0,"Healthy",IF(O30&lt;=5,"Very low",IF(O30&lt;=10,"Low",IF(O30&lt;=25,"Moderate",IF(O30&lt;=50,"High","Very high"))))))</f>
        <v/>
      </c>
    </row>
    <row r="31" customFormat="false" ht="15" hidden="false" customHeight="false" outlineLevel="0" collapsed="false">
      <c r="A31" s="7" t="s">
        <v>174</v>
      </c>
      <c r="B31" s="6" t="s">
        <v>135</v>
      </c>
      <c r="C31" s="6" t="n">
        <v>19</v>
      </c>
      <c r="D31" s="6" t="n">
        <v>77</v>
      </c>
      <c r="E31" s="6" t="n">
        <v>41</v>
      </c>
      <c r="F31" s="6" t="s">
        <v>175</v>
      </c>
      <c r="G31" s="6" t="s">
        <v>35</v>
      </c>
      <c r="H31" s="6" t="s">
        <v>41</v>
      </c>
      <c r="I31" s="6" t="s">
        <v>112</v>
      </c>
      <c r="J31" s="6" t="s">
        <v>66</v>
      </c>
      <c r="K31" s="6" t="n">
        <v>15</v>
      </c>
      <c r="L31" s="6" t="s">
        <v>227</v>
      </c>
      <c r="M31" s="6" t="s">
        <v>228</v>
      </c>
      <c r="N31" s="6"/>
      <c r="O31" s="9"/>
      <c r="P31" s="6" t="str">
        <f aca="false">IF(O31="","",IF(O31=0,"Healthy",IF(O31&lt;=5,"Very low",IF(O31&lt;=10,"Low",IF(O31&lt;=25,"Moderate",IF(O31&lt;=50,"High","Very high"))))))</f>
        <v/>
      </c>
    </row>
    <row r="32" customFormat="false" ht="15" hidden="false" customHeight="false" outlineLevel="0" collapsed="false">
      <c r="A32" s="7" t="s">
        <v>174</v>
      </c>
      <c r="B32" s="6" t="s">
        <v>135</v>
      </c>
      <c r="C32" s="6" t="n">
        <v>19</v>
      </c>
      <c r="D32" s="6" t="n">
        <v>77</v>
      </c>
      <c r="E32" s="6" t="n">
        <v>42</v>
      </c>
      <c r="F32" s="6" t="s">
        <v>44</v>
      </c>
      <c r="G32" s="6" t="s">
        <v>35</v>
      </c>
      <c r="H32" s="6" t="s">
        <v>25</v>
      </c>
      <c r="I32" s="6" t="s">
        <v>112</v>
      </c>
      <c r="J32" s="6" t="s">
        <v>66</v>
      </c>
      <c r="K32" s="6" t="n">
        <v>15</v>
      </c>
      <c r="L32" s="6" t="s">
        <v>229</v>
      </c>
      <c r="M32" s="6" t="s">
        <v>230</v>
      </c>
      <c r="N32" s="6"/>
      <c r="O32" s="9"/>
      <c r="P32" s="6" t="str">
        <f aca="false">IF(O32="","",IF(O32=0,"Healthy",IF(O32&lt;=5,"Very low",IF(O32&lt;=10,"Low",IF(O32&lt;=25,"Moderate",IF(O32&lt;=50,"High","Very high"))))))</f>
        <v/>
      </c>
    </row>
    <row r="33" customFormat="false" ht="15" hidden="false" customHeight="false" outlineLevel="0" collapsed="false">
      <c r="A33" s="7" t="s">
        <v>174</v>
      </c>
      <c r="B33" s="6" t="s">
        <v>135</v>
      </c>
      <c r="C33" s="6" t="n">
        <v>19</v>
      </c>
      <c r="D33" s="6" t="n">
        <v>68</v>
      </c>
      <c r="E33" s="6" t="n">
        <v>43</v>
      </c>
      <c r="F33" s="6" t="s">
        <v>53</v>
      </c>
      <c r="G33" s="6" t="s">
        <v>31</v>
      </c>
      <c r="H33" s="6" t="s">
        <v>41</v>
      </c>
      <c r="I33" s="6" t="s">
        <v>112</v>
      </c>
      <c r="J33" s="6" t="s">
        <v>66</v>
      </c>
      <c r="K33" s="6" t="n">
        <v>10</v>
      </c>
      <c r="L33" s="6" t="s">
        <v>231</v>
      </c>
      <c r="M33" s="6" t="s">
        <v>232</v>
      </c>
      <c r="N33" s="6"/>
      <c r="O33" s="9"/>
      <c r="P33" s="6" t="str">
        <f aca="false">IF(O33="","",IF(O33=0,"Healthy",IF(O33&lt;=5,"Very low",IF(O33&lt;=10,"Low",IF(O33&lt;=25,"Moderate",IF(O33&lt;=50,"High","Very high"))))))</f>
        <v/>
      </c>
    </row>
    <row r="34" customFormat="false" ht="15" hidden="false" customHeight="false" outlineLevel="0" collapsed="false">
      <c r="A34" s="7" t="s">
        <v>174</v>
      </c>
      <c r="B34" s="6" t="s">
        <v>233</v>
      </c>
      <c r="C34" s="6" t="n">
        <v>26</v>
      </c>
      <c r="D34" s="6" t="n">
        <v>53</v>
      </c>
      <c r="E34" s="6" t="n">
        <v>1</v>
      </c>
      <c r="F34" s="6" t="s">
        <v>23</v>
      </c>
      <c r="G34" s="6" t="s">
        <v>24</v>
      </c>
      <c r="H34" s="6" t="s">
        <v>25</v>
      </c>
      <c r="I34" s="6" t="s">
        <v>26</v>
      </c>
      <c r="J34" s="6" t="s">
        <v>27</v>
      </c>
      <c r="K34" s="6" t="n">
        <v>9</v>
      </c>
      <c r="L34" s="6" t="s">
        <v>28</v>
      </c>
      <c r="M34" s="6" t="s">
        <v>33</v>
      </c>
      <c r="N34" s="6"/>
      <c r="O34" s="9" t="n">
        <v>0</v>
      </c>
      <c r="P34" s="6" t="str">
        <f aca="false">IF(O34="","",IF(O34=0,"Healthy",IF(O34&lt;=5,"Very low",IF(O34&lt;=10,"Low",IF(O34&lt;=25,"Moderate",IF(O34&lt;=50,"High","Very high"))))))</f>
        <v>Healthy</v>
      </c>
    </row>
    <row r="35" customFormat="false" ht="15" hidden="false" customHeight="false" outlineLevel="0" collapsed="false">
      <c r="A35" s="7" t="s">
        <v>174</v>
      </c>
      <c r="B35" s="6" t="s">
        <v>233</v>
      </c>
      <c r="C35" s="6" t="n">
        <v>26</v>
      </c>
      <c r="D35" s="6" t="n">
        <v>75</v>
      </c>
      <c r="E35" s="6" t="n">
        <v>2</v>
      </c>
      <c r="F35" s="6" t="s">
        <v>30</v>
      </c>
      <c r="G35" s="6" t="s">
        <v>31</v>
      </c>
      <c r="H35" s="6" t="s">
        <v>25</v>
      </c>
      <c r="I35" s="6" t="s">
        <v>26</v>
      </c>
      <c r="J35" s="6" t="s">
        <v>27</v>
      </c>
      <c r="K35" s="6" t="n">
        <v>9</v>
      </c>
      <c r="L35" s="6" t="s">
        <v>37</v>
      </c>
      <c r="M35" s="6" t="s">
        <v>38</v>
      </c>
      <c r="N35" s="6"/>
      <c r="O35" s="9" t="n">
        <v>0</v>
      </c>
      <c r="P35" s="6" t="str">
        <f aca="false">IF(O35="","",IF(O35=0,"Healthy",IF(O35&lt;=5,"Very low",IF(O35&lt;=10,"Low",IF(O35&lt;=25,"Moderate",IF(O35&lt;=50,"High","Very high"))))))</f>
        <v>Healthy</v>
      </c>
    </row>
    <row r="36" customFormat="false" ht="15" hidden="false" customHeight="false" outlineLevel="0" collapsed="false">
      <c r="A36" s="7" t="s">
        <v>174</v>
      </c>
      <c r="B36" s="6" t="s">
        <v>233</v>
      </c>
      <c r="C36" s="6" t="n">
        <v>26</v>
      </c>
      <c r="D36" s="6" t="n">
        <v>84</v>
      </c>
      <c r="E36" s="6" t="n">
        <v>3</v>
      </c>
      <c r="F36" s="6" t="s">
        <v>34</v>
      </c>
      <c r="G36" s="6" t="s">
        <v>35</v>
      </c>
      <c r="H36" s="6" t="s">
        <v>36</v>
      </c>
      <c r="I36" s="6" t="s">
        <v>26</v>
      </c>
      <c r="J36" s="6" t="s">
        <v>27</v>
      </c>
      <c r="K36" s="6" t="n">
        <v>9</v>
      </c>
      <c r="L36" s="6" t="s">
        <v>42</v>
      </c>
      <c r="M36" s="6" t="s">
        <v>234</v>
      </c>
      <c r="N36" s="6"/>
      <c r="O36" s="9" t="n">
        <v>0</v>
      </c>
      <c r="P36" s="6" t="str">
        <f aca="false">IF(O36="","",IF(O36=0,"Healthy",IF(O36&lt;=5,"Very low",IF(O36&lt;=10,"Low",IF(O36&lt;=25,"Moderate",IF(O36&lt;=50,"High","Very high"))))))</f>
        <v>Healthy</v>
      </c>
    </row>
    <row r="37" customFormat="false" ht="15" hidden="false" customHeight="false" outlineLevel="0" collapsed="false">
      <c r="A37" s="7" t="s">
        <v>174</v>
      </c>
      <c r="B37" s="6" t="s">
        <v>233</v>
      </c>
      <c r="C37" s="6" t="n">
        <v>26</v>
      </c>
      <c r="D37" s="6" t="n">
        <v>66</v>
      </c>
      <c r="E37" s="6" t="n">
        <v>4</v>
      </c>
      <c r="F37" s="6" t="s">
        <v>39</v>
      </c>
      <c r="G37" s="6" t="s">
        <v>40</v>
      </c>
      <c r="H37" s="6" t="s">
        <v>41</v>
      </c>
      <c r="I37" s="6" t="s">
        <v>26</v>
      </c>
      <c r="J37" s="6" t="s">
        <v>27</v>
      </c>
      <c r="K37" s="6" t="n">
        <v>9</v>
      </c>
      <c r="L37" s="6" t="s">
        <v>235</v>
      </c>
      <c r="M37" s="6" t="s">
        <v>49</v>
      </c>
      <c r="N37" s="6"/>
      <c r="O37" s="9" t="n">
        <v>0</v>
      </c>
      <c r="P37" s="6" t="str">
        <f aca="false">IF(O37="","",IF(O37=0,"Healthy",IF(O37&lt;=5,"Very low",IF(O37&lt;=10,"Low",IF(O37&lt;=25,"Moderate",IF(O37&lt;=50,"High","Very high"))))))</f>
        <v>Healthy</v>
      </c>
    </row>
    <row r="38" customFormat="false" ht="15" hidden="false" customHeight="false" outlineLevel="0" collapsed="false">
      <c r="A38" s="7" t="s">
        <v>174</v>
      </c>
      <c r="B38" s="6" t="s">
        <v>233</v>
      </c>
      <c r="C38" s="6" t="n">
        <v>26</v>
      </c>
      <c r="D38" s="6" t="n">
        <v>84</v>
      </c>
      <c r="E38" s="6" t="n">
        <v>5</v>
      </c>
      <c r="F38" s="6" t="s">
        <v>44</v>
      </c>
      <c r="G38" s="6" t="s">
        <v>35</v>
      </c>
      <c r="H38" s="6" t="s">
        <v>25</v>
      </c>
      <c r="I38" s="6" t="s">
        <v>26</v>
      </c>
      <c r="J38" s="6" t="s">
        <v>27</v>
      </c>
      <c r="K38" s="6" t="n">
        <v>9</v>
      </c>
      <c r="L38" s="6" t="s">
        <v>176</v>
      </c>
      <c r="M38" s="6" t="s">
        <v>138</v>
      </c>
      <c r="N38" s="6"/>
      <c r="O38" s="9" t="n">
        <v>0</v>
      </c>
      <c r="P38" s="6" t="str">
        <f aca="false">IF(O38="","",IF(O38=0,"Healthy",IF(O38&lt;=5,"Very low",IF(O38&lt;=10,"Low",IF(O38&lt;=25,"Moderate",IF(O38&lt;=50,"High","Very high"))))))</f>
        <v>Healthy</v>
      </c>
    </row>
    <row r="39" customFormat="false" ht="15" hidden="false" customHeight="false" outlineLevel="0" collapsed="false">
      <c r="A39" s="7" t="s">
        <v>174</v>
      </c>
      <c r="B39" s="6" t="s">
        <v>233</v>
      </c>
      <c r="C39" s="6" t="n">
        <v>26</v>
      </c>
      <c r="D39" s="6" t="n">
        <v>53</v>
      </c>
      <c r="E39" s="6" t="n">
        <v>6</v>
      </c>
      <c r="F39" s="6" t="s">
        <v>47</v>
      </c>
      <c r="G39" s="6" t="s">
        <v>24</v>
      </c>
      <c r="H39" s="6" t="s">
        <v>36</v>
      </c>
      <c r="I39" s="6" t="s">
        <v>26</v>
      </c>
      <c r="J39" s="6" t="s">
        <v>27</v>
      </c>
      <c r="K39" s="6" t="n">
        <v>9</v>
      </c>
      <c r="L39" s="6" t="s">
        <v>51</v>
      </c>
      <c r="M39" s="6" t="s">
        <v>189</v>
      </c>
      <c r="N39" s="6"/>
      <c r="O39" s="9" t="n">
        <v>0</v>
      </c>
      <c r="P39" s="6" t="str">
        <f aca="false">IF(O39="","",IF(O39=0,"Healthy",IF(O39&lt;=5,"Very low",IF(O39&lt;=10,"Low",IF(O39&lt;=25,"Moderate",IF(O39&lt;=50,"High","Very high"))))))</f>
        <v>Healthy</v>
      </c>
    </row>
    <row r="40" customFormat="false" ht="15" hidden="false" customHeight="false" outlineLevel="0" collapsed="false">
      <c r="A40" s="7" t="s">
        <v>174</v>
      </c>
      <c r="B40" s="6" t="s">
        <v>233</v>
      </c>
      <c r="C40" s="6" t="n">
        <v>26</v>
      </c>
      <c r="D40" s="6" t="n">
        <v>75</v>
      </c>
      <c r="E40" s="6" t="n">
        <v>8</v>
      </c>
      <c r="F40" s="6" t="s">
        <v>50</v>
      </c>
      <c r="G40" s="6" t="s">
        <v>31</v>
      </c>
      <c r="H40" s="6" t="s">
        <v>36</v>
      </c>
      <c r="I40" s="6" t="s">
        <v>26</v>
      </c>
      <c r="J40" s="6" t="s">
        <v>27</v>
      </c>
      <c r="K40" s="6" t="n">
        <v>9</v>
      </c>
      <c r="L40" s="6" t="s">
        <v>60</v>
      </c>
      <c r="M40" s="6" t="s">
        <v>64</v>
      </c>
      <c r="N40" s="6"/>
      <c r="O40" s="9" t="n">
        <v>0</v>
      </c>
      <c r="P40" s="6" t="str">
        <f aca="false">IF(O40="","",IF(O40=0,"Healthy",IF(O40&lt;=5,"Very low",IF(O40&lt;=10,"Low",IF(O40&lt;=25,"Moderate",IF(O40&lt;=50,"High","Very high"))))))</f>
        <v>Healthy</v>
      </c>
    </row>
    <row r="41" customFormat="false" ht="15" hidden="false" customHeight="false" outlineLevel="0" collapsed="false">
      <c r="A41" s="7" t="s">
        <v>174</v>
      </c>
      <c r="B41" s="6" t="s">
        <v>233</v>
      </c>
      <c r="C41" s="6" t="n">
        <v>26</v>
      </c>
      <c r="D41" s="6" t="n">
        <v>75</v>
      </c>
      <c r="E41" s="6" t="n">
        <v>9</v>
      </c>
      <c r="F41" s="6" t="s">
        <v>53</v>
      </c>
      <c r="G41" s="6" t="s">
        <v>31</v>
      </c>
      <c r="H41" s="6" t="s">
        <v>41</v>
      </c>
      <c r="I41" s="6" t="s">
        <v>26</v>
      </c>
      <c r="J41" s="6" t="s">
        <v>27</v>
      </c>
      <c r="K41" s="6" t="n">
        <v>9</v>
      </c>
      <c r="L41" s="6" t="s">
        <v>67</v>
      </c>
      <c r="M41" s="6" t="s">
        <v>236</v>
      </c>
      <c r="N41" s="6"/>
      <c r="O41" s="9" t="n">
        <v>0</v>
      </c>
      <c r="P41" s="6" t="str">
        <f aca="false">IF(O41="","",IF(O41=0,"Healthy",IF(O41&lt;=5,"Very low",IF(O41&lt;=10,"Low",IF(O41&lt;=25,"Moderate",IF(O41&lt;=50,"High","Very high"))))))</f>
        <v>Healthy</v>
      </c>
    </row>
    <row r="42" customFormat="false" ht="15" hidden="false" customHeight="false" outlineLevel="0" collapsed="false">
      <c r="A42" s="7" t="s">
        <v>174</v>
      </c>
      <c r="B42" s="6" t="s">
        <v>233</v>
      </c>
      <c r="C42" s="6" t="n">
        <v>26</v>
      </c>
      <c r="D42" s="6" t="n">
        <v>66</v>
      </c>
      <c r="E42" s="6" t="n">
        <v>10</v>
      </c>
      <c r="F42" s="6" t="s">
        <v>56</v>
      </c>
      <c r="G42" s="6" t="s">
        <v>40</v>
      </c>
      <c r="H42" s="6" t="s">
        <v>36</v>
      </c>
      <c r="I42" s="6" t="s">
        <v>26</v>
      </c>
      <c r="J42" s="6" t="s">
        <v>27</v>
      </c>
      <c r="K42" s="6" t="n">
        <v>9</v>
      </c>
      <c r="L42" s="6" t="s">
        <v>237</v>
      </c>
      <c r="M42" s="6" t="s">
        <v>143</v>
      </c>
      <c r="N42" s="6"/>
      <c r="O42" s="9" t="n">
        <v>0</v>
      </c>
      <c r="P42" s="6" t="str">
        <f aca="false">IF(O42="","",IF(O42=0,"Healthy",IF(O42&lt;=5,"Very low",IF(O42&lt;=10,"Low",IF(O42&lt;=25,"Moderate",IF(O42&lt;=50,"High","Very high"))))))</f>
        <v>Healthy</v>
      </c>
    </row>
    <row r="43" customFormat="false" ht="15" hidden="false" customHeight="false" outlineLevel="0" collapsed="false">
      <c r="A43" s="7" t="s">
        <v>174</v>
      </c>
      <c r="B43" s="6" t="s">
        <v>233</v>
      </c>
      <c r="C43" s="6" t="n">
        <v>26</v>
      </c>
      <c r="D43" s="6" t="n">
        <v>66</v>
      </c>
      <c r="E43" s="6" t="n">
        <v>11</v>
      </c>
      <c r="F43" s="6" t="s">
        <v>59</v>
      </c>
      <c r="G43" s="6" t="s">
        <v>40</v>
      </c>
      <c r="H43" s="6" t="s">
        <v>25</v>
      </c>
      <c r="I43" s="6" t="s">
        <v>26</v>
      </c>
      <c r="J43" s="6" t="s">
        <v>27</v>
      </c>
      <c r="K43" s="6" t="n">
        <v>9</v>
      </c>
      <c r="L43" s="6" t="s">
        <v>191</v>
      </c>
      <c r="M43" s="6" t="s">
        <v>238</v>
      </c>
      <c r="N43" s="6"/>
      <c r="O43" s="9" t="n">
        <v>0</v>
      </c>
      <c r="P43" s="6" t="str">
        <f aca="false">IF(O43="","",IF(O43=0,"Healthy",IF(O43&lt;=5,"Very low",IF(O43&lt;=10,"Low",IF(O43&lt;=25,"Moderate",IF(O43&lt;=50,"High","Very high"))))))</f>
        <v>Healthy</v>
      </c>
    </row>
    <row r="44" customFormat="false" ht="15" hidden="false" customHeight="false" outlineLevel="0" collapsed="false">
      <c r="A44" s="7" t="s">
        <v>174</v>
      </c>
      <c r="B44" s="6" t="s">
        <v>233</v>
      </c>
      <c r="C44" s="6" t="n">
        <v>26</v>
      </c>
      <c r="D44" s="6" t="n">
        <v>53</v>
      </c>
      <c r="E44" s="6" t="n">
        <v>12</v>
      </c>
      <c r="F44" s="6" t="s">
        <v>62</v>
      </c>
      <c r="G44" s="6" t="s">
        <v>24</v>
      </c>
      <c r="H44" s="6" t="s">
        <v>41</v>
      </c>
      <c r="I44" s="6" t="s">
        <v>26</v>
      </c>
      <c r="J44" s="6" t="s">
        <v>27</v>
      </c>
      <c r="K44" s="6" t="n">
        <v>9</v>
      </c>
      <c r="L44" s="6" t="s">
        <v>239</v>
      </c>
      <c r="M44" s="6" t="s">
        <v>240</v>
      </c>
      <c r="N44" s="6"/>
      <c r="O44" s="9" t="n">
        <v>0</v>
      </c>
      <c r="P44" s="6" t="str">
        <f aca="false">IF(O44="","",IF(O44=0,"Healthy",IF(O44&lt;=5,"Very low",IF(O44&lt;=10,"Low",IF(O44&lt;=25,"Moderate",IF(O44&lt;=50,"High","Very high"))))))</f>
        <v>Healthy</v>
      </c>
    </row>
    <row r="45" customFormat="false" ht="15" hidden="false" customHeight="false" outlineLevel="0" collapsed="false">
      <c r="A45" s="7" t="s">
        <v>174</v>
      </c>
      <c r="B45" s="6" t="s">
        <v>233</v>
      </c>
      <c r="C45" s="6" t="n">
        <v>26</v>
      </c>
      <c r="D45" s="6" t="n">
        <v>84</v>
      </c>
      <c r="E45" s="6" t="n">
        <v>13</v>
      </c>
      <c r="F45" s="6" t="s">
        <v>44</v>
      </c>
      <c r="G45" s="6" t="s">
        <v>35</v>
      </c>
      <c r="H45" s="6" t="s">
        <v>25</v>
      </c>
      <c r="I45" s="6" t="s">
        <v>65</v>
      </c>
      <c r="J45" s="6" t="s">
        <v>66</v>
      </c>
      <c r="K45" s="6" t="n">
        <v>15</v>
      </c>
      <c r="L45" s="6" t="s">
        <v>241</v>
      </c>
      <c r="M45" s="6" t="s">
        <v>77</v>
      </c>
      <c r="N45" s="6"/>
      <c r="O45" s="9"/>
      <c r="P45" s="6" t="str">
        <f aca="false">IF(O45="","",IF(O45=0,"Healthy",IF(O45&lt;=5,"Very low",IF(O45&lt;=10,"Low",IF(O45&lt;=25,"Moderate",IF(O45&lt;=50,"High","Very high"))))))</f>
        <v/>
      </c>
    </row>
    <row r="46" customFormat="false" ht="15" hidden="false" customHeight="false" outlineLevel="0" collapsed="false">
      <c r="A46" s="7" t="s">
        <v>174</v>
      </c>
      <c r="B46" s="6" t="s">
        <v>233</v>
      </c>
      <c r="C46" s="6" t="n">
        <v>26</v>
      </c>
      <c r="D46" s="6" t="n">
        <v>53</v>
      </c>
      <c r="E46" s="6" t="n">
        <v>14</v>
      </c>
      <c r="F46" s="6" t="s">
        <v>62</v>
      </c>
      <c r="G46" s="6" t="s">
        <v>24</v>
      </c>
      <c r="H46" s="6" t="s">
        <v>41</v>
      </c>
      <c r="I46" s="6" t="s">
        <v>65</v>
      </c>
      <c r="J46" s="6" t="s">
        <v>66</v>
      </c>
      <c r="K46" s="6" t="n">
        <v>15</v>
      </c>
      <c r="L46" s="6" t="s">
        <v>242</v>
      </c>
      <c r="M46" s="6" t="s">
        <v>81</v>
      </c>
      <c r="N46" s="6"/>
      <c r="O46" s="9"/>
      <c r="P46" s="6" t="str">
        <f aca="false">IF(O46="","",IF(O46=0,"Healthy",IF(O46&lt;=5,"Very low",IF(O46&lt;=10,"Low",IF(O46&lt;=25,"Moderate",IF(O46&lt;=50,"High","Very high"))))))</f>
        <v/>
      </c>
    </row>
    <row r="47" customFormat="false" ht="15" hidden="false" customHeight="false" outlineLevel="0" collapsed="false">
      <c r="A47" s="7" t="s">
        <v>174</v>
      </c>
      <c r="B47" s="6" t="s">
        <v>233</v>
      </c>
      <c r="C47" s="6" t="n">
        <v>26</v>
      </c>
      <c r="D47" s="6" t="n">
        <v>66</v>
      </c>
      <c r="E47" s="6" t="n">
        <v>15</v>
      </c>
      <c r="F47" s="6" t="s">
        <v>39</v>
      </c>
      <c r="G47" s="6" t="s">
        <v>40</v>
      </c>
      <c r="H47" s="6" t="s">
        <v>41</v>
      </c>
      <c r="I47" s="6" t="s">
        <v>65</v>
      </c>
      <c r="J47" s="6" t="s">
        <v>66</v>
      </c>
      <c r="K47" s="6" t="n">
        <v>15</v>
      </c>
      <c r="L47" s="6" t="s">
        <v>243</v>
      </c>
      <c r="M47" s="6" t="s">
        <v>85</v>
      </c>
      <c r="N47" s="6"/>
      <c r="O47" s="9"/>
      <c r="P47" s="6" t="str">
        <f aca="false">IF(O47="","",IF(O47=0,"Healthy",IF(O47&lt;=5,"Very low",IF(O47&lt;=10,"Low",IF(O47&lt;=25,"Moderate",IF(O47&lt;=50,"High","Very high"))))))</f>
        <v/>
      </c>
    </row>
    <row r="48" customFormat="false" ht="15" hidden="false" customHeight="false" outlineLevel="0" collapsed="false">
      <c r="A48" s="7" t="s">
        <v>174</v>
      </c>
      <c r="B48" s="6" t="s">
        <v>233</v>
      </c>
      <c r="C48" s="6" t="n">
        <v>26</v>
      </c>
      <c r="D48" s="6" t="n">
        <v>75</v>
      </c>
      <c r="E48" s="6" t="n">
        <v>16</v>
      </c>
      <c r="F48" s="6" t="s">
        <v>50</v>
      </c>
      <c r="G48" s="6" t="s">
        <v>31</v>
      </c>
      <c r="H48" s="6" t="s">
        <v>36</v>
      </c>
      <c r="I48" s="6" t="s">
        <v>65</v>
      </c>
      <c r="J48" s="6" t="s">
        <v>66</v>
      </c>
      <c r="K48" s="6" t="n">
        <v>15</v>
      </c>
      <c r="L48" s="6" t="s">
        <v>244</v>
      </c>
      <c r="M48" s="6" t="s">
        <v>245</v>
      </c>
      <c r="N48" s="6"/>
      <c r="O48" s="9"/>
      <c r="P48" s="6" t="str">
        <f aca="false">IF(O48="","",IF(O48=0,"Healthy",IF(O48&lt;=5,"Very low",IF(O48&lt;=10,"Low",IF(O48&lt;=25,"Moderate",IF(O48&lt;=50,"High","Very high"))))))</f>
        <v/>
      </c>
    </row>
    <row r="49" customFormat="false" ht="15" hidden="false" customHeight="false" outlineLevel="0" collapsed="false">
      <c r="A49" s="7" t="s">
        <v>174</v>
      </c>
      <c r="B49" s="6" t="s">
        <v>233</v>
      </c>
      <c r="C49" s="6" t="n">
        <v>26</v>
      </c>
      <c r="D49" s="6" t="n">
        <v>66</v>
      </c>
      <c r="E49" s="6" t="n">
        <v>17</v>
      </c>
      <c r="F49" s="6" t="s">
        <v>59</v>
      </c>
      <c r="G49" s="6" t="s">
        <v>40</v>
      </c>
      <c r="H49" s="6" t="s">
        <v>25</v>
      </c>
      <c r="I49" s="6" t="s">
        <v>65</v>
      </c>
      <c r="J49" s="6" t="s">
        <v>66</v>
      </c>
      <c r="K49" s="6" t="n">
        <v>15</v>
      </c>
      <c r="L49" s="6" t="s">
        <v>246</v>
      </c>
      <c r="M49" s="6" t="s">
        <v>247</v>
      </c>
      <c r="N49" s="6"/>
      <c r="O49" s="9"/>
      <c r="P49" s="6" t="str">
        <f aca="false">IF(O49="","",IF(O49=0,"Healthy",IF(O49&lt;=5,"Very low",IF(O49&lt;=10,"Low",IF(O49&lt;=25,"Moderate",IF(O49&lt;=50,"High","Very high"))))))</f>
        <v/>
      </c>
    </row>
    <row r="50" customFormat="false" ht="15" hidden="false" customHeight="false" outlineLevel="0" collapsed="false">
      <c r="A50" s="7" t="s">
        <v>174</v>
      </c>
      <c r="B50" s="6" t="s">
        <v>233</v>
      </c>
      <c r="C50" s="6" t="n">
        <v>26</v>
      </c>
      <c r="D50" s="6" t="n">
        <v>53</v>
      </c>
      <c r="E50" s="6" t="n">
        <v>18</v>
      </c>
      <c r="F50" s="6" t="s">
        <v>23</v>
      </c>
      <c r="G50" s="6" t="s">
        <v>24</v>
      </c>
      <c r="H50" s="6" t="s">
        <v>25</v>
      </c>
      <c r="I50" s="6" t="s">
        <v>65</v>
      </c>
      <c r="J50" s="6" t="s">
        <v>66</v>
      </c>
      <c r="K50" s="6" t="n">
        <v>15</v>
      </c>
      <c r="L50" s="6" t="s">
        <v>248</v>
      </c>
      <c r="M50" s="6" t="s">
        <v>249</v>
      </c>
      <c r="N50" s="6"/>
      <c r="O50" s="9"/>
      <c r="P50" s="6" t="str">
        <f aca="false">IF(O50="","",IF(O50=0,"Healthy",IF(O50&lt;=5,"Very low",IF(O50&lt;=10,"Low",IF(O50&lt;=25,"Moderate",IF(O50&lt;=50,"High","Very high"))))))</f>
        <v/>
      </c>
    </row>
    <row r="51" customFormat="false" ht="15" hidden="false" customHeight="false" outlineLevel="0" collapsed="false">
      <c r="A51" s="7" t="s">
        <v>174</v>
      </c>
      <c r="B51" s="6" t="s">
        <v>233</v>
      </c>
      <c r="C51" s="6" t="n">
        <v>26</v>
      </c>
      <c r="D51" s="6" t="n">
        <v>75</v>
      </c>
      <c r="E51" s="6" t="n">
        <v>19</v>
      </c>
      <c r="F51" s="6" t="s">
        <v>30</v>
      </c>
      <c r="G51" s="6" t="s">
        <v>31</v>
      </c>
      <c r="H51" s="6" t="s">
        <v>25</v>
      </c>
      <c r="I51" s="6" t="s">
        <v>65</v>
      </c>
      <c r="J51" s="6" t="s">
        <v>66</v>
      </c>
      <c r="K51" s="6" t="n">
        <v>15</v>
      </c>
      <c r="L51" s="6" t="s">
        <v>250</v>
      </c>
      <c r="M51" s="6" t="s">
        <v>94</v>
      </c>
      <c r="N51" s="6"/>
      <c r="O51" s="9"/>
      <c r="P51" s="6" t="str">
        <f aca="false">IF(O51="","",IF(O51=0,"Healthy",IF(O51&lt;=5,"Very low",IF(O51&lt;=10,"Low",IF(O51&lt;=25,"Moderate",IF(O51&lt;=50,"High","Very high"))))))</f>
        <v/>
      </c>
    </row>
    <row r="52" customFormat="false" ht="15" hidden="false" customHeight="false" outlineLevel="0" collapsed="false">
      <c r="A52" s="7" t="s">
        <v>174</v>
      </c>
      <c r="B52" s="6" t="s">
        <v>233</v>
      </c>
      <c r="C52" s="6" t="n">
        <v>26</v>
      </c>
      <c r="D52" s="6" t="n">
        <v>53</v>
      </c>
      <c r="E52" s="6" t="n">
        <v>20</v>
      </c>
      <c r="F52" s="6" t="s">
        <v>47</v>
      </c>
      <c r="G52" s="6" t="s">
        <v>24</v>
      </c>
      <c r="H52" s="6" t="s">
        <v>36</v>
      </c>
      <c r="I52" s="6" t="s">
        <v>65</v>
      </c>
      <c r="J52" s="6" t="s">
        <v>66</v>
      </c>
      <c r="K52" s="6" t="n">
        <v>15</v>
      </c>
      <c r="L52" s="6" t="s">
        <v>251</v>
      </c>
      <c r="M52" s="6" t="s">
        <v>252</v>
      </c>
      <c r="N52" s="6"/>
      <c r="O52" s="9"/>
      <c r="P52" s="6" t="str">
        <f aca="false">IF(O52="","",IF(O52=0,"Healthy",IF(O52&lt;=5,"Very low",IF(O52&lt;=10,"Low",IF(O52&lt;=25,"Moderate",IF(O52&lt;=50,"High","Very high"))))))</f>
        <v/>
      </c>
    </row>
    <row r="53" customFormat="false" ht="15" hidden="false" customHeight="false" outlineLevel="0" collapsed="false">
      <c r="A53" s="7" t="s">
        <v>174</v>
      </c>
      <c r="B53" s="6" t="s">
        <v>233</v>
      </c>
      <c r="C53" s="6" t="n">
        <v>26</v>
      </c>
      <c r="D53" s="6" t="n">
        <v>66</v>
      </c>
      <c r="E53" s="6" t="n">
        <v>21</v>
      </c>
      <c r="F53" s="6" t="s">
        <v>56</v>
      </c>
      <c r="G53" s="6" t="s">
        <v>40</v>
      </c>
      <c r="H53" s="6" t="s">
        <v>36</v>
      </c>
      <c r="I53" s="6" t="s">
        <v>65</v>
      </c>
      <c r="J53" s="6" t="s">
        <v>66</v>
      </c>
      <c r="K53" s="6" t="n">
        <v>15</v>
      </c>
      <c r="L53" s="6" t="s">
        <v>253</v>
      </c>
      <c r="M53" s="6" t="s">
        <v>254</v>
      </c>
      <c r="N53" s="6"/>
      <c r="O53" s="9"/>
      <c r="P53" s="6" t="str">
        <f aca="false">IF(O53="","",IF(O53=0,"Healthy",IF(O53&lt;=5,"Very low",IF(O53&lt;=10,"Low",IF(O53&lt;=25,"Moderate",IF(O53&lt;=50,"High","Very high"))))))</f>
        <v/>
      </c>
    </row>
    <row r="54" customFormat="false" ht="15" hidden="false" customHeight="false" outlineLevel="0" collapsed="false">
      <c r="A54" s="7" t="s">
        <v>174</v>
      </c>
      <c r="B54" s="6" t="s">
        <v>233</v>
      </c>
      <c r="C54" s="6" t="n">
        <v>26</v>
      </c>
      <c r="D54" s="6" t="n">
        <v>75</v>
      </c>
      <c r="E54" s="6" t="n">
        <v>22</v>
      </c>
      <c r="F54" s="6" t="s">
        <v>53</v>
      </c>
      <c r="G54" s="6" t="s">
        <v>31</v>
      </c>
      <c r="H54" s="6" t="s">
        <v>41</v>
      </c>
      <c r="I54" s="6" t="s">
        <v>65</v>
      </c>
      <c r="J54" s="6" t="s">
        <v>66</v>
      </c>
      <c r="K54" s="6" t="n">
        <v>15</v>
      </c>
      <c r="L54" s="6" t="s">
        <v>255</v>
      </c>
      <c r="M54" s="6" t="s">
        <v>103</v>
      </c>
      <c r="N54" s="6"/>
      <c r="O54" s="9"/>
      <c r="P54" s="6" t="str">
        <f aca="false">IF(O54="","",IF(O54=0,"Healthy",IF(O54&lt;=5,"Very low",IF(O54&lt;=10,"Low",IF(O54&lt;=25,"Moderate",IF(O54&lt;=50,"High","Very high"))))))</f>
        <v/>
      </c>
    </row>
    <row r="55" customFormat="false" ht="15" hidden="false" customHeight="false" outlineLevel="0" collapsed="false">
      <c r="A55" s="7" t="s">
        <v>174</v>
      </c>
      <c r="B55" s="6" t="s">
        <v>233</v>
      </c>
      <c r="C55" s="6" t="n">
        <v>26</v>
      </c>
      <c r="D55" s="6" t="n">
        <v>84</v>
      </c>
      <c r="E55" s="6" t="n">
        <v>23</v>
      </c>
      <c r="F55" s="6" t="s">
        <v>34</v>
      </c>
      <c r="G55" s="6" t="s">
        <v>35</v>
      </c>
      <c r="H55" s="6" t="s">
        <v>36</v>
      </c>
      <c r="I55" s="6" t="s">
        <v>65</v>
      </c>
      <c r="J55" s="6" t="s">
        <v>66</v>
      </c>
      <c r="K55" s="6" t="n">
        <v>15</v>
      </c>
      <c r="L55" s="6" t="s">
        <v>104</v>
      </c>
      <c r="M55" s="6" t="s">
        <v>107</v>
      </c>
      <c r="N55" s="6"/>
      <c r="O55" s="9"/>
      <c r="P55" s="6" t="str">
        <f aca="false">IF(O55="","",IF(O55=0,"Healthy",IF(O55&lt;=5,"Very low",IF(O55&lt;=10,"Low",IF(O55&lt;=25,"Moderate",IF(O55&lt;=50,"High","Very high"))))))</f>
        <v/>
      </c>
    </row>
    <row r="56" customFormat="false" ht="15" hidden="false" customHeight="false" outlineLevel="0" collapsed="false">
      <c r="A56" s="7" t="s">
        <v>174</v>
      </c>
      <c r="B56" s="6" t="s">
        <v>233</v>
      </c>
      <c r="C56" s="6" t="n">
        <v>26</v>
      </c>
      <c r="D56" s="6" t="n">
        <v>84</v>
      </c>
      <c r="E56" s="6" t="n">
        <v>25</v>
      </c>
      <c r="F56" s="6" t="s">
        <v>34</v>
      </c>
      <c r="G56" s="6" t="s">
        <v>35</v>
      </c>
      <c r="H56" s="6" t="s">
        <v>36</v>
      </c>
      <c r="I56" s="6" t="s">
        <v>89</v>
      </c>
      <c r="J56" s="6" t="s">
        <v>66</v>
      </c>
      <c r="K56" s="6" t="n">
        <v>15</v>
      </c>
      <c r="L56" s="6" t="s">
        <v>108</v>
      </c>
      <c r="M56" s="6" t="s">
        <v>256</v>
      </c>
      <c r="N56" s="6"/>
      <c r="O56" s="9"/>
      <c r="P56" s="6" t="str">
        <f aca="false">IF(O56="","",IF(O56=0,"Healthy",IF(O56&lt;=5,"Very low",IF(O56&lt;=10,"Low",IF(O56&lt;=25,"Moderate",IF(O56&lt;=50,"High","Very high"))))))</f>
        <v/>
      </c>
    </row>
    <row r="57" customFormat="false" ht="15" hidden="false" customHeight="false" outlineLevel="0" collapsed="false">
      <c r="A57" s="7" t="s">
        <v>174</v>
      </c>
      <c r="B57" s="6" t="s">
        <v>233</v>
      </c>
      <c r="C57" s="6" t="n">
        <v>26</v>
      </c>
      <c r="D57" s="6" t="n">
        <v>53</v>
      </c>
      <c r="E57" s="6" t="n">
        <v>26</v>
      </c>
      <c r="F57" s="6" t="s">
        <v>23</v>
      </c>
      <c r="G57" s="6" t="s">
        <v>24</v>
      </c>
      <c r="H57" s="6" t="s">
        <v>25</v>
      </c>
      <c r="I57" s="6" t="s">
        <v>89</v>
      </c>
      <c r="J57" s="6" t="s">
        <v>66</v>
      </c>
      <c r="K57" s="6" t="n">
        <v>15</v>
      </c>
      <c r="L57" s="6" t="s">
        <v>257</v>
      </c>
      <c r="M57" s="6" t="s">
        <v>114</v>
      </c>
      <c r="N57" s="6"/>
      <c r="O57" s="9"/>
      <c r="P57" s="6" t="str">
        <f aca="false">IF(O57="","",IF(O57=0,"Healthy",IF(O57&lt;=5,"Very low",IF(O57&lt;=10,"Low",IF(O57&lt;=25,"Moderate",IF(O57&lt;=50,"High","Very high"))))))</f>
        <v/>
      </c>
    </row>
    <row r="58" customFormat="false" ht="15" hidden="false" customHeight="false" outlineLevel="0" collapsed="false">
      <c r="A58" s="7" t="s">
        <v>174</v>
      </c>
      <c r="B58" s="6" t="s">
        <v>233</v>
      </c>
      <c r="C58" s="6" t="n">
        <v>26</v>
      </c>
      <c r="D58" s="6" t="n">
        <v>75</v>
      </c>
      <c r="E58" s="6" t="n">
        <v>27</v>
      </c>
      <c r="F58" s="6" t="s">
        <v>50</v>
      </c>
      <c r="G58" s="6" t="s">
        <v>31</v>
      </c>
      <c r="H58" s="6" t="s">
        <v>36</v>
      </c>
      <c r="I58" s="6" t="s">
        <v>89</v>
      </c>
      <c r="J58" s="6" t="s">
        <v>66</v>
      </c>
      <c r="K58" s="6" t="n">
        <v>15</v>
      </c>
      <c r="L58" s="6" t="s">
        <v>115</v>
      </c>
      <c r="M58" s="6" t="s">
        <v>116</v>
      </c>
      <c r="N58" s="6"/>
      <c r="O58" s="9"/>
      <c r="P58" s="6" t="str">
        <f aca="false">IF(O58="","",IF(O58=0,"Healthy",IF(O58&lt;=5,"Very low",IF(O58&lt;=10,"Low",IF(O58&lt;=25,"Moderate",IF(O58&lt;=50,"High","Very high"))))))</f>
        <v/>
      </c>
    </row>
    <row r="59" customFormat="false" ht="15" hidden="false" customHeight="false" outlineLevel="0" collapsed="false">
      <c r="A59" s="7" t="s">
        <v>174</v>
      </c>
      <c r="B59" s="6" t="s">
        <v>233</v>
      </c>
      <c r="C59" s="6" t="n">
        <v>26</v>
      </c>
      <c r="D59" s="6" t="n">
        <v>53</v>
      </c>
      <c r="E59" s="6" t="n">
        <v>28</v>
      </c>
      <c r="F59" s="6" t="s">
        <v>62</v>
      </c>
      <c r="G59" s="6" t="s">
        <v>24</v>
      </c>
      <c r="H59" s="6" t="s">
        <v>41</v>
      </c>
      <c r="I59" s="6" t="s">
        <v>89</v>
      </c>
      <c r="J59" s="6" t="s">
        <v>66</v>
      </c>
      <c r="K59" s="6" t="n">
        <v>15</v>
      </c>
      <c r="L59" s="6" t="s">
        <v>117</v>
      </c>
      <c r="M59" s="6" t="s">
        <v>258</v>
      </c>
      <c r="N59" s="6"/>
      <c r="O59" s="9"/>
      <c r="P59" s="6" t="str">
        <f aca="false">IF(O59="","",IF(O59=0,"Healthy",IF(O59&lt;=5,"Very low",IF(O59&lt;=10,"Low",IF(O59&lt;=25,"Moderate",IF(O59&lt;=50,"High","Very high"))))))</f>
        <v/>
      </c>
    </row>
    <row r="60" customFormat="false" ht="15" hidden="false" customHeight="false" outlineLevel="0" collapsed="false">
      <c r="A60" s="7" t="s">
        <v>174</v>
      </c>
      <c r="B60" s="6" t="s">
        <v>233</v>
      </c>
      <c r="C60" s="6" t="n">
        <v>26</v>
      </c>
      <c r="D60" s="6" t="n">
        <v>66</v>
      </c>
      <c r="E60" s="6" t="n">
        <v>29</v>
      </c>
      <c r="F60" s="6" t="s">
        <v>56</v>
      </c>
      <c r="G60" s="6" t="s">
        <v>40</v>
      </c>
      <c r="H60" s="6" t="s">
        <v>36</v>
      </c>
      <c r="I60" s="6" t="s">
        <v>89</v>
      </c>
      <c r="J60" s="6" t="s">
        <v>66</v>
      </c>
      <c r="K60" s="6" t="n">
        <v>15</v>
      </c>
      <c r="L60" s="6" t="s">
        <v>259</v>
      </c>
      <c r="M60" s="6" t="s">
        <v>260</v>
      </c>
      <c r="N60" s="6"/>
      <c r="O60" s="9"/>
      <c r="P60" s="6" t="str">
        <f aca="false">IF(O60="","",IF(O60=0,"Healthy",IF(O60&lt;=5,"Very low",IF(O60&lt;=10,"Low",IF(O60&lt;=25,"Moderate",IF(O60&lt;=50,"High","Very high"))))))</f>
        <v/>
      </c>
    </row>
    <row r="61" customFormat="false" ht="15" hidden="false" customHeight="false" outlineLevel="0" collapsed="false">
      <c r="A61" s="7" t="s">
        <v>174</v>
      </c>
      <c r="B61" s="6" t="s">
        <v>233</v>
      </c>
      <c r="C61" s="6" t="n">
        <v>26</v>
      </c>
      <c r="D61" s="6" t="n">
        <v>84</v>
      </c>
      <c r="E61" s="6" t="n">
        <v>30</v>
      </c>
      <c r="F61" s="6" t="s">
        <v>44</v>
      </c>
      <c r="G61" s="6" t="s">
        <v>35</v>
      </c>
      <c r="H61" s="6" t="s">
        <v>25</v>
      </c>
      <c r="I61" s="6" t="s">
        <v>89</v>
      </c>
      <c r="J61" s="6" t="s">
        <v>66</v>
      </c>
      <c r="K61" s="6" t="n">
        <v>15</v>
      </c>
      <c r="L61" s="6" t="s">
        <v>261</v>
      </c>
      <c r="M61" s="6" t="s">
        <v>262</v>
      </c>
      <c r="N61" s="6"/>
      <c r="O61" s="9"/>
      <c r="P61" s="6" t="str">
        <f aca="false">IF(O61="","",IF(O61=0,"Healthy",IF(O61&lt;=5,"Very low",IF(O61&lt;=10,"Low",IF(O61&lt;=25,"Moderate",IF(O61&lt;=50,"High","Very high"))))))</f>
        <v/>
      </c>
    </row>
    <row r="62" customFormat="false" ht="15" hidden="false" customHeight="false" outlineLevel="0" collapsed="false">
      <c r="A62" s="7" t="s">
        <v>174</v>
      </c>
      <c r="B62" s="6" t="s">
        <v>233</v>
      </c>
      <c r="C62" s="6" t="n">
        <v>26</v>
      </c>
      <c r="D62" s="6" t="n">
        <v>75</v>
      </c>
      <c r="E62" s="6" t="n">
        <v>31</v>
      </c>
      <c r="F62" s="6" t="s">
        <v>53</v>
      </c>
      <c r="G62" s="6" t="s">
        <v>31</v>
      </c>
      <c r="H62" s="6" t="s">
        <v>41</v>
      </c>
      <c r="I62" s="6" t="s">
        <v>89</v>
      </c>
      <c r="J62" s="6" t="s">
        <v>66</v>
      </c>
      <c r="K62" s="6" t="n">
        <v>15</v>
      </c>
      <c r="L62" s="6" t="s">
        <v>263</v>
      </c>
      <c r="M62" s="6" t="s">
        <v>124</v>
      </c>
      <c r="N62" s="6"/>
      <c r="O62" s="9"/>
      <c r="P62" s="6" t="str">
        <f aca="false">IF(O62="","",IF(O62=0,"Healthy",IF(O62&lt;=5,"Very low",IF(O62&lt;=10,"Low",IF(O62&lt;=25,"Moderate",IF(O62&lt;=50,"High","Very high"))))))</f>
        <v/>
      </c>
    </row>
    <row r="63" customFormat="false" ht="15" hidden="false" customHeight="false" outlineLevel="0" collapsed="false">
      <c r="A63" s="7" t="s">
        <v>174</v>
      </c>
      <c r="B63" s="6" t="s">
        <v>233</v>
      </c>
      <c r="C63" s="6" t="n">
        <v>26</v>
      </c>
      <c r="D63" s="6" t="n">
        <v>66</v>
      </c>
      <c r="E63" s="6" t="n">
        <v>32</v>
      </c>
      <c r="F63" s="6" t="s">
        <v>59</v>
      </c>
      <c r="G63" s="6" t="s">
        <v>40</v>
      </c>
      <c r="H63" s="6" t="s">
        <v>25</v>
      </c>
      <c r="I63" s="6" t="s">
        <v>89</v>
      </c>
      <c r="J63" s="6" t="s">
        <v>66</v>
      </c>
      <c r="K63" s="6" t="n">
        <v>15</v>
      </c>
      <c r="L63" s="6" t="s">
        <v>125</v>
      </c>
      <c r="M63" s="6" t="s">
        <v>128</v>
      </c>
      <c r="N63" s="6"/>
      <c r="O63" s="9"/>
      <c r="P63" s="6" t="str">
        <f aca="false">IF(O63="","",IF(O63=0,"Healthy",IF(O63&lt;=5,"Very low",IF(O63&lt;=10,"Low",IF(O63&lt;=25,"Moderate",IF(O63&lt;=50,"High","Very high"))))))</f>
        <v/>
      </c>
    </row>
    <row r="64" customFormat="false" ht="15" hidden="false" customHeight="false" outlineLevel="0" collapsed="false">
      <c r="A64" s="7" t="s">
        <v>174</v>
      </c>
      <c r="B64" s="6" t="s">
        <v>233</v>
      </c>
      <c r="C64" s="6" t="n">
        <v>26</v>
      </c>
      <c r="D64" s="6" t="n">
        <v>53</v>
      </c>
      <c r="E64" s="6" t="n">
        <v>33</v>
      </c>
      <c r="F64" s="6" t="s">
        <v>47</v>
      </c>
      <c r="G64" s="6" t="s">
        <v>24</v>
      </c>
      <c r="H64" s="6" t="s">
        <v>36</v>
      </c>
      <c r="I64" s="6" t="s">
        <v>89</v>
      </c>
      <c r="J64" s="6" t="s">
        <v>66</v>
      </c>
      <c r="K64" s="6" t="n">
        <v>15</v>
      </c>
      <c r="L64" s="6" t="s">
        <v>129</v>
      </c>
      <c r="M64" s="6" t="s">
        <v>264</v>
      </c>
      <c r="N64" s="6"/>
      <c r="O64" s="9"/>
      <c r="P64" s="6" t="str">
        <f aca="false">IF(O64="","",IF(O64=0,"Healthy",IF(O64&lt;=5,"Very low",IF(O64&lt;=10,"Low",IF(O64&lt;=25,"Moderate",IF(O64&lt;=50,"High","Very high"))))))</f>
        <v/>
      </c>
    </row>
    <row r="65" customFormat="false" ht="15" hidden="false" customHeight="false" outlineLevel="0" collapsed="false">
      <c r="A65" s="7" t="s">
        <v>174</v>
      </c>
      <c r="B65" s="6" t="s">
        <v>233</v>
      </c>
      <c r="C65" s="6" t="n">
        <v>26</v>
      </c>
      <c r="D65" s="6" t="n">
        <v>75</v>
      </c>
      <c r="E65" s="6" t="n">
        <v>35</v>
      </c>
      <c r="F65" s="6" t="s">
        <v>30</v>
      </c>
      <c r="G65" s="6" t="s">
        <v>31</v>
      </c>
      <c r="H65" s="6" t="s">
        <v>25</v>
      </c>
      <c r="I65" s="6" t="s">
        <v>89</v>
      </c>
      <c r="J65" s="6" t="s">
        <v>66</v>
      </c>
      <c r="K65" s="6" t="n">
        <v>15</v>
      </c>
      <c r="L65" s="6" t="s">
        <v>265</v>
      </c>
      <c r="M65" s="6" t="s">
        <v>266</v>
      </c>
      <c r="N65" s="6"/>
      <c r="O65" s="9"/>
      <c r="P65" s="6" t="str">
        <f aca="false">IF(O65="","",IF(O65=0,"Healthy",IF(O65&lt;=5,"Very low",IF(O65&lt;=10,"Low",IF(O65&lt;=25,"Moderate",IF(O65&lt;=50,"High","Very high"))))))</f>
        <v/>
      </c>
    </row>
    <row r="66" customFormat="false" ht="15" hidden="false" customHeight="false" outlineLevel="0" collapsed="false">
      <c r="A66" s="7" t="s">
        <v>174</v>
      </c>
      <c r="B66" s="6" t="s">
        <v>233</v>
      </c>
      <c r="C66" s="6" t="n">
        <v>26</v>
      </c>
      <c r="D66" s="6" t="n">
        <v>66</v>
      </c>
      <c r="E66" s="6" t="n">
        <v>36</v>
      </c>
      <c r="F66" s="6" t="s">
        <v>39</v>
      </c>
      <c r="G66" s="6" t="s">
        <v>40</v>
      </c>
      <c r="H66" s="6" t="s">
        <v>41</v>
      </c>
      <c r="I66" s="6" t="s">
        <v>89</v>
      </c>
      <c r="J66" s="6" t="s">
        <v>66</v>
      </c>
      <c r="K66" s="6" t="n">
        <v>15</v>
      </c>
      <c r="L66" s="6" t="s">
        <v>267</v>
      </c>
      <c r="M66" s="6" t="s">
        <v>268</v>
      </c>
      <c r="N66" s="6"/>
      <c r="O66" s="9"/>
      <c r="P66" s="6" t="str">
        <f aca="false">IF(O66="","",IF(O66=0,"Healthy",IF(O66&lt;=5,"Very low",IF(O66&lt;=10,"Low",IF(O66&lt;=25,"Moderate",IF(O66&lt;=50,"High","Very high"))))))</f>
        <v/>
      </c>
    </row>
    <row r="67" customFormat="false" ht="15" hidden="false" customHeight="false" outlineLevel="0" collapsed="false">
      <c r="A67" s="7" t="s">
        <v>174</v>
      </c>
      <c r="B67" s="6" t="s">
        <v>233</v>
      </c>
      <c r="C67" s="6" t="n">
        <v>26</v>
      </c>
      <c r="D67" s="6" t="n">
        <v>66</v>
      </c>
      <c r="E67" s="6" t="n">
        <v>37</v>
      </c>
      <c r="F67" s="6" t="s">
        <v>39</v>
      </c>
      <c r="G67" s="6" t="s">
        <v>40</v>
      </c>
      <c r="H67" s="6" t="s">
        <v>41</v>
      </c>
      <c r="I67" s="6" t="s">
        <v>112</v>
      </c>
      <c r="J67" s="6" t="s">
        <v>66</v>
      </c>
      <c r="K67" s="6" t="n">
        <v>15</v>
      </c>
      <c r="L67" s="6" t="s">
        <v>269</v>
      </c>
      <c r="M67" s="6" t="s">
        <v>270</v>
      </c>
      <c r="N67" s="6"/>
      <c r="O67" s="9"/>
      <c r="P67" s="6" t="str">
        <f aca="false">IF(O67="","",IF(O67=0,"Healthy",IF(O67&lt;=5,"Very low",IF(O67&lt;=10,"Low",IF(O67&lt;=25,"Moderate",IF(O67&lt;=50,"High","Very high"))))))</f>
        <v/>
      </c>
    </row>
    <row r="68" customFormat="false" ht="15" hidden="false" customHeight="false" outlineLevel="0" collapsed="false">
      <c r="A68" s="7" t="s">
        <v>174</v>
      </c>
      <c r="B68" s="6" t="s">
        <v>233</v>
      </c>
      <c r="C68" s="6" t="n">
        <v>26</v>
      </c>
      <c r="D68" s="6" t="n">
        <v>84</v>
      </c>
      <c r="E68" s="6" t="n">
        <v>38</v>
      </c>
      <c r="F68" s="6" t="s">
        <v>34</v>
      </c>
      <c r="G68" s="6" t="s">
        <v>35</v>
      </c>
      <c r="H68" s="6" t="s">
        <v>36</v>
      </c>
      <c r="I68" s="6" t="s">
        <v>112</v>
      </c>
      <c r="J68" s="6" t="s">
        <v>66</v>
      </c>
      <c r="K68" s="6" t="n">
        <v>15</v>
      </c>
      <c r="L68" s="6" t="s">
        <v>271</v>
      </c>
      <c r="M68" s="6" t="s">
        <v>272</v>
      </c>
      <c r="N68" s="6"/>
      <c r="O68" s="9"/>
      <c r="P68" s="6" t="str">
        <f aca="false">IF(O68="","",IF(O68=0,"Healthy",IF(O68&lt;=5,"Very low",IF(O68&lt;=10,"Low",IF(O68&lt;=25,"Moderate",IF(O68&lt;=50,"High","Very high"))))))</f>
        <v/>
      </c>
    </row>
    <row r="69" customFormat="false" ht="15" hidden="false" customHeight="false" outlineLevel="0" collapsed="false">
      <c r="A69" s="7" t="s">
        <v>174</v>
      </c>
      <c r="B69" s="6" t="s">
        <v>233</v>
      </c>
      <c r="C69" s="6" t="n">
        <v>26</v>
      </c>
      <c r="D69" s="6" t="n">
        <v>75</v>
      </c>
      <c r="E69" s="6" t="n">
        <v>39</v>
      </c>
      <c r="F69" s="6" t="s">
        <v>30</v>
      </c>
      <c r="G69" s="6" t="s">
        <v>31</v>
      </c>
      <c r="H69" s="6" t="s">
        <v>25</v>
      </c>
      <c r="I69" s="6" t="s">
        <v>112</v>
      </c>
      <c r="J69" s="6" t="s">
        <v>66</v>
      </c>
      <c r="K69" s="6" t="n">
        <v>15</v>
      </c>
      <c r="L69" s="6" t="s">
        <v>273</v>
      </c>
      <c r="M69" s="6" t="s">
        <v>274</v>
      </c>
      <c r="N69" s="6"/>
      <c r="O69" s="9"/>
      <c r="P69" s="6" t="str">
        <f aca="false">IF(O69="","",IF(O69=0,"Healthy",IF(O69&lt;=5,"Very low",IF(O69&lt;=10,"Low",IF(O69&lt;=25,"Moderate",IF(O69&lt;=50,"High","Very high"))))))</f>
        <v/>
      </c>
    </row>
    <row r="70" customFormat="false" ht="15" hidden="false" customHeight="false" outlineLevel="0" collapsed="false">
      <c r="A70" s="7" t="s">
        <v>174</v>
      </c>
      <c r="B70" s="6" t="s">
        <v>233</v>
      </c>
      <c r="C70" s="6" t="n">
        <v>26</v>
      </c>
      <c r="D70" s="6" t="n">
        <v>75</v>
      </c>
      <c r="E70" s="6" t="n">
        <v>40</v>
      </c>
      <c r="F70" s="6" t="s">
        <v>50</v>
      </c>
      <c r="G70" s="6" t="s">
        <v>31</v>
      </c>
      <c r="H70" s="6" t="s">
        <v>36</v>
      </c>
      <c r="I70" s="6" t="s">
        <v>112</v>
      </c>
      <c r="J70" s="6" t="s">
        <v>66</v>
      </c>
      <c r="K70" s="6" t="n">
        <v>15</v>
      </c>
      <c r="L70" s="6" t="s">
        <v>275</v>
      </c>
      <c r="M70" s="6" t="s">
        <v>276</v>
      </c>
      <c r="N70" s="6"/>
      <c r="O70" s="9"/>
      <c r="P70" s="6" t="str">
        <f aca="false">IF(O70="","",IF(O70=0,"Healthy",IF(O70&lt;=5,"Very low",IF(O70&lt;=10,"Low",IF(O70&lt;=25,"Moderate",IF(O70&lt;=50,"High","Very high"))))))</f>
        <v/>
      </c>
    </row>
    <row r="71" customFormat="false" ht="15" hidden="false" customHeight="false" outlineLevel="0" collapsed="false">
      <c r="A71" s="7" t="s">
        <v>174</v>
      </c>
      <c r="B71" s="6" t="s">
        <v>233</v>
      </c>
      <c r="C71" s="6" t="n">
        <v>26</v>
      </c>
      <c r="D71" s="6" t="n">
        <v>84</v>
      </c>
      <c r="E71" s="6" t="n">
        <v>42</v>
      </c>
      <c r="F71" s="6" t="s">
        <v>44</v>
      </c>
      <c r="G71" s="6" t="s">
        <v>35</v>
      </c>
      <c r="H71" s="6" t="s">
        <v>25</v>
      </c>
      <c r="I71" s="6" t="s">
        <v>112</v>
      </c>
      <c r="J71" s="6" t="s">
        <v>66</v>
      </c>
      <c r="K71" s="6" t="n">
        <v>15</v>
      </c>
      <c r="L71" s="6" t="s">
        <v>277</v>
      </c>
      <c r="M71" s="6" t="s">
        <v>278</v>
      </c>
      <c r="N71" s="6"/>
      <c r="O71" s="9"/>
      <c r="P71" s="6" t="str">
        <f aca="false">IF(O71="","",IF(O71=0,"Healthy",IF(O71&lt;=5,"Very low",IF(O71&lt;=10,"Low",IF(O71&lt;=25,"Moderate",IF(O71&lt;=50,"High","Very high"))))))</f>
        <v/>
      </c>
    </row>
    <row r="72" customFormat="false" ht="15" hidden="false" customHeight="false" outlineLevel="0" collapsed="false">
      <c r="A72" s="7" t="s">
        <v>174</v>
      </c>
      <c r="B72" s="6" t="s">
        <v>233</v>
      </c>
      <c r="C72" s="6" t="n">
        <v>26</v>
      </c>
      <c r="D72" s="6" t="n">
        <v>75</v>
      </c>
      <c r="E72" s="6" t="n">
        <v>43</v>
      </c>
      <c r="F72" s="6" t="s">
        <v>53</v>
      </c>
      <c r="G72" s="6" t="s">
        <v>31</v>
      </c>
      <c r="H72" s="6" t="s">
        <v>41</v>
      </c>
      <c r="I72" s="6" t="s">
        <v>112</v>
      </c>
      <c r="J72" s="6" t="s">
        <v>66</v>
      </c>
      <c r="K72" s="6" t="n">
        <v>15</v>
      </c>
      <c r="L72" s="6" t="s">
        <v>279</v>
      </c>
      <c r="M72" s="6" t="s">
        <v>280</v>
      </c>
      <c r="N72" s="6"/>
      <c r="O72" s="9"/>
      <c r="P72" s="6" t="str">
        <f aca="false">IF(O72="","",IF(O72=0,"Healthy",IF(O72&lt;=5,"Very low",IF(O72&lt;=10,"Low",IF(O72&lt;=25,"Moderate",IF(O72&lt;=50,"High","Very high"))))))</f>
        <v/>
      </c>
    </row>
    <row r="73" customFormat="false" ht="15" hidden="false" customHeight="false" outlineLevel="0" collapsed="false">
      <c r="A73" s="7" t="s">
        <v>174</v>
      </c>
      <c r="B73" s="6" t="s">
        <v>233</v>
      </c>
      <c r="C73" s="6" t="n">
        <v>26</v>
      </c>
      <c r="D73" s="6" t="n">
        <v>66</v>
      </c>
      <c r="E73" s="6" t="n">
        <v>44</v>
      </c>
      <c r="F73" s="6" t="s">
        <v>59</v>
      </c>
      <c r="G73" s="6" t="s">
        <v>40</v>
      </c>
      <c r="H73" s="6" t="s">
        <v>25</v>
      </c>
      <c r="I73" s="6" t="s">
        <v>112</v>
      </c>
      <c r="J73" s="6" t="s">
        <v>66</v>
      </c>
      <c r="K73" s="6" t="n">
        <v>15</v>
      </c>
      <c r="L73" s="6" t="s">
        <v>281</v>
      </c>
      <c r="M73" s="6" t="s">
        <v>282</v>
      </c>
      <c r="N73" s="6"/>
      <c r="O73" s="9"/>
      <c r="P73" s="6" t="str">
        <f aca="false">IF(O73="","",IF(O73=0,"Healthy",IF(O73&lt;=5,"Very low",IF(O73&lt;=10,"Low",IF(O73&lt;=25,"Moderate",IF(O73&lt;=50,"High","Very high"))))))</f>
        <v/>
      </c>
    </row>
    <row r="74" customFormat="false" ht="15" hidden="false" customHeight="false" outlineLevel="0" collapsed="false">
      <c r="A74" s="7" t="s">
        <v>174</v>
      </c>
      <c r="B74" s="6" t="s">
        <v>233</v>
      </c>
      <c r="C74" s="6" t="n">
        <v>26</v>
      </c>
      <c r="D74" s="6" t="n">
        <v>53</v>
      </c>
      <c r="E74" s="6" t="n">
        <v>45</v>
      </c>
      <c r="F74" s="6" t="s">
        <v>23</v>
      </c>
      <c r="G74" s="6" t="s">
        <v>24</v>
      </c>
      <c r="H74" s="6" t="s">
        <v>25</v>
      </c>
      <c r="I74" s="6" t="s">
        <v>112</v>
      </c>
      <c r="J74" s="6" t="s">
        <v>66</v>
      </c>
      <c r="K74" s="6" t="n">
        <v>15</v>
      </c>
      <c r="L74" s="6" t="s">
        <v>283</v>
      </c>
      <c r="M74" s="6" t="s">
        <v>284</v>
      </c>
      <c r="N74" s="6"/>
      <c r="O74" s="9"/>
      <c r="P74" s="6" t="str">
        <f aca="false">IF(O74="","",IF(O74=0,"Healthy",IF(O74&lt;=5,"Very low",IF(O74&lt;=10,"Low",IF(O74&lt;=25,"Moderate",IF(O74&lt;=50,"High","Very high"))))))</f>
        <v/>
      </c>
    </row>
    <row r="75" customFormat="false" ht="15" hidden="false" customHeight="false" outlineLevel="0" collapsed="false">
      <c r="A75" s="7" t="s">
        <v>174</v>
      </c>
      <c r="B75" s="6" t="s">
        <v>233</v>
      </c>
      <c r="C75" s="6" t="n">
        <v>26</v>
      </c>
      <c r="D75" s="6" t="n">
        <v>53</v>
      </c>
      <c r="E75" s="6" t="n">
        <v>46</v>
      </c>
      <c r="F75" s="6" t="s">
        <v>47</v>
      </c>
      <c r="G75" s="6" t="s">
        <v>24</v>
      </c>
      <c r="H75" s="6" t="s">
        <v>36</v>
      </c>
      <c r="I75" s="6" t="s">
        <v>112</v>
      </c>
      <c r="J75" s="6" t="s">
        <v>66</v>
      </c>
      <c r="K75" s="6" t="n">
        <v>15</v>
      </c>
      <c r="L75" s="6" t="s">
        <v>285</v>
      </c>
      <c r="M75" s="6" t="s">
        <v>286</v>
      </c>
      <c r="N75" s="6"/>
      <c r="O75" s="9"/>
      <c r="P75" s="6" t="str">
        <f aca="false">IF(O75="","",IF(O75=0,"Healthy",IF(O75&lt;=5,"Very low",IF(O75&lt;=10,"Low",IF(O75&lt;=25,"Moderate",IF(O75&lt;=50,"High","Very high"))))))</f>
        <v/>
      </c>
    </row>
    <row r="76" customFormat="false" ht="15" hidden="false" customHeight="false" outlineLevel="0" collapsed="false">
      <c r="A76" s="7" t="s">
        <v>174</v>
      </c>
      <c r="B76" s="6" t="s">
        <v>233</v>
      </c>
      <c r="C76" s="6" t="n">
        <v>26</v>
      </c>
      <c r="D76" s="6" t="n">
        <v>53</v>
      </c>
      <c r="E76" s="6" t="n">
        <v>47</v>
      </c>
      <c r="F76" s="6" t="s">
        <v>62</v>
      </c>
      <c r="G76" s="6" t="s">
        <v>24</v>
      </c>
      <c r="H76" s="6" t="s">
        <v>41</v>
      </c>
      <c r="I76" s="6" t="s">
        <v>112</v>
      </c>
      <c r="J76" s="6" t="s">
        <v>66</v>
      </c>
      <c r="K76" s="6" t="n">
        <v>15</v>
      </c>
      <c r="L76" s="6" t="s">
        <v>287</v>
      </c>
      <c r="M76" s="6" t="s">
        <v>288</v>
      </c>
      <c r="N76" s="6"/>
      <c r="O76" s="9"/>
      <c r="P76" s="6" t="str">
        <f aca="false">IF(O76="","",IF(O76=0,"Healthy",IF(O76&lt;=5,"Very low",IF(O76&lt;=10,"Low",IF(O76&lt;=25,"Moderate",IF(O76&lt;=50,"High","Very high"))))))</f>
        <v/>
      </c>
    </row>
    <row r="77" customFormat="false" ht="15" hidden="false" customHeight="false" outlineLevel="0" collapsed="false">
      <c r="A77" s="7" t="s">
        <v>174</v>
      </c>
      <c r="B77" s="6" t="s">
        <v>233</v>
      </c>
      <c r="C77" s="6" t="n">
        <v>26</v>
      </c>
      <c r="D77" s="6" t="n">
        <v>66</v>
      </c>
      <c r="E77" s="6" t="n">
        <v>48</v>
      </c>
      <c r="F77" s="6" t="s">
        <v>56</v>
      </c>
      <c r="G77" s="6" t="s">
        <v>40</v>
      </c>
      <c r="H77" s="6" t="s">
        <v>36</v>
      </c>
      <c r="I77" s="6" t="s">
        <v>112</v>
      </c>
      <c r="J77" s="6" t="s">
        <v>66</v>
      </c>
      <c r="K77" s="6" t="n">
        <v>15</v>
      </c>
      <c r="L77" s="6" t="s">
        <v>289</v>
      </c>
      <c r="M77" s="6" t="s">
        <v>290</v>
      </c>
      <c r="N77" s="6"/>
      <c r="O77" s="9"/>
      <c r="P77" s="6" t="str">
        <f aca="false">IF(O77="","",IF(O77=0,"Healthy",IF(O77&lt;=5,"Very low",IF(O77&lt;=10,"Low",IF(O77&lt;=25,"Moderate",IF(O77&lt;=50,"High","Very high"))))))</f>
        <v/>
      </c>
    </row>
    <row r="78" customFormat="false" ht="15" hidden="false" customHeight="false" outlineLevel="0" collapsed="false">
      <c r="A78" s="7" t="s">
        <v>174</v>
      </c>
      <c r="B78" s="6" t="s">
        <v>291</v>
      </c>
      <c r="C78" s="6" t="n">
        <v>36</v>
      </c>
      <c r="D78" s="6" t="n">
        <v>63</v>
      </c>
      <c r="E78" s="6" t="n">
        <v>1</v>
      </c>
      <c r="F78" s="6" t="s">
        <v>23</v>
      </c>
      <c r="G78" s="6" t="s">
        <v>24</v>
      </c>
      <c r="H78" s="6" t="s">
        <v>25</v>
      </c>
      <c r="I78" s="6" t="s">
        <v>26</v>
      </c>
      <c r="J78" s="6" t="s">
        <v>27</v>
      </c>
      <c r="K78" s="6" t="n">
        <v>9</v>
      </c>
      <c r="L78" s="6" t="s">
        <v>28</v>
      </c>
      <c r="M78" s="6" t="s">
        <v>33</v>
      </c>
      <c r="N78" s="6"/>
      <c r="O78" s="9" t="n">
        <v>0</v>
      </c>
      <c r="P78" s="6" t="str">
        <f aca="false">IF(O78="","",IF(O78=0,"Healthy",IF(O78&lt;=5,"Very low",IF(O78&lt;=10,"Low",IF(O78&lt;=25,"Moderate",IF(O78&lt;=50,"High","Very high"))))))</f>
        <v>Healthy</v>
      </c>
    </row>
    <row r="79" customFormat="false" ht="15" hidden="false" customHeight="false" outlineLevel="0" collapsed="false">
      <c r="A79" s="7" t="s">
        <v>174</v>
      </c>
      <c r="B79" s="6" t="s">
        <v>291</v>
      </c>
      <c r="C79" s="6" t="n">
        <v>36</v>
      </c>
      <c r="D79" s="6" t="n">
        <v>63</v>
      </c>
      <c r="E79" s="6" t="n">
        <v>6</v>
      </c>
      <c r="F79" s="6" t="s">
        <v>47</v>
      </c>
      <c r="G79" s="6" t="s">
        <v>24</v>
      </c>
      <c r="H79" s="6" t="s">
        <v>36</v>
      </c>
      <c r="I79" s="6" t="s">
        <v>26</v>
      </c>
      <c r="J79" s="6" t="s">
        <v>27</v>
      </c>
      <c r="K79" s="6" t="n">
        <v>9</v>
      </c>
      <c r="L79" s="6" t="s">
        <v>51</v>
      </c>
      <c r="M79" s="6" t="s">
        <v>189</v>
      </c>
      <c r="N79" s="6"/>
      <c r="O79" s="9" t="n">
        <v>0</v>
      </c>
      <c r="P79" s="6" t="str">
        <f aca="false">IF(O79="","",IF(O79=0,"Healthy",IF(O79&lt;=5,"Very low",IF(O79&lt;=10,"Low",IF(O79&lt;=25,"Moderate",IF(O79&lt;=50,"High","Very high"))))))</f>
        <v>Healthy</v>
      </c>
    </row>
    <row r="80" customFormat="false" ht="15" hidden="false" customHeight="false" outlineLevel="0" collapsed="false">
      <c r="A80" s="7" t="s">
        <v>174</v>
      </c>
      <c r="B80" s="6" t="s">
        <v>291</v>
      </c>
      <c r="C80" s="6" t="n">
        <v>36</v>
      </c>
      <c r="D80" s="6" t="n">
        <v>63</v>
      </c>
      <c r="E80" s="6" t="n">
        <v>12</v>
      </c>
      <c r="F80" s="6" t="s">
        <v>62</v>
      </c>
      <c r="G80" s="6" t="s">
        <v>24</v>
      </c>
      <c r="H80" s="6" t="s">
        <v>41</v>
      </c>
      <c r="I80" s="6" t="s">
        <v>26</v>
      </c>
      <c r="J80" s="6" t="s">
        <v>27</v>
      </c>
      <c r="K80" s="6" t="n">
        <v>9</v>
      </c>
      <c r="L80" s="6" t="s">
        <v>239</v>
      </c>
      <c r="M80" s="6" t="s">
        <v>240</v>
      </c>
      <c r="N80" s="6"/>
      <c r="O80" s="9" t="n">
        <v>0</v>
      </c>
      <c r="P80" s="6" t="str">
        <f aca="false">IF(O80="","",IF(O80=0,"Healthy",IF(O80&lt;=5,"Very low",IF(O80&lt;=10,"Low",IF(O80&lt;=25,"Moderate",IF(O80&lt;=50,"High","Very high"))))))</f>
        <v>Healthy</v>
      </c>
    </row>
    <row r="81" customFormat="false" ht="15" hidden="false" customHeight="false" outlineLevel="0" collapsed="false">
      <c r="A81" s="7" t="s">
        <v>174</v>
      </c>
      <c r="B81" s="6" t="s">
        <v>291</v>
      </c>
      <c r="C81" s="6" t="n">
        <v>36</v>
      </c>
      <c r="D81" s="6" t="n">
        <v>63</v>
      </c>
      <c r="E81" s="6" t="n">
        <v>14</v>
      </c>
      <c r="F81" s="6" t="s">
        <v>62</v>
      </c>
      <c r="G81" s="6" t="s">
        <v>24</v>
      </c>
      <c r="H81" s="6" t="s">
        <v>41</v>
      </c>
      <c r="I81" s="6" t="s">
        <v>65</v>
      </c>
      <c r="J81" s="6" t="s">
        <v>66</v>
      </c>
      <c r="K81" s="6" t="n">
        <v>15</v>
      </c>
      <c r="L81" s="6" t="s">
        <v>241</v>
      </c>
      <c r="M81" s="6" t="s">
        <v>77</v>
      </c>
      <c r="N81" s="6"/>
      <c r="O81" s="9"/>
      <c r="P81" s="6" t="str">
        <f aca="false">IF(O81="","",IF(O81=0,"Healthy",IF(O81&lt;=5,"Very low",IF(O81&lt;=10,"Low",IF(O81&lt;=25,"Moderate",IF(O81&lt;=50,"High","Very high"))))))</f>
        <v/>
      </c>
    </row>
    <row r="82" customFormat="false" ht="15" hidden="false" customHeight="false" outlineLevel="0" collapsed="false">
      <c r="A82" s="7" t="s">
        <v>174</v>
      </c>
      <c r="B82" s="6" t="s">
        <v>291</v>
      </c>
      <c r="C82" s="6" t="n">
        <v>36</v>
      </c>
      <c r="D82" s="6" t="n">
        <v>63</v>
      </c>
      <c r="E82" s="6" t="n">
        <v>18</v>
      </c>
      <c r="F82" s="6" t="s">
        <v>23</v>
      </c>
      <c r="G82" s="6" t="s">
        <v>24</v>
      </c>
      <c r="H82" s="6" t="s">
        <v>25</v>
      </c>
      <c r="I82" s="6" t="s">
        <v>65</v>
      </c>
      <c r="J82" s="6" t="s">
        <v>66</v>
      </c>
      <c r="K82" s="6" t="n">
        <v>15</v>
      </c>
      <c r="L82" s="6" t="s">
        <v>246</v>
      </c>
      <c r="M82" s="6" t="s">
        <v>247</v>
      </c>
      <c r="N82" s="6"/>
      <c r="O82" s="9"/>
      <c r="P82" s="6" t="str">
        <f aca="false">IF(O82="","",IF(O82=0,"Healthy",IF(O82&lt;=5,"Very low",IF(O82&lt;=10,"Low",IF(O82&lt;=25,"Moderate",IF(O82&lt;=50,"High","Very high"))))))</f>
        <v/>
      </c>
    </row>
    <row r="83" customFormat="false" ht="15" hidden="false" customHeight="false" outlineLevel="0" collapsed="false">
      <c r="A83" s="7" t="s">
        <v>174</v>
      </c>
      <c r="B83" s="6" t="s">
        <v>291</v>
      </c>
      <c r="C83" s="6" t="n">
        <v>36</v>
      </c>
      <c r="D83" s="6" t="n">
        <v>63</v>
      </c>
      <c r="E83" s="6" t="n">
        <v>20</v>
      </c>
      <c r="F83" s="6" t="s">
        <v>47</v>
      </c>
      <c r="G83" s="6" t="s">
        <v>24</v>
      </c>
      <c r="H83" s="6" t="s">
        <v>36</v>
      </c>
      <c r="I83" s="6" t="s">
        <v>65</v>
      </c>
      <c r="J83" s="6" t="s">
        <v>66</v>
      </c>
      <c r="K83" s="6" t="n">
        <v>15</v>
      </c>
      <c r="L83" s="6" t="s">
        <v>250</v>
      </c>
      <c r="M83" s="6" t="s">
        <v>94</v>
      </c>
      <c r="N83" s="6"/>
      <c r="O83" s="9"/>
      <c r="P83" s="6" t="str">
        <f aca="false">IF(O83="","",IF(O83=0,"Healthy",IF(O83&lt;=5,"Very low",IF(O83&lt;=10,"Low",IF(O83&lt;=25,"Moderate",IF(O83&lt;=50,"High","Very high"))))))</f>
        <v/>
      </c>
    </row>
    <row r="84" customFormat="false" ht="15" hidden="false" customHeight="false" outlineLevel="0" collapsed="false">
      <c r="A84" s="7" t="s">
        <v>174</v>
      </c>
      <c r="B84" s="6" t="s">
        <v>291</v>
      </c>
      <c r="C84" s="6" t="n">
        <v>36</v>
      </c>
      <c r="D84" s="6" t="n">
        <v>63</v>
      </c>
      <c r="E84" s="6" t="n">
        <v>26</v>
      </c>
      <c r="F84" s="6" t="s">
        <v>23</v>
      </c>
      <c r="G84" s="6" t="s">
        <v>24</v>
      </c>
      <c r="H84" s="6" t="s">
        <v>25</v>
      </c>
      <c r="I84" s="6" t="s">
        <v>89</v>
      </c>
      <c r="J84" s="6" t="s">
        <v>66</v>
      </c>
      <c r="K84" s="6" t="n">
        <v>15</v>
      </c>
      <c r="L84" s="6" t="s">
        <v>108</v>
      </c>
      <c r="M84" s="6" t="s">
        <v>256</v>
      </c>
      <c r="N84" s="6"/>
      <c r="O84" s="9"/>
      <c r="P84" s="6" t="str">
        <f aca="false">IF(O84="","",IF(O84=0,"Healthy",IF(O84&lt;=5,"Very low",IF(O84&lt;=10,"Low",IF(O84&lt;=25,"Moderate",IF(O84&lt;=50,"High","Very high"))))))</f>
        <v/>
      </c>
    </row>
    <row r="85" customFormat="false" ht="15" hidden="false" customHeight="false" outlineLevel="0" collapsed="false">
      <c r="A85" s="7" t="s">
        <v>174</v>
      </c>
      <c r="B85" s="6" t="s">
        <v>291</v>
      </c>
      <c r="C85" s="6" t="n">
        <v>36</v>
      </c>
      <c r="D85" s="6" t="n">
        <v>63</v>
      </c>
      <c r="E85" s="6" t="n">
        <v>28</v>
      </c>
      <c r="F85" s="6" t="s">
        <v>62</v>
      </c>
      <c r="G85" s="6" t="s">
        <v>24</v>
      </c>
      <c r="H85" s="6" t="s">
        <v>41</v>
      </c>
      <c r="I85" s="6" t="s">
        <v>89</v>
      </c>
      <c r="J85" s="6" t="s">
        <v>66</v>
      </c>
      <c r="K85" s="6" t="n">
        <v>15</v>
      </c>
      <c r="L85" s="6" t="s">
        <v>115</v>
      </c>
      <c r="M85" s="6" t="s">
        <v>116</v>
      </c>
      <c r="N85" s="6"/>
      <c r="O85" s="9"/>
      <c r="P85" s="6" t="str">
        <f aca="false">IF(O85="","",IF(O85=0,"Healthy",IF(O85&lt;=5,"Very low",IF(O85&lt;=10,"Low",IF(O85&lt;=25,"Moderate",IF(O85&lt;=50,"High","Very high"))))))</f>
        <v/>
      </c>
    </row>
    <row r="86" customFormat="false" ht="15" hidden="false" customHeight="false" outlineLevel="0" collapsed="false">
      <c r="A86" s="7" t="s">
        <v>174</v>
      </c>
      <c r="B86" s="6" t="s">
        <v>291</v>
      </c>
      <c r="C86" s="6" t="n">
        <v>36</v>
      </c>
      <c r="D86" s="6" t="n">
        <v>63</v>
      </c>
      <c r="E86" s="6" t="n">
        <v>33</v>
      </c>
      <c r="F86" s="6" t="s">
        <v>47</v>
      </c>
      <c r="G86" s="6" t="s">
        <v>24</v>
      </c>
      <c r="H86" s="6" t="s">
        <v>36</v>
      </c>
      <c r="I86" s="6" t="s">
        <v>89</v>
      </c>
      <c r="J86" s="6" t="s">
        <v>66</v>
      </c>
      <c r="K86" s="6" t="n">
        <v>15</v>
      </c>
      <c r="L86" s="6" t="s">
        <v>125</v>
      </c>
      <c r="M86" s="6" t="s">
        <v>128</v>
      </c>
      <c r="N86" s="6"/>
      <c r="O86" s="9"/>
      <c r="P86" s="6" t="str">
        <f aca="false">IF(O86="","",IF(O86=0,"Healthy",IF(O86&lt;=5,"Very low",IF(O86&lt;=10,"Low",IF(O86&lt;=25,"Moderate",IF(O86&lt;=50,"High","Very high"))))))</f>
        <v/>
      </c>
    </row>
    <row r="87" customFormat="false" ht="15" hidden="false" customHeight="false" outlineLevel="0" collapsed="false">
      <c r="A87" s="7" t="s">
        <v>174</v>
      </c>
      <c r="B87" s="6" t="s">
        <v>291</v>
      </c>
      <c r="C87" s="6" t="n">
        <v>36</v>
      </c>
      <c r="D87" s="6" t="n">
        <v>63</v>
      </c>
      <c r="E87" s="6" t="n">
        <v>45</v>
      </c>
      <c r="F87" s="6" t="s">
        <v>23</v>
      </c>
      <c r="G87" s="6" t="s">
        <v>24</v>
      </c>
      <c r="H87" s="6" t="s">
        <v>25</v>
      </c>
      <c r="I87" s="6" t="s">
        <v>112</v>
      </c>
      <c r="J87" s="6" t="s">
        <v>66</v>
      </c>
      <c r="K87" s="6" t="n">
        <v>15</v>
      </c>
      <c r="L87" s="6" t="s">
        <v>275</v>
      </c>
      <c r="M87" s="6" t="s">
        <v>276</v>
      </c>
      <c r="N87" s="6"/>
      <c r="O87" s="9"/>
      <c r="P87" s="6" t="str">
        <f aca="false">IF(O87="","",IF(O87=0,"Healthy",IF(O87&lt;=5,"Very low",IF(O87&lt;=10,"Low",IF(O87&lt;=25,"Moderate",IF(O87&lt;=50,"High","Very high"))))))</f>
        <v/>
      </c>
    </row>
    <row r="88" customFormat="false" ht="15" hidden="false" customHeight="false" outlineLevel="0" collapsed="false">
      <c r="A88" s="7" t="s">
        <v>174</v>
      </c>
      <c r="B88" s="6" t="s">
        <v>291</v>
      </c>
      <c r="C88" s="6" t="n">
        <v>36</v>
      </c>
      <c r="D88" s="6" t="n">
        <v>63</v>
      </c>
      <c r="E88" s="6" t="n">
        <v>46</v>
      </c>
      <c r="F88" s="6" t="s">
        <v>47</v>
      </c>
      <c r="G88" s="6" t="s">
        <v>24</v>
      </c>
      <c r="H88" s="6" t="s">
        <v>36</v>
      </c>
      <c r="I88" s="6" t="s">
        <v>112</v>
      </c>
      <c r="J88" s="6" t="s">
        <v>66</v>
      </c>
      <c r="K88" s="6" t="n">
        <v>15</v>
      </c>
      <c r="L88" s="6" t="s">
        <v>292</v>
      </c>
      <c r="M88" s="6" t="s">
        <v>293</v>
      </c>
      <c r="N88" s="6"/>
      <c r="O88" s="9"/>
      <c r="P88" s="6" t="str">
        <f aca="false">IF(O88="","",IF(O88=0,"Healthy",IF(O88&lt;=5,"Very low",IF(O88&lt;=10,"Low",IF(O88&lt;=25,"Moderate",IF(O88&lt;=50,"High","Very high"))))))</f>
        <v/>
      </c>
    </row>
    <row r="89" customFormat="false" ht="15" hidden="false" customHeight="false" outlineLevel="0" collapsed="false">
      <c r="A89" s="7" t="s">
        <v>174</v>
      </c>
      <c r="B89" s="6" t="s">
        <v>291</v>
      </c>
      <c r="C89" s="6" t="n">
        <v>36</v>
      </c>
      <c r="D89" s="6" t="n">
        <v>63</v>
      </c>
      <c r="E89" s="6" t="n">
        <v>47</v>
      </c>
      <c r="F89" s="6" t="s">
        <v>62</v>
      </c>
      <c r="G89" s="6" t="s">
        <v>24</v>
      </c>
      <c r="H89" s="6" t="s">
        <v>41</v>
      </c>
      <c r="I89" s="6" t="s">
        <v>112</v>
      </c>
      <c r="J89" s="6" t="s">
        <v>66</v>
      </c>
      <c r="K89" s="6" t="n">
        <v>15</v>
      </c>
      <c r="L89" s="6" t="s">
        <v>277</v>
      </c>
      <c r="M89" s="6" t="s">
        <v>278</v>
      </c>
      <c r="N89" s="6"/>
      <c r="O89" s="9"/>
      <c r="P89" s="6" t="str">
        <f aca="false">IF(O89="","",IF(O89=0,"Healthy",IF(O89&lt;=5,"Very low",IF(O89&lt;=10,"Low",IF(O89&lt;=25,"Moderate",IF(O89&lt;=50,"High","Very high"))))))</f>
        <v/>
      </c>
    </row>
  </sheetData>
  <autoFilter ref="A1:P89"/>
  <dataValidations count="1">
    <dataValidation allowBlank="true" error="DI must be between 0 and 100" errorStyle="stop" operator="between" showDropDown="false" showErrorMessage="false" showInputMessage="false" sqref="O2:O89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5" min="3" style="0" width="6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9"/>
    <col collapsed="false" customWidth="true" hidden="false" outlineLevel="0" max="13" min="12" style="0" width="22"/>
    <col collapsed="false" customWidth="true" hidden="false" outlineLevel="0" max="14" min="14" style="0" width="44"/>
    <col collapsed="false" customWidth="true" hidden="false" outlineLevel="0" max="15" min="15" style="0" width="13"/>
    <col collapsed="false" customWidth="true" hidden="false" outlineLevel="0" max="16" min="16" style="0" width="14"/>
  </cols>
  <sheetData>
    <row r="1" customFormat="false" ht="30" hidden="false" customHeight="true" outlineLevel="0" collapsed="false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18</v>
      </c>
      <c r="M1" s="4" t="s">
        <v>19</v>
      </c>
      <c r="N1" s="4" t="s">
        <v>20</v>
      </c>
      <c r="O1" s="4" t="s">
        <v>301</v>
      </c>
      <c r="P1" s="4" t="s">
        <v>302</v>
      </c>
    </row>
    <row r="2" customFormat="false" ht="15" hidden="false" customHeight="false" outlineLevel="0" collapsed="false">
      <c r="A2" s="8" t="s">
        <v>294</v>
      </c>
      <c r="B2" s="6" t="s">
        <v>233</v>
      </c>
      <c r="C2" s="6" t="n">
        <v>26</v>
      </c>
      <c r="D2" s="6" t="n">
        <v>84</v>
      </c>
      <c r="E2" s="6" t="n">
        <v>7</v>
      </c>
      <c r="F2" s="6" t="s">
        <v>175</v>
      </c>
      <c r="G2" s="6" t="s">
        <v>35</v>
      </c>
      <c r="H2" s="6" t="s">
        <v>41</v>
      </c>
      <c r="I2" s="6" t="s">
        <v>26</v>
      </c>
      <c r="J2" s="6" t="s">
        <v>27</v>
      </c>
      <c r="K2" s="6" t="n">
        <v>9</v>
      </c>
      <c r="L2" s="6" t="s">
        <v>190</v>
      </c>
      <c r="M2" s="6" t="s">
        <v>58</v>
      </c>
      <c r="N2" s="6"/>
      <c r="O2" s="9" t="n">
        <v>0</v>
      </c>
      <c r="P2" s="6" t="str">
        <f aca="false">IF(O2="","",IF(O2=0,"Healthy",IF(O2&lt;=5,"Very low",IF(O2&lt;=10,"Low",IF(O2&lt;=25,"Moderate",IF(O2&lt;=50,"High","Very high"))))))</f>
        <v>Healthy</v>
      </c>
    </row>
    <row r="3" customFormat="false" ht="15" hidden="false" customHeight="false" outlineLevel="0" collapsed="false">
      <c r="A3" s="8" t="s">
        <v>294</v>
      </c>
      <c r="B3" s="6" t="s">
        <v>233</v>
      </c>
      <c r="C3" s="6" t="n">
        <v>26</v>
      </c>
      <c r="D3" s="6" t="n">
        <v>84</v>
      </c>
      <c r="E3" s="6" t="n">
        <v>24</v>
      </c>
      <c r="F3" s="6" t="s">
        <v>175</v>
      </c>
      <c r="G3" s="6" t="s">
        <v>35</v>
      </c>
      <c r="H3" s="6" t="s">
        <v>41</v>
      </c>
      <c r="I3" s="6" t="s">
        <v>65</v>
      </c>
      <c r="J3" s="6" t="s">
        <v>66</v>
      </c>
      <c r="K3" s="6" t="n">
        <v>15</v>
      </c>
      <c r="L3" s="6" t="s">
        <v>179</v>
      </c>
      <c r="M3" s="6" t="s">
        <v>180</v>
      </c>
      <c r="N3" s="6"/>
      <c r="O3" s="9"/>
      <c r="P3" s="6" t="str">
        <f aca="false">IF(O3="","",IF(O3=0,"Healthy",IF(O3&lt;=5,"Very low",IF(O3&lt;=10,"Low",IF(O3&lt;=25,"Moderate",IF(O3&lt;=50,"High","Very high"))))))</f>
        <v/>
      </c>
    </row>
    <row r="4" customFormat="false" ht="15" hidden="false" customHeight="false" outlineLevel="0" collapsed="false">
      <c r="A4" s="8" t="s">
        <v>294</v>
      </c>
      <c r="B4" s="6" t="s">
        <v>233</v>
      </c>
      <c r="C4" s="6" t="n">
        <v>26</v>
      </c>
      <c r="D4" s="6" t="n">
        <v>84</v>
      </c>
      <c r="E4" s="6" t="n">
        <v>34</v>
      </c>
      <c r="F4" s="6" t="s">
        <v>175</v>
      </c>
      <c r="G4" s="6" t="s">
        <v>35</v>
      </c>
      <c r="H4" s="6" t="s">
        <v>41</v>
      </c>
      <c r="I4" s="6" t="s">
        <v>89</v>
      </c>
      <c r="J4" s="6" t="s">
        <v>66</v>
      </c>
      <c r="K4" s="6" t="n">
        <v>15</v>
      </c>
      <c r="L4" s="6" t="s">
        <v>295</v>
      </c>
      <c r="M4" s="6" t="s">
        <v>296</v>
      </c>
      <c r="N4" s="6"/>
      <c r="O4" s="9"/>
      <c r="P4" s="6" t="str">
        <f aca="false">IF(O4="","",IF(O4=0,"Healthy",IF(O4&lt;=5,"Very low",IF(O4&lt;=10,"Low",IF(O4&lt;=25,"Moderate",IF(O4&lt;=50,"High","Very high"))))))</f>
        <v/>
      </c>
    </row>
    <row r="5" customFormat="false" ht="15" hidden="false" customHeight="false" outlineLevel="0" collapsed="false">
      <c r="A5" s="8" t="s">
        <v>294</v>
      </c>
      <c r="B5" s="6" t="s">
        <v>233</v>
      </c>
      <c r="C5" s="6" t="n">
        <v>26</v>
      </c>
      <c r="D5" s="6" t="n">
        <v>84</v>
      </c>
      <c r="E5" s="6" t="n">
        <v>41</v>
      </c>
      <c r="F5" s="6" t="s">
        <v>175</v>
      </c>
      <c r="G5" s="6" t="s">
        <v>35</v>
      </c>
      <c r="H5" s="6" t="s">
        <v>41</v>
      </c>
      <c r="I5" s="6" t="s">
        <v>112</v>
      </c>
      <c r="J5" s="6" t="s">
        <v>66</v>
      </c>
      <c r="K5" s="6" t="n">
        <v>15</v>
      </c>
      <c r="L5" s="6" t="s">
        <v>292</v>
      </c>
      <c r="M5" s="6" t="s">
        <v>293</v>
      </c>
      <c r="N5" s="6"/>
      <c r="O5" s="9"/>
      <c r="P5" s="6" t="str">
        <f aca="false">IF(O5="","",IF(O5=0,"Healthy",IF(O5&lt;=5,"Very low",IF(O5&lt;=10,"Low",IF(O5&lt;=25,"Moderate",IF(O5&lt;=50,"High","Very high"))))))</f>
        <v/>
      </c>
    </row>
    <row r="6" customFormat="false" ht="15" hidden="false" customHeight="false" outlineLevel="0" collapsed="false">
      <c r="A6" s="8" t="s">
        <v>294</v>
      </c>
      <c r="B6" s="6" t="s">
        <v>291</v>
      </c>
      <c r="C6" s="6" t="n">
        <v>36</v>
      </c>
      <c r="D6" s="6" t="n">
        <v>85</v>
      </c>
      <c r="E6" s="6" t="n">
        <v>2</v>
      </c>
      <c r="F6" s="6" t="s">
        <v>30</v>
      </c>
      <c r="G6" s="6" t="s">
        <v>31</v>
      </c>
      <c r="H6" s="6" t="s">
        <v>25</v>
      </c>
      <c r="I6" s="6" t="s">
        <v>26</v>
      </c>
      <c r="J6" s="6" t="s">
        <v>27</v>
      </c>
      <c r="K6" s="6" t="n">
        <v>9</v>
      </c>
      <c r="L6" s="6" t="s">
        <v>37</v>
      </c>
      <c r="M6" s="6" t="s">
        <v>38</v>
      </c>
      <c r="N6" s="6"/>
      <c r="O6" s="9" t="n">
        <v>0</v>
      </c>
      <c r="P6" s="6" t="str">
        <f aca="false">IF(O6="","",IF(O6=0,"Healthy",IF(O6&lt;=5,"Very low",IF(O6&lt;=10,"Low",IF(O6&lt;=25,"Moderate",IF(O6&lt;=50,"High","Very high"))))))</f>
        <v>Healthy</v>
      </c>
    </row>
    <row r="7" customFormat="false" ht="15" hidden="false" customHeight="false" outlineLevel="0" collapsed="false">
      <c r="A7" s="8" t="s">
        <v>294</v>
      </c>
      <c r="B7" s="6" t="s">
        <v>291</v>
      </c>
      <c r="C7" s="6" t="n">
        <v>36</v>
      </c>
      <c r="D7" s="6" t="n">
        <v>94</v>
      </c>
      <c r="E7" s="6" t="n">
        <v>3</v>
      </c>
      <c r="F7" s="6" t="s">
        <v>34</v>
      </c>
      <c r="G7" s="6" t="s">
        <v>35</v>
      </c>
      <c r="H7" s="6" t="s">
        <v>36</v>
      </c>
      <c r="I7" s="6" t="s">
        <v>26</v>
      </c>
      <c r="J7" s="6" t="s">
        <v>27</v>
      </c>
      <c r="K7" s="6" t="n">
        <v>9</v>
      </c>
      <c r="L7" s="6" t="s">
        <v>42</v>
      </c>
      <c r="M7" s="6" t="s">
        <v>234</v>
      </c>
      <c r="N7" s="6"/>
      <c r="O7" s="9" t="n">
        <v>0</v>
      </c>
      <c r="P7" s="6" t="str">
        <f aca="false">IF(O7="","",IF(O7=0,"Healthy",IF(O7&lt;=5,"Very low",IF(O7&lt;=10,"Low",IF(O7&lt;=25,"Moderate",IF(O7&lt;=50,"High","Very high"))))))</f>
        <v>Healthy</v>
      </c>
    </row>
    <row r="8" customFormat="false" ht="15" hidden="false" customHeight="false" outlineLevel="0" collapsed="false">
      <c r="A8" s="8" t="s">
        <v>294</v>
      </c>
      <c r="B8" s="6" t="s">
        <v>291</v>
      </c>
      <c r="C8" s="6" t="n">
        <v>36</v>
      </c>
      <c r="D8" s="6" t="n">
        <v>76</v>
      </c>
      <c r="E8" s="6" t="n">
        <v>4</v>
      </c>
      <c r="F8" s="6" t="s">
        <v>39</v>
      </c>
      <c r="G8" s="6" t="s">
        <v>40</v>
      </c>
      <c r="H8" s="6" t="s">
        <v>41</v>
      </c>
      <c r="I8" s="6" t="s">
        <v>26</v>
      </c>
      <c r="J8" s="6" t="s">
        <v>27</v>
      </c>
      <c r="K8" s="6" t="n">
        <v>9</v>
      </c>
      <c r="L8" s="6" t="s">
        <v>235</v>
      </c>
      <c r="M8" s="6" t="s">
        <v>49</v>
      </c>
      <c r="N8" s="6"/>
      <c r="O8" s="9" t="n">
        <v>0</v>
      </c>
      <c r="P8" s="6" t="str">
        <f aca="false">IF(O8="","",IF(O8=0,"Healthy",IF(O8&lt;=5,"Very low",IF(O8&lt;=10,"Low",IF(O8&lt;=25,"Moderate",IF(O8&lt;=50,"High","Very high"))))))</f>
        <v>Healthy</v>
      </c>
    </row>
    <row r="9" customFormat="false" ht="15" hidden="false" customHeight="false" outlineLevel="0" collapsed="false">
      <c r="A9" s="8" t="s">
        <v>294</v>
      </c>
      <c r="B9" s="6" t="s">
        <v>291</v>
      </c>
      <c r="C9" s="6" t="n">
        <v>36</v>
      </c>
      <c r="D9" s="6" t="n">
        <v>94</v>
      </c>
      <c r="E9" s="6" t="n">
        <v>5</v>
      </c>
      <c r="F9" s="6" t="s">
        <v>44</v>
      </c>
      <c r="G9" s="6" t="s">
        <v>35</v>
      </c>
      <c r="H9" s="6" t="s">
        <v>25</v>
      </c>
      <c r="I9" s="6" t="s">
        <v>26</v>
      </c>
      <c r="J9" s="6" t="s">
        <v>27</v>
      </c>
      <c r="K9" s="6" t="n">
        <v>9</v>
      </c>
      <c r="L9" s="6" t="s">
        <v>176</v>
      </c>
      <c r="M9" s="6" t="s">
        <v>138</v>
      </c>
      <c r="N9" s="6"/>
      <c r="O9" s="9" t="n">
        <v>0</v>
      </c>
      <c r="P9" s="6" t="str">
        <f aca="false">IF(O9="","",IF(O9=0,"Healthy",IF(O9&lt;=5,"Very low",IF(O9&lt;=10,"Low",IF(O9&lt;=25,"Moderate",IF(O9&lt;=50,"High","Very high"))))))</f>
        <v>Healthy</v>
      </c>
    </row>
    <row r="10" customFormat="false" ht="15" hidden="false" customHeight="false" outlineLevel="0" collapsed="false">
      <c r="A10" s="8" t="s">
        <v>294</v>
      </c>
      <c r="B10" s="6" t="s">
        <v>291</v>
      </c>
      <c r="C10" s="6" t="n">
        <v>36</v>
      </c>
      <c r="D10" s="6" t="n">
        <v>94</v>
      </c>
      <c r="E10" s="6" t="n">
        <v>7</v>
      </c>
      <c r="F10" s="6" t="s">
        <v>175</v>
      </c>
      <c r="G10" s="6" t="s">
        <v>35</v>
      </c>
      <c r="H10" s="6" t="s">
        <v>41</v>
      </c>
      <c r="I10" s="6" t="s">
        <v>26</v>
      </c>
      <c r="J10" s="6" t="s">
        <v>27</v>
      </c>
      <c r="K10" s="6" t="n">
        <v>9</v>
      </c>
      <c r="L10" s="6" t="s">
        <v>190</v>
      </c>
      <c r="M10" s="6" t="s">
        <v>58</v>
      </c>
      <c r="N10" s="6"/>
      <c r="O10" s="9" t="n">
        <v>0</v>
      </c>
      <c r="P10" s="6" t="str">
        <f aca="false">IF(O10="","",IF(O10=0,"Healthy",IF(O10&lt;=5,"Very low",IF(O10&lt;=10,"Low",IF(O10&lt;=25,"Moderate",IF(O10&lt;=50,"High","Very high"))))))</f>
        <v>Healthy</v>
      </c>
    </row>
    <row r="11" customFormat="false" ht="15" hidden="false" customHeight="false" outlineLevel="0" collapsed="false">
      <c r="A11" s="8" t="s">
        <v>294</v>
      </c>
      <c r="B11" s="6" t="s">
        <v>291</v>
      </c>
      <c r="C11" s="6" t="n">
        <v>36</v>
      </c>
      <c r="D11" s="6" t="n">
        <v>85</v>
      </c>
      <c r="E11" s="6" t="n">
        <v>8</v>
      </c>
      <c r="F11" s="6" t="s">
        <v>50</v>
      </c>
      <c r="G11" s="6" t="s">
        <v>31</v>
      </c>
      <c r="H11" s="6" t="s">
        <v>36</v>
      </c>
      <c r="I11" s="6" t="s">
        <v>26</v>
      </c>
      <c r="J11" s="6" t="s">
        <v>27</v>
      </c>
      <c r="K11" s="6" t="n">
        <v>9</v>
      </c>
      <c r="L11" s="6" t="s">
        <v>60</v>
      </c>
      <c r="M11" s="6" t="s">
        <v>64</v>
      </c>
      <c r="N11" s="6"/>
      <c r="O11" s="9" t="n">
        <v>0</v>
      </c>
      <c r="P11" s="6" t="str">
        <f aca="false">IF(O11="","",IF(O11=0,"Healthy",IF(O11&lt;=5,"Very low",IF(O11&lt;=10,"Low",IF(O11&lt;=25,"Moderate",IF(O11&lt;=50,"High","Very high"))))))</f>
        <v>Healthy</v>
      </c>
    </row>
    <row r="12" customFormat="false" ht="15" hidden="false" customHeight="false" outlineLevel="0" collapsed="false">
      <c r="A12" s="8" t="s">
        <v>294</v>
      </c>
      <c r="B12" s="6" t="s">
        <v>291</v>
      </c>
      <c r="C12" s="6" t="n">
        <v>36</v>
      </c>
      <c r="D12" s="6" t="n">
        <v>85</v>
      </c>
      <c r="E12" s="6" t="n">
        <v>9</v>
      </c>
      <c r="F12" s="6" t="s">
        <v>53</v>
      </c>
      <c r="G12" s="6" t="s">
        <v>31</v>
      </c>
      <c r="H12" s="6" t="s">
        <v>41</v>
      </c>
      <c r="I12" s="6" t="s">
        <v>26</v>
      </c>
      <c r="J12" s="6" t="s">
        <v>27</v>
      </c>
      <c r="K12" s="6" t="n">
        <v>9</v>
      </c>
      <c r="L12" s="6" t="s">
        <v>67</v>
      </c>
      <c r="M12" s="6" t="s">
        <v>236</v>
      </c>
      <c r="N12" s="6"/>
      <c r="O12" s="9" t="n">
        <v>0</v>
      </c>
      <c r="P12" s="6" t="str">
        <f aca="false">IF(O12="","",IF(O12=0,"Healthy",IF(O12&lt;=5,"Very low",IF(O12&lt;=10,"Low",IF(O12&lt;=25,"Moderate",IF(O12&lt;=50,"High","Very high"))))))</f>
        <v>Healthy</v>
      </c>
    </row>
    <row r="13" customFormat="false" ht="15" hidden="false" customHeight="false" outlineLevel="0" collapsed="false">
      <c r="A13" s="8" t="s">
        <v>294</v>
      </c>
      <c r="B13" s="6" t="s">
        <v>291</v>
      </c>
      <c r="C13" s="6" t="n">
        <v>36</v>
      </c>
      <c r="D13" s="6" t="n">
        <v>76</v>
      </c>
      <c r="E13" s="6" t="n">
        <v>10</v>
      </c>
      <c r="F13" s="6" t="s">
        <v>56</v>
      </c>
      <c r="G13" s="6" t="s">
        <v>40</v>
      </c>
      <c r="H13" s="6" t="s">
        <v>36</v>
      </c>
      <c r="I13" s="6" t="s">
        <v>26</v>
      </c>
      <c r="J13" s="6" t="s">
        <v>27</v>
      </c>
      <c r="K13" s="6" t="n">
        <v>9</v>
      </c>
      <c r="L13" s="6" t="s">
        <v>237</v>
      </c>
      <c r="M13" s="6" t="s">
        <v>143</v>
      </c>
      <c r="N13" s="6"/>
      <c r="O13" s="9" t="n">
        <v>0</v>
      </c>
      <c r="P13" s="6" t="str">
        <f aca="false">IF(O13="","",IF(O13=0,"Healthy",IF(O13&lt;=5,"Very low",IF(O13&lt;=10,"Low",IF(O13&lt;=25,"Moderate",IF(O13&lt;=50,"High","Very high"))))))</f>
        <v>Healthy</v>
      </c>
    </row>
    <row r="14" customFormat="false" ht="15" hidden="false" customHeight="false" outlineLevel="0" collapsed="false">
      <c r="A14" s="8" t="s">
        <v>294</v>
      </c>
      <c r="B14" s="6" t="s">
        <v>291</v>
      </c>
      <c r="C14" s="6" t="n">
        <v>36</v>
      </c>
      <c r="D14" s="6" t="n">
        <v>76</v>
      </c>
      <c r="E14" s="6" t="n">
        <v>11</v>
      </c>
      <c r="F14" s="6" t="s">
        <v>59</v>
      </c>
      <c r="G14" s="6" t="s">
        <v>40</v>
      </c>
      <c r="H14" s="6" t="s">
        <v>25</v>
      </c>
      <c r="I14" s="6" t="s">
        <v>26</v>
      </c>
      <c r="J14" s="6" t="s">
        <v>27</v>
      </c>
      <c r="K14" s="6" t="n">
        <v>9</v>
      </c>
      <c r="L14" s="6" t="s">
        <v>191</v>
      </c>
      <c r="M14" s="6" t="s">
        <v>238</v>
      </c>
      <c r="N14" s="6"/>
      <c r="O14" s="9" t="n">
        <v>0</v>
      </c>
      <c r="P14" s="6" t="str">
        <f aca="false">IF(O14="","",IF(O14=0,"Healthy",IF(O14&lt;=5,"Very low",IF(O14&lt;=10,"Low",IF(O14&lt;=25,"Moderate",IF(O14&lt;=50,"High","Very high"))))))</f>
        <v>Healthy</v>
      </c>
    </row>
    <row r="15" customFormat="false" ht="15" hidden="false" customHeight="false" outlineLevel="0" collapsed="false">
      <c r="A15" s="8" t="s">
        <v>294</v>
      </c>
      <c r="B15" s="6" t="s">
        <v>291</v>
      </c>
      <c r="C15" s="6" t="n">
        <v>36</v>
      </c>
      <c r="D15" s="6" t="n">
        <v>94</v>
      </c>
      <c r="E15" s="6" t="n">
        <v>13</v>
      </c>
      <c r="F15" s="6" t="s">
        <v>44</v>
      </c>
      <c r="G15" s="6" t="s">
        <v>35</v>
      </c>
      <c r="H15" s="6" t="s">
        <v>25</v>
      </c>
      <c r="I15" s="6" t="s">
        <v>65</v>
      </c>
      <c r="J15" s="6" t="s">
        <v>66</v>
      </c>
      <c r="K15" s="6" t="n">
        <v>15</v>
      </c>
      <c r="L15" s="6" t="s">
        <v>28</v>
      </c>
      <c r="M15" s="6" t="s">
        <v>184</v>
      </c>
      <c r="N15" s="6" t="s">
        <v>297</v>
      </c>
      <c r="O15" s="9"/>
      <c r="P15" s="6" t="str">
        <f aca="false">IF(O15="","",IF(O15=0,"Healthy",IF(O15&lt;=5,"Very low",IF(O15&lt;=10,"Low",IF(O15&lt;=25,"Moderate",IF(O15&lt;=50,"High","Very high"))))))</f>
        <v/>
      </c>
    </row>
    <row r="16" customFormat="false" ht="15" hidden="false" customHeight="false" outlineLevel="0" collapsed="false">
      <c r="A16" s="8" t="s">
        <v>294</v>
      </c>
      <c r="B16" s="6" t="s">
        <v>291</v>
      </c>
      <c r="C16" s="6" t="n">
        <v>36</v>
      </c>
      <c r="D16" s="6" t="n">
        <v>76</v>
      </c>
      <c r="E16" s="6" t="n">
        <v>15</v>
      </c>
      <c r="F16" s="6" t="s">
        <v>39</v>
      </c>
      <c r="G16" s="6" t="s">
        <v>40</v>
      </c>
      <c r="H16" s="6" t="s">
        <v>41</v>
      </c>
      <c r="I16" s="6" t="s">
        <v>65</v>
      </c>
      <c r="J16" s="6" t="s">
        <v>66</v>
      </c>
      <c r="K16" s="6" t="n">
        <v>15</v>
      </c>
      <c r="L16" s="6" t="s">
        <v>242</v>
      </c>
      <c r="M16" s="6" t="s">
        <v>81</v>
      </c>
      <c r="N16" s="6"/>
      <c r="O16" s="9"/>
      <c r="P16" s="6" t="str">
        <f aca="false">IF(O16="","",IF(O16=0,"Healthy",IF(O16&lt;=5,"Very low",IF(O16&lt;=10,"Low",IF(O16&lt;=25,"Moderate",IF(O16&lt;=50,"High","Very high"))))))</f>
        <v/>
      </c>
    </row>
    <row r="17" customFormat="false" ht="15" hidden="false" customHeight="false" outlineLevel="0" collapsed="false">
      <c r="A17" s="8" t="s">
        <v>294</v>
      </c>
      <c r="B17" s="6" t="s">
        <v>291</v>
      </c>
      <c r="C17" s="6" t="n">
        <v>36</v>
      </c>
      <c r="D17" s="6" t="n">
        <v>85</v>
      </c>
      <c r="E17" s="6" t="n">
        <v>16</v>
      </c>
      <c r="F17" s="6" t="s">
        <v>50</v>
      </c>
      <c r="G17" s="6" t="s">
        <v>31</v>
      </c>
      <c r="H17" s="6" t="s">
        <v>36</v>
      </c>
      <c r="I17" s="6" t="s">
        <v>65</v>
      </c>
      <c r="J17" s="6" t="s">
        <v>66</v>
      </c>
      <c r="K17" s="6" t="n">
        <v>15</v>
      </c>
      <c r="L17" s="6" t="s">
        <v>243</v>
      </c>
      <c r="M17" s="6" t="s">
        <v>85</v>
      </c>
      <c r="N17" s="6"/>
      <c r="O17" s="9"/>
      <c r="P17" s="6" t="str">
        <f aca="false">IF(O17="","",IF(O17=0,"Healthy",IF(O17&lt;=5,"Very low",IF(O17&lt;=10,"Low",IF(O17&lt;=25,"Moderate",IF(O17&lt;=50,"High","Very high"))))))</f>
        <v/>
      </c>
    </row>
    <row r="18" customFormat="false" ht="15" hidden="false" customHeight="false" outlineLevel="0" collapsed="false">
      <c r="A18" s="8" t="s">
        <v>294</v>
      </c>
      <c r="B18" s="6" t="s">
        <v>291</v>
      </c>
      <c r="C18" s="6" t="n">
        <v>36</v>
      </c>
      <c r="D18" s="6" t="n">
        <v>76</v>
      </c>
      <c r="E18" s="6" t="n">
        <v>17</v>
      </c>
      <c r="F18" s="6" t="s">
        <v>59</v>
      </c>
      <c r="G18" s="6" t="s">
        <v>40</v>
      </c>
      <c r="H18" s="6" t="s">
        <v>25</v>
      </c>
      <c r="I18" s="6" t="s">
        <v>65</v>
      </c>
      <c r="J18" s="6" t="s">
        <v>66</v>
      </c>
      <c r="K18" s="6" t="n">
        <v>15</v>
      </c>
      <c r="L18" s="6" t="s">
        <v>244</v>
      </c>
      <c r="M18" s="6" t="s">
        <v>245</v>
      </c>
      <c r="N18" s="6"/>
      <c r="O18" s="9"/>
      <c r="P18" s="6" t="str">
        <f aca="false">IF(O18="","",IF(O18=0,"Healthy",IF(O18&lt;=5,"Very low",IF(O18&lt;=10,"Low",IF(O18&lt;=25,"Moderate",IF(O18&lt;=50,"High","Very high"))))))</f>
        <v/>
      </c>
    </row>
    <row r="19" customFormat="false" ht="15" hidden="false" customHeight="false" outlineLevel="0" collapsed="false">
      <c r="A19" s="8" t="s">
        <v>294</v>
      </c>
      <c r="B19" s="6" t="s">
        <v>291</v>
      </c>
      <c r="C19" s="6" t="n">
        <v>36</v>
      </c>
      <c r="D19" s="6" t="n">
        <v>85</v>
      </c>
      <c r="E19" s="6" t="n">
        <v>19</v>
      </c>
      <c r="F19" s="6" t="s">
        <v>30</v>
      </c>
      <c r="G19" s="6" t="s">
        <v>31</v>
      </c>
      <c r="H19" s="6" t="s">
        <v>25</v>
      </c>
      <c r="I19" s="6" t="s">
        <v>65</v>
      </c>
      <c r="J19" s="6" t="s">
        <v>66</v>
      </c>
      <c r="K19" s="6" t="n">
        <v>15</v>
      </c>
      <c r="L19" s="6" t="s">
        <v>248</v>
      </c>
      <c r="M19" s="6" t="s">
        <v>249</v>
      </c>
      <c r="N19" s="6"/>
      <c r="O19" s="9"/>
      <c r="P19" s="6" t="str">
        <f aca="false">IF(O19="","",IF(O19=0,"Healthy",IF(O19&lt;=5,"Very low",IF(O19&lt;=10,"Low",IF(O19&lt;=25,"Moderate",IF(O19&lt;=50,"High","Very high"))))))</f>
        <v/>
      </c>
    </row>
    <row r="20" customFormat="false" ht="15" hidden="false" customHeight="false" outlineLevel="0" collapsed="false">
      <c r="A20" s="8" t="s">
        <v>294</v>
      </c>
      <c r="B20" s="6" t="s">
        <v>291</v>
      </c>
      <c r="C20" s="6" t="n">
        <v>36</v>
      </c>
      <c r="D20" s="6" t="n">
        <v>76</v>
      </c>
      <c r="E20" s="6" t="n">
        <v>21</v>
      </c>
      <c r="F20" s="6" t="s">
        <v>56</v>
      </c>
      <c r="G20" s="6" t="s">
        <v>40</v>
      </c>
      <c r="H20" s="6" t="s">
        <v>36</v>
      </c>
      <c r="I20" s="6" t="s">
        <v>65</v>
      </c>
      <c r="J20" s="6" t="s">
        <v>66</v>
      </c>
      <c r="K20" s="6" t="n">
        <v>15</v>
      </c>
      <c r="L20" s="6" t="s">
        <v>251</v>
      </c>
      <c r="M20" s="6" t="s">
        <v>252</v>
      </c>
      <c r="N20" s="6"/>
      <c r="O20" s="9"/>
      <c r="P20" s="6" t="str">
        <f aca="false">IF(O20="","",IF(O20=0,"Healthy",IF(O20&lt;=5,"Very low",IF(O20&lt;=10,"Low",IF(O20&lt;=25,"Moderate",IF(O20&lt;=50,"High","Very high"))))))</f>
        <v/>
      </c>
    </row>
    <row r="21" customFormat="false" ht="15" hidden="false" customHeight="false" outlineLevel="0" collapsed="false">
      <c r="A21" s="8" t="s">
        <v>294</v>
      </c>
      <c r="B21" s="6" t="s">
        <v>291</v>
      </c>
      <c r="C21" s="6" t="n">
        <v>36</v>
      </c>
      <c r="D21" s="6" t="n">
        <v>85</v>
      </c>
      <c r="E21" s="6" t="n">
        <v>22</v>
      </c>
      <c r="F21" s="6" t="s">
        <v>53</v>
      </c>
      <c r="G21" s="6" t="s">
        <v>31</v>
      </c>
      <c r="H21" s="6" t="s">
        <v>41</v>
      </c>
      <c r="I21" s="6" t="s">
        <v>65</v>
      </c>
      <c r="J21" s="6" t="s">
        <v>66</v>
      </c>
      <c r="K21" s="6" t="n">
        <v>15</v>
      </c>
      <c r="L21" s="6" t="s">
        <v>253</v>
      </c>
      <c r="M21" s="6" t="s">
        <v>254</v>
      </c>
      <c r="N21" s="6"/>
      <c r="O21" s="9"/>
      <c r="P21" s="6" t="str">
        <f aca="false">IF(O21="","",IF(O21=0,"Healthy",IF(O21&lt;=5,"Very low",IF(O21&lt;=10,"Low",IF(O21&lt;=25,"Moderate",IF(O21&lt;=50,"High","Very high"))))))</f>
        <v/>
      </c>
    </row>
    <row r="22" customFormat="false" ht="15" hidden="false" customHeight="false" outlineLevel="0" collapsed="false">
      <c r="A22" s="8" t="s">
        <v>294</v>
      </c>
      <c r="B22" s="6" t="s">
        <v>291</v>
      </c>
      <c r="C22" s="6" t="n">
        <v>36</v>
      </c>
      <c r="D22" s="6" t="n">
        <v>94</v>
      </c>
      <c r="E22" s="6" t="n">
        <v>23</v>
      </c>
      <c r="F22" s="6" t="s">
        <v>34</v>
      </c>
      <c r="G22" s="6" t="s">
        <v>35</v>
      </c>
      <c r="H22" s="6" t="s">
        <v>36</v>
      </c>
      <c r="I22" s="6" t="s">
        <v>65</v>
      </c>
      <c r="J22" s="6" t="s">
        <v>66</v>
      </c>
      <c r="K22" s="6" t="n">
        <v>15</v>
      </c>
      <c r="L22" s="6" t="s">
        <v>255</v>
      </c>
      <c r="M22" s="6" t="s">
        <v>103</v>
      </c>
      <c r="N22" s="6"/>
      <c r="O22" s="9"/>
      <c r="P22" s="6" t="str">
        <f aca="false">IF(O22="","",IF(O22=0,"Healthy",IF(O22&lt;=5,"Very low",IF(O22&lt;=10,"Low",IF(O22&lt;=25,"Moderate",IF(O22&lt;=50,"High","Very high"))))))</f>
        <v/>
      </c>
    </row>
    <row r="23" customFormat="false" ht="15" hidden="false" customHeight="false" outlineLevel="0" collapsed="false">
      <c r="A23" s="8" t="s">
        <v>294</v>
      </c>
      <c r="B23" s="6" t="s">
        <v>291</v>
      </c>
      <c r="C23" s="6" t="n">
        <v>36</v>
      </c>
      <c r="D23" s="6" t="n">
        <v>94</v>
      </c>
      <c r="E23" s="6" t="n">
        <v>24</v>
      </c>
      <c r="F23" s="6" t="s">
        <v>175</v>
      </c>
      <c r="G23" s="6" t="s">
        <v>35</v>
      </c>
      <c r="H23" s="6" t="s">
        <v>41</v>
      </c>
      <c r="I23" s="6" t="s">
        <v>65</v>
      </c>
      <c r="J23" s="6" t="s">
        <v>66</v>
      </c>
      <c r="K23" s="6" t="n">
        <v>15</v>
      </c>
      <c r="L23" s="6" t="s">
        <v>104</v>
      </c>
      <c r="M23" s="6" t="s">
        <v>107</v>
      </c>
      <c r="N23" s="6"/>
      <c r="O23" s="9"/>
      <c r="P23" s="6" t="str">
        <f aca="false">IF(O23="","",IF(O23=0,"Healthy",IF(O23&lt;=5,"Very low",IF(O23&lt;=10,"Low",IF(O23&lt;=25,"Moderate",IF(O23&lt;=50,"High","Very high"))))))</f>
        <v/>
      </c>
    </row>
    <row r="24" customFormat="false" ht="15" hidden="false" customHeight="false" outlineLevel="0" collapsed="false">
      <c r="A24" s="8" t="s">
        <v>294</v>
      </c>
      <c r="B24" s="6" t="s">
        <v>291</v>
      </c>
      <c r="C24" s="6" t="n">
        <v>36</v>
      </c>
      <c r="D24" s="6" t="n">
        <v>94</v>
      </c>
      <c r="E24" s="6" t="n">
        <v>25</v>
      </c>
      <c r="F24" s="6" t="s">
        <v>34</v>
      </c>
      <c r="G24" s="6" t="s">
        <v>35</v>
      </c>
      <c r="H24" s="6" t="s">
        <v>36</v>
      </c>
      <c r="I24" s="6" t="s">
        <v>89</v>
      </c>
      <c r="J24" s="6" t="s">
        <v>66</v>
      </c>
      <c r="K24" s="6" t="n">
        <v>15</v>
      </c>
      <c r="L24" s="6" t="s">
        <v>179</v>
      </c>
      <c r="M24" s="6" t="s">
        <v>180</v>
      </c>
      <c r="N24" s="6"/>
      <c r="O24" s="9"/>
      <c r="P24" s="6" t="str">
        <f aca="false">IF(O24="","",IF(O24=0,"Healthy",IF(O24&lt;=5,"Very low",IF(O24&lt;=10,"Low",IF(O24&lt;=25,"Moderate",IF(O24&lt;=50,"High","Very high"))))))</f>
        <v/>
      </c>
    </row>
    <row r="25" customFormat="false" ht="15" hidden="false" customHeight="false" outlineLevel="0" collapsed="false">
      <c r="A25" s="8" t="s">
        <v>294</v>
      </c>
      <c r="B25" s="6" t="s">
        <v>291</v>
      </c>
      <c r="C25" s="6" t="n">
        <v>36</v>
      </c>
      <c r="D25" s="6" t="n">
        <v>85</v>
      </c>
      <c r="E25" s="6" t="n">
        <v>27</v>
      </c>
      <c r="F25" s="6" t="s">
        <v>50</v>
      </c>
      <c r="G25" s="6" t="s">
        <v>31</v>
      </c>
      <c r="H25" s="6" t="s">
        <v>36</v>
      </c>
      <c r="I25" s="6" t="s">
        <v>89</v>
      </c>
      <c r="J25" s="6" t="s">
        <v>66</v>
      </c>
      <c r="K25" s="6" t="n">
        <v>15</v>
      </c>
      <c r="L25" s="6" t="s">
        <v>257</v>
      </c>
      <c r="M25" s="6" t="s">
        <v>114</v>
      </c>
      <c r="N25" s="6"/>
      <c r="O25" s="9"/>
      <c r="P25" s="6" t="str">
        <f aca="false">IF(O25="","",IF(O25=0,"Healthy",IF(O25&lt;=5,"Very low",IF(O25&lt;=10,"Low",IF(O25&lt;=25,"Moderate",IF(O25&lt;=50,"High","Very high"))))))</f>
        <v/>
      </c>
    </row>
    <row r="26" customFormat="false" ht="15" hidden="false" customHeight="false" outlineLevel="0" collapsed="false">
      <c r="A26" s="8" t="s">
        <v>294</v>
      </c>
      <c r="B26" s="6" t="s">
        <v>291</v>
      </c>
      <c r="C26" s="6" t="n">
        <v>36</v>
      </c>
      <c r="D26" s="6" t="n">
        <v>76</v>
      </c>
      <c r="E26" s="6" t="n">
        <v>29</v>
      </c>
      <c r="F26" s="6" t="s">
        <v>56</v>
      </c>
      <c r="G26" s="6" t="s">
        <v>40</v>
      </c>
      <c r="H26" s="6" t="s">
        <v>36</v>
      </c>
      <c r="I26" s="6" t="s">
        <v>89</v>
      </c>
      <c r="J26" s="6" t="s">
        <v>66</v>
      </c>
      <c r="K26" s="6" t="n">
        <v>15</v>
      </c>
      <c r="L26" s="6" t="s">
        <v>117</v>
      </c>
      <c r="M26" s="6" t="s">
        <v>258</v>
      </c>
      <c r="N26" s="6"/>
      <c r="O26" s="9"/>
      <c r="P26" s="6" t="str">
        <f aca="false">IF(O26="","",IF(O26=0,"Healthy",IF(O26&lt;=5,"Very low",IF(O26&lt;=10,"Low",IF(O26&lt;=25,"Moderate",IF(O26&lt;=50,"High","Very high"))))))</f>
        <v/>
      </c>
    </row>
    <row r="27" customFormat="false" ht="15" hidden="false" customHeight="false" outlineLevel="0" collapsed="false">
      <c r="A27" s="8" t="s">
        <v>294</v>
      </c>
      <c r="B27" s="6" t="s">
        <v>291</v>
      </c>
      <c r="C27" s="6" t="n">
        <v>36</v>
      </c>
      <c r="D27" s="6" t="n">
        <v>94</v>
      </c>
      <c r="E27" s="6" t="n">
        <v>30</v>
      </c>
      <c r="F27" s="6" t="s">
        <v>44</v>
      </c>
      <c r="G27" s="6" t="s">
        <v>35</v>
      </c>
      <c r="H27" s="6" t="s">
        <v>25</v>
      </c>
      <c r="I27" s="6" t="s">
        <v>89</v>
      </c>
      <c r="J27" s="6" t="s">
        <v>66</v>
      </c>
      <c r="K27" s="6" t="n">
        <v>15</v>
      </c>
      <c r="L27" s="6" t="s">
        <v>259</v>
      </c>
      <c r="M27" s="6" t="s">
        <v>260</v>
      </c>
      <c r="N27" s="6"/>
      <c r="O27" s="9"/>
      <c r="P27" s="6" t="str">
        <f aca="false">IF(O27="","",IF(O27=0,"Healthy",IF(O27&lt;=5,"Very low",IF(O27&lt;=10,"Low",IF(O27&lt;=25,"Moderate",IF(O27&lt;=50,"High","Very high"))))))</f>
        <v/>
      </c>
    </row>
    <row r="28" customFormat="false" ht="15" hidden="false" customHeight="false" outlineLevel="0" collapsed="false">
      <c r="A28" s="8" t="s">
        <v>294</v>
      </c>
      <c r="B28" s="6" t="s">
        <v>291</v>
      </c>
      <c r="C28" s="6" t="n">
        <v>36</v>
      </c>
      <c r="D28" s="6" t="n">
        <v>85</v>
      </c>
      <c r="E28" s="6" t="n">
        <v>31</v>
      </c>
      <c r="F28" s="6" t="s">
        <v>53</v>
      </c>
      <c r="G28" s="6" t="s">
        <v>31</v>
      </c>
      <c r="H28" s="6" t="s">
        <v>41</v>
      </c>
      <c r="I28" s="6" t="s">
        <v>89</v>
      </c>
      <c r="J28" s="6" t="s">
        <v>66</v>
      </c>
      <c r="K28" s="6" t="n">
        <v>15</v>
      </c>
      <c r="L28" s="6" t="s">
        <v>261</v>
      </c>
      <c r="M28" s="6" t="s">
        <v>262</v>
      </c>
      <c r="N28" s="6"/>
      <c r="O28" s="9"/>
      <c r="P28" s="6" t="str">
        <f aca="false">IF(O28="","",IF(O28=0,"Healthy",IF(O28&lt;=5,"Very low",IF(O28&lt;=10,"Low",IF(O28&lt;=25,"Moderate",IF(O28&lt;=50,"High","Very high"))))))</f>
        <v/>
      </c>
    </row>
    <row r="29" customFormat="false" ht="15" hidden="false" customHeight="false" outlineLevel="0" collapsed="false">
      <c r="A29" s="8" t="s">
        <v>294</v>
      </c>
      <c r="B29" s="6" t="s">
        <v>291</v>
      </c>
      <c r="C29" s="6" t="n">
        <v>36</v>
      </c>
      <c r="D29" s="6" t="n">
        <v>76</v>
      </c>
      <c r="E29" s="6" t="n">
        <v>32</v>
      </c>
      <c r="F29" s="6" t="s">
        <v>59</v>
      </c>
      <c r="G29" s="6" t="s">
        <v>40</v>
      </c>
      <c r="H29" s="6" t="s">
        <v>25</v>
      </c>
      <c r="I29" s="6" t="s">
        <v>89</v>
      </c>
      <c r="J29" s="6" t="s">
        <v>66</v>
      </c>
      <c r="K29" s="6" t="n">
        <v>15</v>
      </c>
      <c r="L29" s="6" t="s">
        <v>263</v>
      </c>
      <c r="M29" s="6" t="s">
        <v>124</v>
      </c>
      <c r="N29" s="6"/>
      <c r="O29" s="9"/>
      <c r="P29" s="6" t="str">
        <f aca="false">IF(O29="","",IF(O29=0,"Healthy",IF(O29&lt;=5,"Very low",IF(O29&lt;=10,"Low",IF(O29&lt;=25,"Moderate",IF(O29&lt;=50,"High","Very high"))))))</f>
        <v/>
      </c>
    </row>
    <row r="30" customFormat="false" ht="15" hidden="false" customHeight="false" outlineLevel="0" collapsed="false">
      <c r="A30" s="8" t="s">
        <v>294</v>
      </c>
      <c r="B30" s="6" t="s">
        <v>291</v>
      </c>
      <c r="C30" s="6" t="n">
        <v>36</v>
      </c>
      <c r="D30" s="6" t="n">
        <v>94</v>
      </c>
      <c r="E30" s="6" t="n">
        <v>34</v>
      </c>
      <c r="F30" s="6" t="s">
        <v>175</v>
      </c>
      <c r="G30" s="6" t="s">
        <v>35</v>
      </c>
      <c r="H30" s="6" t="s">
        <v>41</v>
      </c>
      <c r="I30" s="6" t="s">
        <v>89</v>
      </c>
      <c r="J30" s="6" t="s">
        <v>66</v>
      </c>
      <c r="K30" s="6" t="n">
        <v>15</v>
      </c>
      <c r="L30" s="6" t="s">
        <v>185</v>
      </c>
      <c r="M30" s="6" t="s">
        <v>186</v>
      </c>
      <c r="N30" s="6" t="s">
        <v>297</v>
      </c>
      <c r="O30" s="9"/>
      <c r="P30" s="6" t="str">
        <f aca="false">IF(O30="","",IF(O30=0,"Healthy",IF(O30&lt;=5,"Very low",IF(O30&lt;=10,"Low",IF(O30&lt;=25,"Moderate",IF(O30&lt;=50,"High","Very high"))))))</f>
        <v/>
      </c>
    </row>
    <row r="31" customFormat="false" ht="15" hidden="false" customHeight="false" outlineLevel="0" collapsed="false">
      <c r="A31" s="8" t="s">
        <v>294</v>
      </c>
      <c r="B31" s="6" t="s">
        <v>291</v>
      </c>
      <c r="C31" s="6" t="n">
        <v>36</v>
      </c>
      <c r="D31" s="6" t="n">
        <v>85</v>
      </c>
      <c r="E31" s="6" t="n">
        <v>35</v>
      </c>
      <c r="F31" s="6" t="s">
        <v>30</v>
      </c>
      <c r="G31" s="6" t="s">
        <v>31</v>
      </c>
      <c r="H31" s="6" t="s">
        <v>25</v>
      </c>
      <c r="I31" s="6" t="s">
        <v>89</v>
      </c>
      <c r="J31" s="6" t="s">
        <v>66</v>
      </c>
      <c r="K31" s="6" t="n">
        <v>15</v>
      </c>
      <c r="L31" s="6" t="s">
        <v>129</v>
      </c>
      <c r="M31" s="6" t="s">
        <v>264</v>
      </c>
      <c r="N31" s="6"/>
      <c r="O31" s="9"/>
      <c r="P31" s="6" t="str">
        <f aca="false">IF(O31="","",IF(O31=0,"Healthy",IF(O31&lt;=5,"Very low",IF(O31&lt;=10,"Low",IF(O31&lt;=25,"Moderate",IF(O31&lt;=50,"High","Very high"))))))</f>
        <v/>
      </c>
    </row>
    <row r="32" customFormat="false" ht="15" hidden="false" customHeight="false" outlineLevel="0" collapsed="false">
      <c r="A32" s="8" t="s">
        <v>294</v>
      </c>
      <c r="B32" s="6" t="s">
        <v>291</v>
      </c>
      <c r="C32" s="6" t="n">
        <v>36</v>
      </c>
      <c r="D32" s="6" t="n">
        <v>76</v>
      </c>
      <c r="E32" s="6" t="n">
        <v>36</v>
      </c>
      <c r="F32" s="6" t="s">
        <v>39</v>
      </c>
      <c r="G32" s="6" t="s">
        <v>40</v>
      </c>
      <c r="H32" s="6" t="s">
        <v>41</v>
      </c>
      <c r="I32" s="6" t="s">
        <v>89</v>
      </c>
      <c r="J32" s="6" t="s">
        <v>66</v>
      </c>
      <c r="K32" s="6" t="n">
        <v>15</v>
      </c>
      <c r="L32" s="6" t="s">
        <v>295</v>
      </c>
      <c r="M32" s="6" t="s">
        <v>296</v>
      </c>
      <c r="N32" s="6"/>
      <c r="O32" s="9"/>
      <c r="P32" s="6" t="str">
        <f aca="false">IF(O32="","",IF(O32=0,"Healthy",IF(O32&lt;=5,"Very low",IF(O32&lt;=10,"Low",IF(O32&lt;=25,"Moderate",IF(O32&lt;=50,"High","Very high"))))))</f>
        <v/>
      </c>
    </row>
    <row r="33" customFormat="false" ht="15" hidden="false" customHeight="false" outlineLevel="0" collapsed="false">
      <c r="A33" s="8" t="s">
        <v>294</v>
      </c>
      <c r="B33" s="6" t="s">
        <v>291</v>
      </c>
      <c r="C33" s="6" t="n">
        <v>36</v>
      </c>
      <c r="D33" s="6" t="n">
        <v>76</v>
      </c>
      <c r="E33" s="6" t="n">
        <v>37</v>
      </c>
      <c r="F33" s="6" t="s">
        <v>39</v>
      </c>
      <c r="G33" s="6" t="s">
        <v>40</v>
      </c>
      <c r="H33" s="6" t="s">
        <v>41</v>
      </c>
      <c r="I33" s="6" t="s">
        <v>112</v>
      </c>
      <c r="J33" s="6" t="s">
        <v>66</v>
      </c>
      <c r="K33" s="6" t="n">
        <v>15</v>
      </c>
      <c r="L33" s="6" t="s">
        <v>265</v>
      </c>
      <c r="M33" s="6" t="s">
        <v>266</v>
      </c>
      <c r="N33" s="6"/>
      <c r="O33" s="9"/>
      <c r="P33" s="6" t="str">
        <f aca="false">IF(O33="","",IF(O33=0,"Healthy",IF(O33&lt;=5,"Very low",IF(O33&lt;=10,"Low",IF(O33&lt;=25,"Moderate",IF(O33&lt;=50,"High","Very high"))))))</f>
        <v/>
      </c>
    </row>
    <row r="34" customFormat="false" ht="15" hidden="false" customHeight="false" outlineLevel="0" collapsed="false">
      <c r="A34" s="8" t="s">
        <v>294</v>
      </c>
      <c r="B34" s="6" t="s">
        <v>291</v>
      </c>
      <c r="C34" s="6" t="n">
        <v>36</v>
      </c>
      <c r="D34" s="6" t="n">
        <v>94</v>
      </c>
      <c r="E34" s="6" t="n">
        <v>38</v>
      </c>
      <c r="F34" s="6" t="s">
        <v>34</v>
      </c>
      <c r="G34" s="6" t="s">
        <v>35</v>
      </c>
      <c r="H34" s="6" t="s">
        <v>36</v>
      </c>
      <c r="I34" s="6" t="s">
        <v>112</v>
      </c>
      <c r="J34" s="6" t="s">
        <v>66</v>
      </c>
      <c r="K34" s="6" t="n">
        <v>15</v>
      </c>
      <c r="L34" s="6" t="s">
        <v>187</v>
      </c>
      <c r="M34" s="6" t="s">
        <v>138</v>
      </c>
      <c r="N34" s="6" t="s">
        <v>297</v>
      </c>
      <c r="O34" s="9"/>
      <c r="P34" s="6" t="str">
        <f aca="false">IF(O34="","",IF(O34=0,"Healthy",IF(O34&lt;=5,"Very low",IF(O34&lt;=10,"Low",IF(O34&lt;=25,"Moderate",IF(O34&lt;=50,"High","Very high"))))))</f>
        <v/>
      </c>
    </row>
    <row r="35" customFormat="false" ht="15" hidden="false" customHeight="false" outlineLevel="0" collapsed="false">
      <c r="A35" s="8" t="s">
        <v>294</v>
      </c>
      <c r="B35" s="6" t="s">
        <v>291</v>
      </c>
      <c r="C35" s="6" t="n">
        <v>36</v>
      </c>
      <c r="D35" s="6" t="n">
        <v>85</v>
      </c>
      <c r="E35" s="6" t="n">
        <v>39</v>
      </c>
      <c r="F35" s="6" t="s">
        <v>30</v>
      </c>
      <c r="G35" s="6" t="s">
        <v>31</v>
      </c>
      <c r="H35" s="6" t="s">
        <v>25</v>
      </c>
      <c r="I35" s="6" t="s">
        <v>112</v>
      </c>
      <c r="J35" s="6" t="s">
        <v>66</v>
      </c>
      <c r="K35" s="6" t="n">
        <v>15</v>
      </c>
      <c r="L35" s="6" t="s">
        <v>267</v>
      </c>
      <c r="M35" s="6" t="s">
        <v>268</v>
      </c>
      <c r="N35" s="6"/>
      <c r="O35" s="9"/>
      <c r="P35" s="6" t="str">
        <f aca="false">IF(O35="","",IF(O35=0,"Healthy",IF(O35&lt;=5,"Very low",IF(O35&lt;=10,"Low",IF(O35&lt;=25,"Moderate",IF(O35&lt;=50,"High","Very high"))))))</f>
        <v/>
      </c>
    </row>
    <row r="36" customFormat="false" ht="15" hidden="false" customHeight="false" outlineLevel="0" collapsed="false">
      <c r="A36" s="8" t="s">
        <v>294</v>
      </c>
      <c r="B36" s="6" t="s">
        <v>291</v>
      </c>
      <c r="C36" s="6" t="n">
        <v>36</v>
      </c>
      <c r="D36" s="6" t="n">
        <v>85</v>
      </c>
      <c r="E36" s="6" t="n">
        <v>40</v>
      </c>
      <c r="F36" s="6" t="s">
        <v>50</v>
      </c>
      <c r="G36" s="6" t="s">
        <v>31</v>
      </c>
      <c r="H36" s="6" t="s">
        <v>36</v>
      </c>
      <c r="I36" s="6" t="s">
        <v>112</v>
      </c>
      <c r="J36" s="6" t="s">
        <v>66</v>
      </c>
      <c r="K36" s="6" t="n">
        <v>15</v>
      </c>
      <c r="L36" s="6" t="s">
        <v>269</v>
      </c>
      <c r="M36" s="6" t="s">
        <v>270</v>
      </c>
      <c r="N36" s="6"/>
      <c r="O36" s="9"/>
      <c r="P36" s="6" t="str">
        <f aca="false">IF(O36="","",IF(O36=0,"Healthy",IF(O36&lt;=5,"Very low",IF(O36&lt;=10,"Low",IF(O36&lt;=25,"Moderate",IF(O36&lt;=50,"High","Very high"))))))</f>
        <v/>
      </c>
    </row>
    <row r="37" customFormat="false" ht="15" hidden="false" customHeight="false" outlineLevel="0" collapsed="false">
      <c r="A37" s="8" t="s">
        <v>294</v>
      </c>
      <c r="B37" s="6" t="s">
        <v>291</v>
      </c>
      <c r="C37" s="6" t="n">
        <v>36</v>
      </c>
      <c r="D37" s="6" t="n">
        <v>94</v>
      </c>
      <c r="E37" s="6" t="n">
        <v>41</v>
      </c>
      <c r="F37" s="6" t="s">
        <v>175</v>
      </c>
      <c r="G37" s="6" t="s">
        <v>35</v>
      </c>
      <c r="H37" s="6" t="s">
        <v>41</v>
      </c>
      <c r="I37" s="6" t="s">
        <v>112</v>
      </c>
      <c r="J37" s="6" t="s">
        <v>66</v>
      </c>
      <c r="K37" s="6" t="n">
        <v>15</v>
      </c>
      <c r="L37" s="6" t="s">
        <v>51</v>
      </c>
      <c r="M37" s="6" t="s">
        <v>298</v>
      </c>
      <c r="N37" s="6" t="s">
        <v>297</v>
      </c>
      <c r="O37" s="9"/>
      <c r="P37" s="6" t="str">
        <f aca="false">IF(O37="","",IF(O37=0,"Healthy",IF(O37&lt;=5,"Very low",IF(O37&lt;=10,"Low",IF(O37&lt;=25,"Moderate",IF(O37&lt;=50,"High","Very high"))))))</f>
        <v/>
      </c>
    </row>
    <row r="38" customFormat="false" ht="15" hidden="false" customHeight="false" outlineLevel="0" collapsed="false">
      <c r="A38" s="8" t="s">
        <v>294</v>
      </c>
      <c r="B38" s="6" t="s">
        <v>291</v>
      </c>
      <c r="C38" s="6" t="n">
        <v>36</v>
      </c>
      <c r="D38" s="6" t="n">
        <v>94</v>
      </c>
      <c r="E38" s="6" t="n">
        <v>42</v>
      </c>
      <c r="F38" s="6" t="s">
        <v>44</v>
      </c>
      <c r="G38" s="6" t="s">
        <v>35</v>
      </c>
      <c r="H38" s="6" t="s">
        <v>25</v>
      </c>
      <c r="I38" s="6" t="s">
        <v>112</v>
      </c>
      <c r="J38" s="6" t="s">
        <v>66</v>
      </c>
      <c r="K38" s="6" t="n">
        <v>15</v>
      </c>
      <c r="L38" s="6" t="s">
        <v>299</v>
      </c>
      <c r="M38" s="6" t="s">
        <v>300</v>
      </c>
      <c r="N38" s="6" t="s">
        <v>297</v>
      </c>
      <c r="O38" s="9"/>
      <c r="P38" s="6" t="str">
        <f aca="false">IF(O38="","",IF(O38=0,"Healthy",IF(O38&lt;=5,"Very low",IF(O38&lt;=10,"Low",IF(O38&lt;=25,"Moderate",IF(O38&lt;=50,"High","Very high"))))))</f>
        <v/>
      </c>
    </row>
    <row r="39" customFormat="false" ht="15" hidden="false" customHeight="false" outlineLevel="0" collapsed="false">
      <c r="A39" s="8" t="s">
        <v>294</v>
      </c>
      <c r="B39" s="6" t="s">
        <v>291</v>
      </c>
      <c r="C39" s="6" t="n">
        <v>36</v>
      </c>
      <c r="D39" s="6" t="n">
        <v>85</v>
      </c>
      <c r="E39" s="6" t="n">
        <v>43</v>
      </c>
      <c r="F39" s="6" t="s">
        <v>53</v>
      </c>
      <c r="G39" s="6" t="s">
        <v>31</v>
      </c>
      <c r="H39" s="6" t="s">
        <v>41</v>
      </c>
      <c r="I39" s="6" t="s">
        <v>112</v>
      </c>
      <c r="J39" s="6" t="s">
        <v>66</v>
      </c>
      <c r="K39" s="6" t="n">
        <v>15</v>
      </c>
      <c r="L39" s="6" t="s">
        <v>271</v>
      </c>
      <c r="M39" s="6" t="s">
        <v>272</v>
      </c>
      <c r="N39" s="6"/>
      <c r="O39" s="9"/>
      <c r="P39" s="6" t="str">
        <f aca="false">IF(O39="","",IF(O39=0,"Healthy",IF(O39&lt;=5,"Very low",IF(O39&lt;=10,"Low",IF(O39&lt;=25,"Moderate",IF(O39&lt;=50,"High","Very high"))))))</f>
        <v/>
      </c>
    </row>
    <row r="40" customFormat="false" ht="15" hidden="false" customHeight="false" outlineLevel="0" collapsed="false">
      <c r="A40" s="8" t="s">
        <v>294</v>
      </c>
      <c r="B40" s="6" t="s">
        <v>291</v>
      </c>
      <c r="C40" s="6" t="n">
        <v>36</v>
      </c>
      <c r="D40" s="6" t="n">
        <v>76</v>
      </c>
      <c r="E40" s="6" t="n">
        <v>44</v>
      </c>
      <c r="F40" s="6" t="s">
        <v>59</v>
      </c>
      <c r="G40" s="6" t="s">
        <v>40</v>
      </c>
      <c r="H40" s="6" t="s">
        <v>25</v>
      </c>
      <c r="I40" s="6" t="s">
        <v>112</v>
      </c>
      <c r="J40" s="6" t="s">
        <v>66</v>
      </c>
      <c r="K40" s="6" t="n">
        <v>15</v>
      </c>
      <c r="L40" s="6" t="s">
        <v>273</v>
      </c>
      <c r="M40" s="6" t="s">
        <v>274</v>
      </c>
      <c r="N40" s="6"/>
      <c r="O40" s="9"/>
      <c r="P40" s="6" t="str">
        <f aca="false">IF(O40="","",IF(O40=0,"Healthy",IF(O40&lt;=5,"Very low",IF(O40&lt;=10,"Low",IF(O40&lt;=25,"Moderate",IF(O40&lt;=50,"High","Very high"))))))</f>
        <v/>
      </c>
    </row>
    <row r="41" customFormat="false" ht="15" hidden="false" customHeight="false" outlineLevel="0" collapsed="false">
      <c r="A41" s="8" t="s">
        <v>294</v>
      </c>
      <c r="B41" s="6" t="s">
        <v>291</v>
      </c>
      <c r="C41" s="6" t="n">
        <v>36</v>
      </c>
      <c r="D41" s="6" t="n">
        <v>76</v>
      </c>
      <c r="E41" s="6" t="n">
        <v>48</v>
      </c>
      <c r="F41" s="6" t="s">
        <v>56</v>
      </c>
      <c r="G41" s="6" t="s">
        <v>40</v>
      </c>
      <c r="H41" s="6" t="s">
        <v>36</v>
      </c>
      <c r="I41" s="6" t="s">
        <v>112</v>
      </c>
      <c r="J41" s="6" t="s">
        <v>66</v>
      </c>
      <c r="K41" s="6" t="n">
        <v>15</v>
      </c>
      <c r="L41" s="6" t="s">
        <v>279</v>
      </c>
      <c r="M41" s="6" t="s">
        <v>280</v>
      </c>
      <c r="N41" s="6"/>
      <c r="O41" s="9"/>
      <c r="P41" s="6" t="str">
        <f aca="false">IF(O41="","",IF(O41=0,"Healthy",IF(O41&lt;=5,"Very low",IF(O41&lt;=10,"Low",IF(O41&lt;=25,"Moderate",IF(O41&lt;=50,"High","Very high"))))))</f>
        <v/>
      </c>
    </row>
  </sheetData>
  <autoFilter ref="A1:P41"/>
  <dataValidations count="1">
    <dataValidation allowBlank="true" error="DI must be between 0 and 100" errorStyle="stop" operator="between" showDropDown="false" showErrorMessage="false" showInputMessage="false" sqref="O2:O41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7" min="3" style="0" width="12"/>
  </cols>
  <sheetData>
    <row r="1" customFormat="false" ht="15" hidden="false" customHeight="false" outlineLevel="0" collapsed="false">
      <c r="A1" s="1" t="s">
        <v>303</v>
      </c>
    </row>
    <row r="3" customFormat="false" ht="23.85" hidden="false" customHeight="false" outlineLevel="0" collapsed="false">
      <c r="A3" s="10" t="s">
        <v>7</v>
      </c>
      <c r="B3" s="10" t="s">
        <v>8</v>
      </c>
      <c r="C3" s="10" t="s">
        <v>304</v>
      </c>
      <c r="D3" s="10" t="s">
        <v>305</v>
      </c>
      <c r="E3" s="10" t="s">
        <v>306</v>
      </c>
      <c r="F3" s="10" t="s">
        <v>307</v>
      </c>
      <c r="G3" s="10" t="s">
        <v>308</v>
      </c>
    </row>
    <row r="4" customFormat="false" ht="15" hidden="false" customHeight="false" outlineLevel="0" collapsed="false">
      <c r="A4" s="5" t="s">
        <v>21</v>
      </c>
      <c r="B4" s="6" t="s">
        <v>22</v>
      </c>
      <c r="C4" s="6" t="n">
        <f aca="false">COUNTIFS(All_plot_dates!$A:$A,A4,All_plot_dates!$B:$B,B4,All_plot_dates!$J:$J,"Healthy")</f>
        <v>11</v>
      </c>
      <c r="D4" s="6" t="n">
        <f aca="false">COUNTIFS(All_plot_dates!$A:$A,A4,All_plot_dates!$B:$B,B4,All_plot_dates!$J:$J,"Diseased")</f>
        <v>33</v>
      </c>
      <c r="E4" s="6" t="n">
        <f aca="false">SUMIFS(All_plot_dates!$K:$K,All_plot_dates!$A:$A,A4,All_plot_dates!$B:$B,B4,All_plot_dates!$J:$J,"Healthy")</f>
        <v>63</v>
      </c>
      <c r="F4" s="6" t="n">
        <f aca="false">SUMIFS(All_plot_dates!$K:$K,All_plot_dates!$A:$A,A4,All_plot_dates!$B:$B,B4,All_plot_dates!$J:$J,"Diseased")</f>
        <v>311</v>
      </c>
      <c r="G4" s="6" t="n">
        <f aca="false">E4+F4</f>
        <v>374</v>
      </c>
    </row>
    <row r="5" customFormat="false" ht="15" hidden="false" customHeight="false" outlineLevel="0" collapsed="false">
      <c r="A5" s="5" t="s">
        <v>21</v>
      </c>
      <c r="B5" s="6" t="s">
        <v>135</v>
      </c>
      <c r="C5" s="6" t="n">
        <f aca="false">COUNTIFS(All_plot_dates!$A:$A,A5,All_plot_dates!$B:$B,B5,All_plot_dates!$J:$J,"Healthy")</f>
        <v>5</v>
      </c>
      <c r="D5" s="6" t="n">
        <f aca="false">COUNTIFS(All_plot_dates!$A:$A,A5,All_plot_dates!$B:$B,B5,All_plot_dates!$J:$J,"Diseased")</f>
        <v>15</v>
      </c>
      <c r="E5" s="6" t="n">
        <f aca="false">SUMIFS(All_plot_dates!$K:$K,All_plot_dates!$A:$A,A5,All_plot_dates!$B:$B,B5,All_plot_dates!$J:$J,"Healthy")</f>
        <v>30</v>
      </c>
      <c r="F5" s="6" t="n">
        <f aca="false">SUMIFS(All_plot_dates!$K:$K,All_plot_dates!$A:$A,A5,All_plot_dates!$B:$B,B5,All_plot_dates!$J:$J,"Diseased")</f>
        <v>160</v>
      </c>
      <c r="G5" s="6" t="n">
        <f aca="false">E5+F5</f>
        <v>190</v>
      </c>
    </row>
    <row r="6" customFormat="false" ht="15" hidden="false" customHeight="false" outlineLevel="0" collapsed="false">
      <c r="A6" s="7" t="s">
        <v>174</v>
      </c>
      <c r="B6" s="6" t="s">
        <v>22</v>
      </c>
      <c r="C6" s="6" t="n">
        <f aca="false">COUNTIFS(All_plot_dates!$A:$A,A6,All_plot_dates!$B:$B,B6,All_plot_dates!$J:$J,"Healthy")</f>
        <v>1</v>
      </c>
      <c r="D6" s="6" t="n">
        <f aca="false">COUNTIFS(All_plot_dates!$A:$A,A6,All_plot_dates!$B:$B,B6,All_plot_dates!$J:$J,"Diseased")</f>
        <v>3</v>
      </c>
      <c r="E6" s="6" t="n">
        <f aca="false">SUMIFS(All_plot_dates!$K:$K,All_plot_dates!$A:$A,A6,All_plot_dates!$B:$B,B6,All_plot_dates!$J:$J,"Healthy")</f>
        <v>9</v>
      </c>
      <c r="F6" s="6" t="n">
        <f aca="false">SUMIFS(All_plot_dates!$K:$K,All_plot_dates!$A:$A,A6,All_plot_dates!$B:$B,B6,All_plot_dates!$J:$J,"Diseased")</f>
        <v>45</v>
      </c>
      <c r="G6" s="6" t="n">
        <f aca="false">E6+F6</f>
        <v>54</v>
      </c>
    </row>
    <row r="7" customFormat="false" ht="15" hidden="false" customHeight="false" outlineLevel="0" collapsed="false">
      <c r="A7" s="7" t="s">
        <v>174</v>
      </c>
      <c r="B7" s="6" t="s">
        <v>135</v>
      </c>
      <c r="C7" s="6" t="n">
        <f aca="false">COUNTIFS(All_plot_dates!$A:$A,A7,All_plot_dates!$B:$B,B7,All_plot_dates!$J:$J,"Healthy")</f>
        <v>7</v>
      </c>
      <c r="D7" s="6" t="n">
        <f aca="false">COUNTIFS(All_plot_dates!$A:$A,A7,All_plot_dates!$B:$B,B7,All_plot_dates!$J:$J,"Diseased")</f>
        <v>21</v>
      </c>
      <c r="E7" s="6" t="n">
        <f aca="false">SUMIFS(All_plot_dates!$K:$K,All_plot_dates!$A:$A,A7,All_plot_dates!$B:$B,B7,All_plot_dates!$J:$J,"Healthy")</f>
        <v>60</v>
      </c>
      <c r="F7" s="6" t="n">
        <f aca="false">SUMIFS(All_plot_dates!$K:$K,All_plot_dates!$A:$A,A7,All_plot_dates!$B:$B,B7,All_plot_dates!$J:$J,"Diseased")</f>
        <v>290</v>
      </c>
      <c r="G7" s="6" t="n">
        <f aca="false">E7+F7</f>
        <v>350</v>
      </c>
    </row>
    <row r="8" customFormat="false" ht="15" hidden="false" customHeight="false" outlineLevel="0" collapsed="false">
      <c r="A8" s="7" t="s">
        <v>174</v>
      </c>
      <c r="B8" s="6" t="s">
        <v>233</v>
      </c>
      <c r="C8" s="6" t="n">
        <f aca="false">COUNTIFS(All_plot_dates!$A:$A,A8,All_plot_dates!$B:$B,B8,All_plot_dates!$J:$J,"Healthy")</f>
        <v>11</v>
      </c>
      <c r="D8" s="6" t="n">
        <f aca="false">COUNTIFS(All_plot_dates!$A:$A,A8,All_plot_dates!$B:$B,B8,All_plot_dates!$J:$J,"Diseased")</f>
        <v>33</v>
      </c>
      <c r="E8" s="6" t="n">
        <f aca="false">SUMIFS(All_plot_dates!$K:$K,All_plot_dates!$A:$A,A8,All_plot_dates!$B:$B,B8,All_plot_dates!$J:$J,"Healthy")</f>
        <v>99</v>
      </c>
      <c r="F8" s="6" t="n">
        <f aca="false">SUMIFS(All_plot_dates!$K:$K,All_plot_dates!$A:$A,A8,All_plot_dates!$B:$B,B8,All_plot_dates!$J:$J,"Diseased")</f>
        <v>495</v>
      </c>
      <c r="G8" s="6" t="n">
        <f aca="false">E8+F8</f>
        <v>594</v>
      </c>
    </row>
    <row r="9" customFormat="false" ht="15" hidden="false" customHeight="false" outlineLevel="0" collapsed="false">
      <c r="A9" s="7" t="s">
        <v>174</v>
      </c>
      <c r="B9" s="6" t="s">
        <v>291</v>
      </c>
      <c r="C9" s="6" t="n">
        <f aca="false">COUNTIFS(All_plot_dates!$A:$A,A9,All_plot_dates!$B:$B,B9,All_plot_dates!$J:$J,"Healthy")</f>
        <v>3</v>
      </c>
      <c r="D9" s="6" t="n">
        <f aca="false">COUNTIFS(All_plot_dates!$A:$A,A9,All_plot_dates!$B:$B,B9,All_plot_dates!$J:$J,"Diseased")</f>
        <v>9</v>
      </c>
      <c r="E9" s="6" t="n">
        <f aca="false">SUMIFS(All_plot_dates!$K:$K,All_plot_dates!$A:$A,A9,All_plot_dates!$B:$B,B9,All_plot_dates!$J:$J,"Healthy")</f>
        <v>27</v>
      </c>
      <c r="F9" s="6" t="n">
        <f aca="false">SUMIFS(All_plot_dates!$K:$K,All_plot_dates!$A:$A,A9,All_plot_dates!$B:$B,B9,All_plot_dates!$J:$J,"Diseased")</f>
        <v>135</v>
      </c>
      <c r="G9" s="6" t="n">
        <f aca="false">E9+F9</f>
        <v>162</v>
      </c>
    </row>
    <row r="10" customFormat="false" ht="15" hidden="false" customHeight="false" outlineLevel="0" collapsed="false">
      <c r="A10" s="8" t="s">
        <v>294</v>
      </c>
      <c r="B10" s="6" t="s">
        <v>233</v>
      </c>
      <c r="C10" s="6" t="n">
        <f aca="false">COUNTIFS(All_plot_dates!$A:$A,A10,All_plot_dates!$B:$B,B10,All_plot_dates!$J:$J,"Healthy")</f>
        <v>1</v>
      </c>
      <c r="D10" s="6" t="n">
        <f aca="false">COUNTIFS(All_plot_dates!$A:$A,A10,All_plot_dates!$B:$B,B10,All_plot_dates!$J:$J,"Diseased")</f>
        <v>3</v>
      </c>
      <c r="E10" s="6" t="n">
        <f aca="false">SUMIFS(All_plot_dates!$K:$K,All_plot_dates!$A:$A,A10,All_plot_dates!$B:$B,B10,All_plot_dates!$J:$J,"Healthy")</f>
        <v>9</v>
      </c>
      <c r="F10" s="6" t="n">
        <f aca="false">SUMIFS(All_plot_dates!$K:$K,All_plot_dates!$A:$A,A10,All_plot_dates!$B:$B,B10,All_plot_dates!$J:$J,"Diseased")</f>
        <v>45</v>
      </c>
      <c r="G10" s="6" t="n">
        <f aca="false">E10+F10</f>
        <v>54</v>
      </c>
    </row>
    <row r="11" customFormat="false" ht="15" hidden="false" customHeight="false" outlineLevel="0" collapsed="false">
      <c r="A11" s="8" t="s">
        <v>294</v>
      </c>
      <c r="B11" s="6" t="s">
        <v>291</v>
      </c>
      <c r="C11" s="6" t="n">
        <f aca="false">COUNTIFS(All_plot_dates!$A:$A,A11,All_plot_dates!$B:$B,B11,All_plot_dates!$J:$J,"Healthy")</f>
        <v>9</v>
      </c>
      <c r="D11" s="6" t="n">
        <f aca="false">COUNTIFS(All_plot_dates!$A:$A,A11,All_plot_dates!$B:$B,B11,All_plot_dates!$J:$J,"Diseased")</f>
        <v>27</v>
      </c>
      <c r="E11" s="6" t="n">
        <f aca="false">SUMIFS(All_plot_dates!$K:$K,All_plot_dates!$A:$A,A11,All_plot_dates!$B:$B,B11,All_plot_dates!$J:$J,"Healthy")</f>
        <v>81</v>
      </c>
      <c r="F11" s="6" t="n">
        <f aca="false">SUMIFS(All_plot_dates!$K:$K,All_plot_dates!$A:$A,A11,All_plot_dates!$B:$B,B11,All_plot_dates!$J:$J,"Diseased")</f>
        <v>405</v>
      </c>
      <c r="G11" s="6" t="n">
        <f aca="false">E11+F11</f>
        <v>486</v>
      </c>
    </row>
    <row r="12" customFormat="false" ht="15" hidden="false" customHeight="false" outlineLevel="0" collapsed="false">
      <c r="A12" s="3" t="s">
        <v>309</v>
      </c>
      <c r="C12" s="11" t="n">
        <f aca="false">SUM(C4:C11)</f>
        <v>48</v>
      </c>
      <c r="D12" s="11" t="n">
        <f aca="false">SUM(D4:D11)</f>
        <v>144</v>
      </c>
      <c r="E12" s="11" t="n">
        <f aca="false">SUM(E4:E11)</f>
        <v>378</v>
      </c>
      <c r="F12" s="11" t="n">
        <f aca="false">SUM(F4:F11)</f>
        <v>1886</v>
      </c>
      <c r="G12" s="11" t="n">
        <f aca="false">SUM(G4:G11)</f>
        <v>2264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2026-10-22T22:42:45Z</dcterms:created>
  <dc:creator>openpyxl</dc:creator>
  <dc:description/>
  <dc:language>en-US</dc:language>
  <cp:lastModifiedBy/>
  <dcterms:modified xsi:type="dcterms:W3CDTF">2026-10-22T22:42:45Z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