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08.xml" ContentType="application/vnd.openxmlformats-officedocument.spreadsheetml.worksheet+xml"/>
  <Override PartName="/xl/worksheets/sheet36.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8.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139.xml.rels" ContentType="application/vnd.openxmlformats-package.relationships+xml"/>
  <Override PartName="/xl/worksheets/_rels/sheet50.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145.xml.rels" ContentType="application/vnd.openxmlformats-package.relationships+xml"/>
  <Override PartName="/xl/worksheets/_rels/sheet87.xml.rels" ContentType="application/vnd.openxmlformats-package.relationships+xml"/>
  <Override PartName="/xl/worksheets/_rels/sheet1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2.xml.rels" ContentType="application/vnd.openxmlformats-package.relationships+xml"/>
  <Override PartName="/xl/worksheets/_rels/sheet84.xml.rels" ContentType="application/vnd.openxmlformats-package.relationships+xml"/>
  <Override PartName="/xl/worksheets/_rels/sheet16.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9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LLWR" sheetId="29" state="visible" r:id="rId31"/>
    <sheet name="SOIL TEMP" sheetId="30" state="visible" r:id="rId32"/>
    <sheet name="WHC" sheetId="31" state="visible" r:id="rId33"/>
    <sheet name="FC (weight basis)" sheetId="32" state="visible" r:id="rId34"/>
    <sheet name="PWP (weight basis)" sheetId="33" state="visible" r:id="rId35"/>
    <sheet name="SAT WC" sheetId="34" state="visible" r:id="rId36"/>
    <sheet name="GWC" sheetId="35" state="visible" r:id="rId37"/>
    <sheet name="Moisture storage" sheetId="36" state="visible" r:id="rId38"/>
    <sheet name="TEXTURE" sheetId="37" state="visible" r:id="rId39"/>
    <sheet name="SOC(active C pool)" sheetId="38" state="visible" r:id="rId40"/>
    <sheet name="TOC" sheetId="39" state="visible" r:id="rId41"/>
    <sheet name="TC(total c)" sheetId="40" state="visible" r:id="rId42"/>
    <sheet name="SIC" sheetId="41" state="visible" r:id="rId43"/>
    <sheet name="PSOC" sheetId="42" state="visible" r:id="rId44"/>
    <sheet name="MOC" sheetId="43" state="visible" r:id="rId45"/>
    <sheet name="WSC" sheetId="44" state="visible" r:id="rId46"/>
    <sheet name="DOC" sheetId="45" state="visible" r:id="rId47"/>
    <sheet name="LFC-LFOC" sheetId="46" state="visible" r:id="rId48"/>
    <sheet name="HFOC" sheetId="47" state="visible" r:id="rId49"/>
    <sheet name="LFON" sheetId="48" state="visible" r:id="rId50"/>
    <sheet name="PON" sheetId="49" state="visible" r:id="rId51"/>
    <sheet name="cPOM-C" sheetId="50" state="visible" r:id="rId52"/>
    <sheet name="fPOM-C" sheetId="51" state="visible" r:id="rId53"/>
    <sheet name="POXC(KMnO4-C)" sheetId="52" state="visible" r:id="rId54"/>
    <sheet name="VLC(Cfrac1)" sheetId="53" state="visible" r:id="rId55"/>
    <sheet name="LC(Cfrac2)" sheetId="54" state="visible" r:id="rId56"/>
    <sheet name="LLC(Cfrac3)" sheetId="55" state="visible" r:id="rId57"/>
    <sheet name="NLC(Cfrac4)" sheetId="56" state="visible" r:id="rId58"/>
    <sheet name="stock-SOC" sheetId="57" state="visible" r:id="rId59"/>
    <sheet name="c sequestration rate" sheetId="58" state="visible" r:id="rId60"/>
    <sheet name="C liability" sheetId="59" state="visible" r:id="rId61"/>
    <sheet name="LI" sheetId="60" state="visible" r:id="rId62"/>
    <sheet name="CPI" sheetId="61" state="visible" r:id="rId63"/>
    <sheet name="CMI" sheetId="62" state="visible" r:id="rId64"/>
    <sheet name="RESP" sheetId="63" state="visible" r:id="rId65"/>
    <sheet name="PH" sheetId="64" state="visible" r:id="rId66"/>
    <sheet name="EC" sheetId="65" state="visible" r:id="rId67"/>
    <sheet name="CEC" sheetId="66" state="visible" r:id="rId68"/>
    <sheet name="N" sheetId="67" state="visible" r:id="rId69"/>
    <sheet name="P" sheetId="68" state="visible" r:id="rId70"/>
    <sheet name="K" sheetId="69" state="visible" r:id="rId71"/>
    <sheet name="AV.S" sheetId="70" state="visible" r:id="rId72"/>
    <sheet name="total N" sheetId="71" state="visible" r:id="rId73"/>
    <sheet name="total P" sheetId="72" state="visible" r:id="rId74"/>
    <sheet name="total K" sheetId="73" state="visible" r:id="rId75"/>
    <sheet name="WS-K" sheetId="74" state="visible" r:id="rId76"/>
    <sheet name="EX-K" sheetId="75" state="visible" r:id="rId77"/>
    <sheet name="NEX-K" sheetId="76" state="visible" r:id="rId78"/>
    <sheet name="no3,nh4,PMN" sheetId="77" state="visible" r:id="rId79"/>
    <sheet name="NO3 leaching" sheetId="78" state="visible" r:id="rId80"/>
    <sheet name="15N RESIDUAL" sheetId="79" state="visible" r:id="rId81"/>
    <sheet name="B(ppm)" sheetId="80" state="visible" r:id="rId82"/>
    <sheet name="Fe(ppm)" sheetId="81" state="visible" r:id="rId83"/>
    <sheet name="Mn" sheetId="82" state="visible" r:id="rId84"/>
    <sheet name="Cu(ppm)" sheetId="83" state="visible" r:id="rId85"/>
    <sheet name="Zn(ppm)" sheetId="84" state="visible" r:id="rId86"/>
    <sheet name="MBC" sheetId="85" state="visible" r:id="rId87"/>
    <sheet name="MBN" sheetId="86" state="visible" r:id="rId88"/>
    <sheet name="GLOMALIN" sheetId="87" state="visible" r:id="rId89"/>
    <sheet name="MYCORRHIZAL SPORES" sheetId="88" state="visible" r:id="rId90"/>
    <sheet name="DHA" sheetId="89" state="visible" r:id="rId91"/>
    <sheet name="B-GLU" sheetId="90" state="visible" r:id="rId92"/>
    <sheet name="ACP" sheetId="91" state="visible" r:id="rId93"/>
    <sheet name="ALKP" sheetId="92" state="visible" r:id="rId94"/>
    <sheet name="GAP" sheetId="93" state="visible" r:id="rId95"/>
    <sheet name="LAP" sheetId="94" state="visible" r:id="rId96"/>
    <sheet name="NAG" sheetId="95" state="visible" r:id="rId97"/>
    <sheet name="B-galactosidase" sheetId="96" state="visible" r:id="rId98"/>
    <sheet name="CELL" sheetId="97" state="visible" r:id="rId99"/>
    <sheet name="UREASE" sheetId="98" state="visible" r:id="rId100"/>
    <sheet name="PHYTASE" sheetId="99" state="visible" r:id="rId101"/>
    <sheet name="INVERTASE" sheetId="100" state="visible" r:id="rId102"/>
    <sheet name="CATALASE" sheetId="101" state="visible" r:id="rId103"/>
    <sheet name="ASP" sheetId="102" state="visible" r:id="rId104"/>
    <sheet name="XYL" sheetId="103" state="visible" r:id="rId105"/>
    <sheet name="PHOX" sheetId="104" state="visible" r:id="rId106"/>
    <sheet name="PEROX" sheetId="105" state="visible" r:id="rId107"/>
    <sheet name="PPO" sheetId="106" state="visible" r:id="rId108"/>
    <sheet name="FDA" sheetId="107" state="visible" r:id="rId109"/>
    <sheet name="NR" sheetId="108" state="visible" r:id="rId110"/>
    <sheet name="Actinomycetes" sheetId="109" state="visible" r:id="rId111"/>
    <sheet name="Soil microbial count" sheetId="110" state="visible" r:id="rId112"/>
    <sheet name="Fungal count" sheetId="111" state="visible" r:id="rId113"/>
    <sheet name="EARTHWORM" sheetId="112" state="visible" r:id="rId114"/>
    <sheet name="Cellulolytic count" sheetId="113" state="visible" r:id="rId115"/>
    <sheet name="RLD(CM-CM3)" sheetId="114" state="visible" r:id="rId116"/>
    <sheet name="PLANT HEIGHT" sheetId="115" state="visible" r:id="rId117"/>
    <sheet name="RMD(mg-cm3)" sheetId="116" state="visible" r:id="rId118"/>
    <sheet name="RVD(cm3-cm3)" sheetId="117" state="visible" r:id="rId119"/>
    <sheet name="RSD(cm2-cm3)" sheetId="118" state="visible" r:id="rId120"/>
    <sheet name="ROOT DIA(mm)" sheetId="119" state="visible" r:id="rId121"/>
    <sheet name="YIELD" sheetId="120" state="visible" r:id="rId122"/>
    <sheet name="SYS STRAW" sheetId="121" state="visible" r:id="rId123"/>
    <sheet name="PANICLE-SPIKE DENSITY" sheetId="122" state="visible" r:id="rId124"/>
    <sheet name="GRAINS PER PANICLE" sheetId="123" state="visible" r:id="rId125"/>
    <sheet name="1000-GRAIN WEIGHT" sheetId="124" state="visible" r:id="rId126"/>
    <sheet name="HARVEST INDEX" sheetId="125" state="visible" r:id="rId127"/>
    <sheet name="DAYS TO FLOWERING" sheetId="126" state="visible" r:id="rId128"/>
    <sheet name="DAYS TO MATURITY" sheetId="127" state="visible" r:id="rId129"/>
    <sheet name="GRAIN FILLING DAYS" sheetId="128" state="visible" r:id="rId130"/>
    <sheet name="N uptake" sheetId="129" state="visible" r:id="rId131"/>
    <sheet name="P uptake" sheetId="130" state="visible" r:id="rId132"/>
    <sheet name="K uptake" sheetId="131" state="visible" r:id="rId133"/>
    <sheet name="WUE" sheetId="132" state="visible" r:id="rId134"/>
    <sheet name="NUE" sheetId="133" state="visible" r:id="rId135"/>
    <sheet name="BC ratio" sheetId="134" state="visible" r:id="rId136"/>
    <sheet name="NET RETURN" sheetId="135" state="visible" r:id="rId137"/>
    <sheet name="NET ECONOMIC BENEFIT" sheetId="136" state="visible" r:id="rId138"/>
    <sheet name="SQI" sheetId="137" state="visible" r:id="rId139"/>
    <sheet name="emission CH4" sheetId="138" state="visible" r:id="rId140"/>
    <sheet name="emission N2O" sheetId="139" state="visible" r:id="rId141"/>
    <sheet name="CO2 emission" sheetId="140" state="visible" r:id="rId142"/>
    <sheet name="NO" sheetId="141" state="visible" r:id="rId143"/>
    <sheet name="GWP" sheetId="142" state="visible" r:id="rId144"/>
    <sheet name="NGWP" sheetId="143" state="visible" r:id="rId145"/>
    <sheet name="C input" sheetId="144" state="visible" r:id="rId146"/>
    <sheet name="C output" sheetId="145" state="visible" r:id="rId147"/>
    <sheet name="CSI" sheetId="146" state="visible" r:id="rId148"/>
    <sheet name="CER" sheetId="147" state="visible" r:id="rId149"/>
    <sheet name="GHG intensity" sheetId="148" state="visible" r:id="rId150"/>
    <sheet name="AGG-TP" sheetId="149" state="visible" r:id="rId151"/>
    <sheet name="AGG-AvP" sheetId="150" state="visible" r:id="rId152"/>
    <sheet name="AGG-ALKP" sheetId="151" state="visible" r:id="rId153"/>
    <sheet name="AGG-PhytinP" sheetId="152" state="visible" r:id="rId154"/>
    <sheet name="EXCLUDED_rows" sheetId="153" state="visible" r:id="rId155"/>
  </sheets>
  <definedNames>
    <definedName function="false" hidden="true" localSheetId="123" name="_xlnm._FilterDatabase" vbProcedure="false">'1000-GRAIN WEIGHT'!$A$1:$BK$1</definedName>
    <definedName function="false" hidden="true" localSheetId="78" name="_xlnm._FilterDatabase" vbProcedure="false">'15N RESIDUAL'!$A$1:$AY$1</definedName>
    <definedName function="false" hidden="true" localSheetId="90" name="_xlnm._FilterDatabase" vbProcedure="false">ACP!$A$1:$AY$1</definedName>
    <definedName function="false" hidden="true" localSheetId="108" name="_xlnm._FilterDatabase" vbProcedure="false">Actinomycetes!$A$1:$AY$1</definedName>
    <definedName function="false" hidden="true" localSheetId="150" name="_xlnm._FilterDatabase" vbProcedure="false">'AGG-ALKP'!$A$1:$AZ$1</definedName>
    <definedName function="false" hidden="true" localSheetId="149" name="_xlnm._FilterDatabase" vbProcedure="false">'AGG-AvP'!$A$1:$AZ$1</definedName>
    <definedName function="false" hidden="true" localSheetId="151" name="_xlnm._FilterDatabase" vbProcedure="false">'AGG-PhytinP'!$A$1:$AZ$1</definedName>
    <definedName function="false" hidden="true" localSheetId="148" name="_xlnm._FilterDatabase" vbProcedure="false">'AGG-TP'!$A$1:$AZ$1</definedName>
    <definedName function="false" hidden="true" localSheetId="91" name="_xlnm._FilterDatabase" vbProcedure="false">ALKP!$A$1:$AY$1</definedName>
    <definedName function="false" hidden="true" localSheetId="101" name="_xlnm._FilterDatabase" vbProcedure="false">ASP!$A$1:$AY$1</definedName>
    <definedName function="false" hidden="true" localSheetId="69"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5" name="_xlnm._FilterDatabase" vbProcedure="false">'B-galactosidase'!$A$1:$AY$1</definedName>
    <definedName function="false" hidden="true" localSheetId="89" name="_xlnm._FilterDatabase" vbProcedure="false">'B-GLU'!$A$1:$AY$1</definedName>
    <definedName function="false" hidden="true" localSheetId="79" name="_xlnm._FilterDatabase" vbProcedure="false">'B(ppm)'!$A$1:$AY$1</definedName>
    <definedName function="false" hidden="true" localSheetId="133" name="_xlnm._FilterDatabase" vbProcedure="false">'BC ratio'!$A$1:$BU$1</definedName>
    <definedName function="false" hidden="true" localSheetId="9" name="_xlnm._FilterDatabase" vbProcedure="false">BD!$A$1:$AY$1</definedName>
    <definedName function="false" hidden="true" localSheetId="143" name="_xlnm._FilterDatabase" vbProcedure="false">'C input'!$A$1:$AX$1</definedName>
    <definedName function="false" hidden="true" localSheetId="58" name="_xlnm._FilterDatabase" vbProcedure="false">'C liability'!$A$1:$AY$1</definedName>
    <definedName function="false" hidden="true" localSheetId="144" name="_xlnm._FilterDatabase" vbProcedure="false">'C output'!$A$1:$AX$1</definedName>
    <definedName function="false" hidden="true" localSheetId="57" name="_xlnm._FilterDatabase" vbProcedure="false">'c sequestration rate'!$A$1:$AY$1</definedName>
    <definedName function="false" hidden="true" localSheetId="100" name="_xlnm._FilterDatabase" vbProcedure="false">CATALASE!$A$1:$AY$1</definedName>
    <definedName function="false" hidden="true" localSheetId="65" name="_xlnm._FilterDatabase" vbProcedure="false">CEC!$A$1:$AY$1</definedName>
    <definedName function="false" hidden="true" localSheetId="96" name="_xlnm._FilterDatabase" vbProcedure="false">CELL!$A$1:$AY$1</definedName>
    <definedName function="false" hidden="true" localSheetId="112" name="_xlnm._FilterDatabase" vbProcedure="false">'Cellulolytic count'!$A$1:$AY$1</definedName>
    <definedName function="false" hidden="true" localSheetId="146" name="_xlnm._FilterDatabase" vbProcedure="false">CER!$A$1:$AX$1</definedName>
    <definedName function="false" hidden="true" localSheetId="61" name="_xlnm._FilterDatabase" vbProcedure="false">CMI!$A$1:$AY$1</definedName>
    <definedName function="false" hidden="true" localSheetId="139" name="_xlnm._FilterDatabase" vbProcedure="false">'CO2 emission'!$A$1:$BU$1</definedName>
    <definedName function="false" hidden="true" localSheetId="60" name="_xlnm._FilterDatabase" vbProcedure="false">CPI!$A$1:$AY$1</definedName>
    <definedName function="false" hidden="true" localSheetId="49" name="_xlnm._FilterDatabase" vbProcedure="false">'cPOM-C'!$A$1:$AY$1</definedName>
    <definedName function="false" hidden="true" localSheetId="145" name="_xlnm._FilterDatabase" vbProcedure="false">CSI!$A$1:$AX$1</definedName>
    <definedName function="false" hidden="true" localSheetId="82" name="_xlnm._FilterDatabase" vbProcedure="false">'Cu(ppm)'!$A$1:$AY$1</definedName>
    <definedName function="false" hidden="true" localSheetId="125" name="_xlnm._FilterDatabase" vbProcedure="false">'DAYS TO FLOWERING'!$A$1:$BK$1</definedName>
    <definedName function="false" hidden="true" localSheetId="126" name="_xlnm._FilterDatabase" vbProcedure="false">'DAYS TO MATURITY'!$A$1:$BK$1</definedName>
    <definedName function="false" hidden="true" localSheetId="88" name="_xlnm._FilterDatabase" vbProcedure="false">DHA!$A$1:$AY$1</definedName>
    <definedName function="false" hidden="true" localSheetId="44" name="_xlnm._FilterDatabase" vbProcedure="false">DOC!$A$1:$AY$1</definedName>
    <definedName function="false" hidden="true" localSheetId="111" name="_xlnm._FilterDatabase" vbProcedure="false">EARTHWORM!$A$1:$AY$1</definedName>
    <definedName function="false" hidden="true" localSheetId="64" name="_xlnm._FilterDatabase" vbProcedure="false">EC!$A$1:$AY$1</definedName>
    <definedName function="false" hidden="true" localSheetId="137" name="_xlnm._FilterDatabase" vbProcedure="false">'emission CH4'!$A$1:$BU$1</definedName>
    <definedName function="false" hidden="true" localSheetId="138" name="_xlnm._FilterDatabase" vbProcedure="false">'emission N2O'!$A$1:$BU$1</definedName>
    <definedName function="false" hidden="true" localSheetId="74" name="_xlnm._FilterDatabase" vbProcedure="false">'EX-K'!$A$1:$AY$1</definedName>
    <definedName function="false" hidden="true" localSheetId="31" name="_xlnm._FilterDatabase" vbProcedure="false">'FC (weight basis)'!$A$1:$AY$1</definedName>
    <definedName function="false" hidden="true" localSheetId="106" name="_xlnm._FilterDatabase" vbProcedure="false">FDA!$A$1:$AY$1</definedName>
    <definedName function="false" hidden="true" localSheetId="80" name="_xlnm._FilterDatabase" vbProcedure="false">'Fe(ppm)'!$A$1:$AY$1</definedName>
    <definedName function="false" hidden="true" localSheetId="50" name="_xlnm._FilterDatabase" vbProcedure="false">'fPOM-C'!$A$1:$AY$1</definedName>
    <definedName function="false" hidden="true" localSheetId="110" name="_xlnm._FilterDatabase" vbProcedure="false">'Fungal count'!$A$1:$AY$1</definedName>
    <definedName function="false" hidden="true" localSheetId="92" name="_xlnm._FilterDatabase" vbProcedure="false">GAP!$A$1:$AY$1</definedName>
    <definedName function="false" hidden="true" localSheetId="147" name="_xlnm._FilterDatabase" vbProcedure="false">'GHG intensity'!$A$1:$AX$1</definedName>
    <definedName function="false" hidden="true" localSheetId="86" name="_xlnm._FilterDatabase" vbProcedure="false">GLOMALIN!$A$1:$AY$1</definedName>
    <definedName function="false" hidden="true" localSheetId="17" name="_xlnm._FilterDatabase" vbProcedure="false">'GMD 1'!$A$1:$AY$1</definedName>
    <definedName function="false" hidden="true" localSheetId="127" name="_xlnm._FilterDatabase" vbProcedure="false">'GRAIN FILLING DAYS'!$A$1:$BK$1</definedName>
    <definedName function="false" hidden="true" localSheetId="122" name="_xlnm._FilterDatabase" vbProcedure="false">'GRAINS PER PANICLE'!$A$1:$BK$1</definedName>
    <definedName function="false" hidden="true" localSheetId="34" name="_xlnm._FilterDatabase" vbProcedure="false">GWC!$A$1:$AY$1</definedName>
    <definedName function="false" hidden="true" localSheetId="141" name="_xlnm._FilterDatabase" vbProcedure="false">GWP!$A$1:$BU$1</definedName>
    <definedName function="false" hidden="true" localSheetId="124" name="_xlnm._FilterDatabase" vbProcedure="false">'HARVEST INDEX'!$A$1:$BK$1</definedName>
    <definedName function="false" hidden="true" localSheetId="24" name="_xlnm._FilterDatabase" vbProcedure="false">HC!$A$1:$AY$1</definedName>
    <definedName function="false" hidden="true" localSheetId="46" name="_xlnm._FilterDatabase" vbProcedure="false">HFOC!$A$1:$AY$1</definedName>
    <definedName function="false" hidden="true" localSheetId="99" name="_xlnm._FilterDatabase" vbProcedure="false">INVERTASE!$A$1:$AY$1</definedName>
    <definedName function="false" hidden="true" localSheetId="25" name="_xlnm._FilterDatabase" vbProcedure="false">IR!$A$1:$BK$1</definedName>
    <definedName function="false" hidden="true" localSheetId="68" name="_xlnm._FilterDatabase" vbProcedure="false">K!$A$1:$AY$1</definedName>
    <definedName function="false" hidden="true" localSheetId="130" name="_xlnm._FilterDatabase" vbProcedure="false">'K uptake'!$A$1:$BI$1</definedName>
    <definedName function="false" hidden="true" localSheetId="93" name="_xlnm._FilterDatabase" vbProcedure="false">LAP!$A$1:$AY$1</definedName>
    <definedName function="false" hidden="true" localSheetId="8" name="_xlnm._FilterDatabase" vbProcedure="false">LAT_LONG!$A$1:$M$1</definedName>
    <definedName function="false" hidden="true" localSheetId="53" name="_xlnm._FilterDatabase" vbProcedure="false">'LC(Cfrac2)'!$A$1:$AY$1</definedName>
    <definedName function="false" hidden="true" localSheetId="45" name="_xlnm._FilterDatabase" vbProcedure="false">'LFC-LFOC'!$A$1:$AY$1</definedName>
    <definedName function="false" hidden="true" localSheetId="47" name="_xlnm._FilterDatabase" vbProcedure="false">LFON!$A$1:$AY$1</definedName>
    <definedName function="false" hidden="true" localSheetId="59" name="_xlnm._FilterDatabase" vbProcedure="false">LI!$A$1:$AY$1</definedName>
    <definedName function="false" hidden="true" localSheetId="54"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4" name="_xlnm._FilterDatabase" vbProcedure="false">MBC!$A$1:$AY$1</definedName>
    <definedName function="false" hidden="true" localSheetId="85"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81" name="_xlnm._FilterDatabase" vbProcedure="false">Mn!$A$1:$AY$1</definedName>
    <definedName function="false" hidden="true" localSheetId="42" name="_xlnm._FilterDatabase" vbProcedure="false">MOC!$A$1:$AY$1</definedName>
    <definedName function="false" hidden="true" localSheetId="35"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7" name="_xlnm._FilterDatabase" vbProcedure="false">'MYCORRHIZAL SPORES'!$A$1:$AY$1</definedName>
    <definedName function="false" hidden="true" localSheetId="66" name="_xlnm._FilterDatabase" vbProcedure="false">N!$A$1:$AY$1</definedName>
    <definedName function="false" hidden="true" localSheetId="128" name="_xlnm._FilterDatabase" vbProcedure="false">'N uptake'!$A$1:$BJ$1</definedName>
    <definedName function="false" hidden="true" localSheetId="94" name="_xlnm._FilterDatabase" vbProcedure="false">NAG!$A$1:$AY$1</definedName>
    <definedName function="false" hidden="true" localSheetId="135" name="_xlnm._FilterDatabase" vbProcedure="false">'NET ECONOMIC BENEFIT'!$A$1:$BU$1</definedName>
    <definedName function="false" hidden="true" localSheetId="134" name="_xlnm._FilterDatabase" vbProcedure="false">'NET RETURN'!$A$1:$BU$1</definedName>
    <definedName function="false" hidden="true" localSheetId="75" name="_xlnm._FilterDatabase" vbProcedure="false">'NEX-K'!$A$1:$AY$1</definedName>
    <definedName function="false" hidden="true" localSheetId="142" name="_xlnm._FilterDatabase" vbProcedure="false">NGWP!$A$1:$BU$1</definedName>
    <definedName function="false" hidden="true" localSheetId="55" name="_xlnm._FilterDatabase" vbProcedure="false">'NLC(Cfrac4)'!$A$1:$AY$1</definedName>
    <definedName function="false" hidden="true" localSheetId="140" name="_xlnm._FilterDatabase" vbProcedure="false">NO!$A$1:$BU$1</definedName>
    <definedName function="false" hidden="true" localSheetId="77" name="_xlnm._FilterDatabase" vbProcedure="false">'NO3 leaching'!$A$1:$AY$1</definedName>
    <definedName function="false" hidden="true" localSheetId="76" name="_xlnm._FilterDatabase" vbProcedure="false">'no3,nh4,PMN'!$A$1:$CI$1</definedName>
    <definedName function="false" hidden="true" localSheetId="107" name="_xlnm._FilterDatabase" vbProcedure="false">NR!$A$1:$AY$1</definedName>
    <definedName function="false" hidden="true" localSheetId="132" name="_xlnm._FilterDatabase" vbProcedure="false">NUE!$A$1:$BV$1</definedName>
    <definedName function="false" hidden="true" localSheetId="67" name="_xlnm._FilterDatabase" vbProcedure="false">P!$A$1:$AY$1</definedName>
    <definedName function="false" hidden="true" localSheetId="129" name="_xlnm._FilterDatabase" vbProcedure="false">'P uptake'!$A$1:$BI$1</definedName>
    <definedName function="false" hidden="true" localSheetId="121" name="_xlnm._FilterDatabase" vbProcedure="false">'PANICLE-SPIKE DENSITY'!$A$1:$BK$1</definedName>
    <definedName function="false" hidden="true" localSheetId="10" name="_xlnm._FilterDatabase" vbProcedure="false">PD!$A$1:$AZ$1</definedName>
    <definedName function="false" hidden="true" localSheetId="104" name="_xlnm._FilterDatabase" vbProcedure="false">PEROX!$A$1:$AY$1</definedName>
    <definedName function="false" hidden="true" localSheetId="63" name="_xlnm._FilterDatabase" vbProcedure="false">PH!$A$1:$AY$1</definedName>
    <definedName function="false" hidden="true" localSheetId="103" name="_xlnm._FilterDatabase" vbProcedure="false">PHOX!$A$1:$AY$1</definedName>
    <definedName function="false" hidden="true" localSheetId="98" name="_xlnm._FilterDatabase" vbProcedure="false">PHYTASE!$A$1:$AY$1</definedName>
    <definedName function="false" hidden="true" localSheetId="114" name="_xlnm._FilterDatabase" vbProcedure="false">'PLANT HEIGHT'!$A$1:$BK$1</definedName>
    <definedName function="false" hidden="true" localSheetId="48" name="_xlnm._FilterDatabase" vbProcedure="false">PON!$A$1:$AY$1</definedName>
    <definedName function="false" hidden="true" localSheetId="11" name="_xlnm._FilterDatabase" vbProcedure="false">POROSITY!$A$1:$AY$1</definedName>
    <definedName function="false" hidden="true" localSheetId="51" name="_xlnm._FilterDatabase" vbProcedure="false">'POXC(KMnO4-C)'!$A$1:$AY$1</definedName>
    <definedName function="false" hidden="true" localSheetId="105" name="_xlnm._FilterDatabase" vbProcedure="false">PPO!$A$1:$AY$1</definedName>
    <definedName function="false" hidden="true" localSheetId="23" name="_xlnm._FilterDatabase" vbProcedure="false">PR!$A$1:$AY$1</definedName>
    <definedName function="false" hidden="true" localSheetId="41" name="_xlnm._FilterDatabase" vbProcedure="false">PSOC!$A$1:$AY$1</definedName>
    <definedName function="false" hidden="true" localSheetId="32" name="_xlnm._FilterDatabase" vbProcedure="false">'PWP (weight basis)'!$A$1:$AY$1</definedName>
    <definedName function="false" hidden="true" localSheetId="62" name="_xlnm._FilterDatabase" vbProcedure="false">RESP!$A$1:$AY$1</definedName>
    <definedName function="false" hidden="true" localSheetId="113" name="_xlnm._FilterDatabase" vbProcedure="false">'RLD(CM-CM3)'!$A$1:$BK$1</definedName>
    <definedName function="false" hidden="true" localSheetId="115" name="_xlnm._FilterDatabase" vbProcedure="false">'RMD(mg-cm3)'!$A$1:$BK$1</definedName>
    <definedName function="false" hidden="true" localSheetId="118" name="_xlnm._FilterDatabase" vbProcedure="false">'ROOT DIA(mm)'!$A$1:$BK$1</definedName>
    <definedName function="false" hidden="true" localSheetId="117" name="_xlnm._FilterDatabase" vbProcedure="false">'RSD(cm2-cm3)'!$A$1:$BK$1</definedName>
    <definedName function="false" hidden="true" localSheetId="116" name="_xlnm._FilterDatabase" vbProcedure="false">'RVD(cm3-cm3)'!$A$1:$BK$1</definedName>
    <definedName function="false" hidden="true" localSheetId="33" name="_xlnm._FilterDatabase" vbProcedure="false">'SAT WC'!$A$1:$AY$1</definedName>
    <definedName function="false" hidden="true" localSheetId="40" name="_xlnm._FilterDatabase" vbProcedure="false">SIC!$A$1:$AY$1</definedName>
    <definedName function="false" hidden="true" localSheetId="37" name="_xlnm._FilterDatabase" vbProcedure="false">'SOC(active C pool)'!$A$1:$BB$1</definedName>
    <definedName function="false" hidden="true" localSheetId="109" name="_xlnm._FilterDatabase" vbProcedure="false">'Soil microbial count'!$A$1:$AY$1</definedName>
    <definedName function="false" hidden="true" localSheetId="136" name="_xlnm._FilterDatabase" vbProcedure="false">SQI!$A$1:$AY$1</definedName>
    <definedName function="false" hidden="true" localSheetId="56" name="_xlnm._FilterDatabase" vbProcedure="false">'stock-SOC'!$A$1:$BB$1</definedName>
    <definedName function="false" hidden="true" localSheetId="4" name="_xlnm._FilterDatabase" vbProcedure="false">Study_Info!$A$1:$AR$1</definedName>
    <definedName function="false" hidden="true" localSheetId="120" name="_xlnm._FilterDatabase" vbProcedure="false">'SYS STRAW'!$A$1:$AX$1</definedName>
    <definedName function="false" hidden="true" localSheetId="39" name="_xlnm._FilterDatabase" vbProcedure="false">'TC(total c)'!$A$1:$AY$1</definedName>
    <definedName function="false" hidden="true" localSheetId="36" name="_xlnm._FilterDatabase" vbProcedure="false">TEXTURE!$A$1:$AM$1</definedName>
    <definedName function="false" hidden="true" localSheetId="38" name="_xlnm._FilterDatabase" vbProcedure="false">TOC!$A$1:$AY$1</definedName>
    <definedName function="false" hidden="true" localSheetId="72" name="_xlnm._FilterDatabase" vbProcedure="false">'total K'!$A$1:$AY$1</definedName>
    <definedName function="false" hidden="true" localSheetId="70" name="_xlnm._FilterDatabase" vbProcedure="false">'total N'!$A$1:$AY$1</definedName>
    <definedName function="false" hidden="true" localSheetId="71" name="_xlnm._FilterDatabase" vbProcedure="false">'total P'!$A$1:$AY$1</definedName>
    <definedName function="false" hidden="true" localSheetId="7" name="_xlnm._FilterDatabase" vbProcedure="false">Treatment_Mapping!$A$1:$N$1</definedName>
    <definedName function="false" hidden="true" localSheetId="97" name="_xlnm._FilterDatabase" vbProcedure="false">UREASE!$A$1:$AY$1</definedName>
    <definedName function="false" hidden="true" localSheetId="52" name="_xlnm._FilterDatabase" vbProcedure="false">'VLC(Cfrac1)'!$A$1:$AY$1</definedName>
    <definedName function="false" hidden="true" localSheetId="30" name="_xlnm._FilterDatabase" vbProcedure="false">WHC!$A$1:$AY$1</definedName>
    <definedName function="false" hidden="true" localSheetId="73" name="_xlnm._FilterDatabase" vbProcedure="false">'WS-K'!$A$1:$AY$1</definedName>
    <definedName function="false" hidden="true" localSheetId="18" name="_xlnm._FilterDatabase" vbProcedure="false">WSA!$A$1:$AY$1</definedName>
    <definedName function="false" hidden="true" localSheetId="43" name="_xlnm._FilterDatabase" vbProcedure="false">WSC!$A$1:$AY$1</definedName>
    <definedName function="false" hidden="true" localSheetId="131" name="_xlnm._FilterDatabase" vbProcedure="false">WUE!$A$1:$BU$1</definedName>
    <definedName function="false" hidden="true" localSheetId="102" name="_xlnm._FilterDatabase" vbProcedure="false">XYL!$A$1:$AY$1</definedName>
    <definedName function="false" hidden="true" localSheetId="119" name="_xlnm._FilterDatabase" vbProcedure="false">YIELD!$A$1:$CS$1</definedName>
    <definedName function="false" hidden="true" localSheetId="83"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<sst xmlns="http://schemas.openxmlformats.org/spreadsheetml/2006/main" count="33253" uniqueCount="6010">
  <si>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</si>
  <si>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</si>
  <si>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</si>
  <si>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</si>
  <si>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</si>
  <si>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</si>
  <si>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</si>
  <si>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</si>
  <si>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</si>
  <si>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</si>
  <si>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</si>
  <si>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</si>
  <si>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</si>
  <si>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</si>
  <si>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</si>
  <si>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</si>
  <si>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</si>
  <si>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</si>
  <si>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</si>
  <si>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</si>
  <si>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</si>
  <si>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</si>
  <si>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</si>
  <si>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</si>
  <si>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</si>
  <si>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</si>
  <si>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</si>
  <si>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</si>
  <si>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</si>
  <si>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</si>
  <si>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</si>
  <si>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</si>
  <si>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</si>
  <si>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</si>
  <si>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</si>
  <si>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</si>
  <si>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</si>
  <si>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</si>
  <si>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</si>
  <si>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</si>
  <si>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</si>
  <si>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</si>
  <si>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</si>
  <si>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</si>
  <si>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</si>
  <si>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</si>
  <si>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</si>
  <si>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</si>
  <si>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</si>
  <si>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</si>
  <si>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</si>
  <si>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</si>
  <si>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</si>
  <si>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</si>
  <si>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</si>
  <si>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</si>
  <si>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</si>
  <si>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</si>
  <si>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</si>
  <si>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</si>
  <si>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</si>
  <si>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</si>
  <si>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</si>
  <si>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</si>
  <si>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</si>
  <si>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</si>
  <si>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</si>
  <si>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</si>
  <si>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</si>
  <si>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</si>
  <si>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</si>
  <si>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</si>
  <si>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</si>
  <si>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</si>
  <si>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</si>
  <si>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</si>
  <si>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</si>
  <si>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</si>
  <si>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</si>
  <si>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</si>
  <si>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</si>
  <si>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</si>
  <si>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</si>
  <si>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</si>
  <si>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</si>
  <si>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</si>
  <si>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</si>
  <si>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</si>
  <si>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</si>
  <si>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</si>
  <si>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</si>
  <si>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</si>
  <si>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</si>
  <si>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</si>
  <si>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</si>
  <si>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</si>
  <si>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</si>
  <si>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</si>
  <si>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</si>
  <si>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</si>
  <si>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</si>
  <si>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</si>
  <si>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</si>
  <si>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</si>
  <si>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</si>
  <si>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</si>
  <si>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</si>
  <si>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</si>
  <si>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</si>
  <si>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</si>
  <si>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</si>
  <si>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</si>
  <si>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</si>
  <si>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</si>
  <si>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</si>
  <si>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</si>
  <si>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</si>
  <si>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</si>
  <si>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</si>
  <si>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</si>
  <si>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</si>
  <si>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</si>
  <si>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</si>
  <si>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</si>
  <si>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</si>
  <si>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</si>
  <si>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</si>
  <si>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</si>
  <si>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</si>
  <si>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</si>
  <si>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</si>
  <si>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</si>
  <si>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</si>
  <si>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</si>
  <si>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</si>
  <si>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</si>
  <si>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</si>
  <si>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</si>
  <si>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</si>
  <si>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</si>
  <si>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Author decisions (updated 11, 2026-10-05)</t>
  </si>
  <si>
    <t xml:space="preserve">updated 11 = updated 09 + batch 10 papers re-entered with the author's answers (updated 10 superseded): Tirol-Padre rice-straw compost = CTR (row c); Biswakarma ICM1/2 = DT, ICM3/4 = CT, ICM5-8 = CA; Gathala aggregate size classes moved to MICRO / WSA (MACRO + MICRO) and the AGG SIZE CLASS sheet removed; Obs recomputed for every row of every study as Y + T + D (rule restated by the author).</t>
  </si>
  <si>
    <t xml:space="preserve">Batch 12 (updated 12, 2026-10-05)</t>
  </si>
  <si>
    <t xml:space="preserve">updated 12 = updated 11 + files 123_real, 123, 122_real, 124_real, 124: 115 (companion) Pokharel 2018 (SRFSI Sunsari, Nepal: CT, pCA, CA rows a/b; residue per old-master 115, flag; rice-maize excluded); 174 Gathala 2017 J Ecosys Ecograph (Modipuram 2005-07: T1 pZT, T2 pCA, T3/T5 ZT, T4/T6 CA rows a/b; EC, SOC, K, MACRO, MICRO, WSA, MWD, BD 4 layers + porosity, SPR 9 depths, steady IR - all figures read exactly from vector objects); 175 Hossain 2022 (Mymensingh on-farm: TA CT vs CA strip tillage + residue MTR; yields, B:C, yield components, REY, growth duration); 176 Devkota 2015 Eur J Agron (Khorezm, Uzbekistan: ZT R0 vs CA R50/R100 on beds and flats, rows a-d; gross margin, B:C, wheat-season ECe) and 176 (companion) Devkota 2015 Agric For Meteorol (measured yields digitised from the vector scatter; DSSAT MODEL OUTPUT yields, N uptake, N leached). WSRF (conventional water-seeded rice + surface-seeded wheat) NOT entered pending the author. New default rules 103-106. Obs = Y + T + D on every new row (rule 101).</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</si>
  <si>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</si>
  <si>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</si>
  <si>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</si>
  <si>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</si>
  <si>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</si>
  <si>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</si>
  <si>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</si>
  <si>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</si>
  <si>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</si>
  <si>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</si>
  <si>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</si>
  <si>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</si>
  <si>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</si>
  <si>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</si>
  <si>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</si>
  <si>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</si>
  <si>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</si>
  <si>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</si>
  <si>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</si>
  <si>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</si>
  <si>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</si>
  <si>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</si>
  <si>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</si>
  <si>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</si>
  <si>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</si>
  <si>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</si>
  <si>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</si>
  <si>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</si>
  <si>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</si>
  <si>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</si>
  <si>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</si>
  <si>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</si>
  <si>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</si>
  <si>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</si>
  <si>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</si>
  <si>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</si>
  <si>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</si>
  <si>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</si>
  <si>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</si>
  <si>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</si>
  <si>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</si>
  <si>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</si>
  <si>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</si>
  <si>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</si>
  <si>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</si>
  <si>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</si>
  <si>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</si>
  <si>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</si>
  <si>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</si>
  <si>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</si>
  <si>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</si>
  <si>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</si>
  <si>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</si>
  <si>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</si>
  <si>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</si>
  <si>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</si>
  <si>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</si>
  <si>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</si>
  <si>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</si>
  <si>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</si>
  <si>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</si>
  <si>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</si>
  <si>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</si>
  <si>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</si>
  <si>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</si>
  <si>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</si>
  <si>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</si>
  <si>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</si>
  <si>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</si>
  <si>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</si>
  <si>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</si>
  <si>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</si>
  <si>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</si>
  <si>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</si>
  <si>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</si>
  <si>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</si>
  <si>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</si>
  <si>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</si>
  <si>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</si>
  <si>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</si>
  <si>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</si>
  <si>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</si>
  <si>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</si>
  <si>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</si>
  <si>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</si>
  <si>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</si>
  <si>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</si>
  <si>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</si>
  <si>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</si>
  <si>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</si>
  <si>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</si>
  <si>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</si>
  <si>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</si>
  <si>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</si>
  <si>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</si>
  <si>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</si>
  <si>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</si>
  <si>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</si>
  <si>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</si>
  <si>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</si>
  <si>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</si>
  <si>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</si>
  <si>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</si>
  <si>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</si>
  <si>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</si>
  <si>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</si>
  <si>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</si>
  <si>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</si>
  <si>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</si>
  <si>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</si>
  <si>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</si>
  <si>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</si>
  <si>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</si>
  <si>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</si>
  <si>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</si>
  <si>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</si>
  <si>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</si>
  <si>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</si>
  <si>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</si>
  <si>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</si>
  <si>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</si>
  <si>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IN FORCE - restated by rule 101 (recomputed for all studies in updated 11)</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</si>
  <si>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</si>
  <si>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</si>
  <si>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</si>
  <si>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</si>
  <si>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</si>
  <si>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</si>
  <si>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</si>
  <si>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</si>
  <si>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</si>
  <si>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</si>
  <si>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</si>
  <si>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</si>
  <si>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</si>
  <si>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</si>
  <si>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</si>
  <si>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</si>
  <si>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</si>
  <si>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</si>
  <si>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</si>
  <si>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</si>
  <si>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</si>
  <si>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</si>
  <si>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</si>
  <si>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</si>
  <si>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</si>
  <si>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</si>
  <si>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</si>
  <si>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</si>
  <si>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</si>
  <si>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</si>
  <si>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</si>
  <si>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</si>
  <si>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</si>
  <si>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</si>
  <si>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</si>
  <si>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</si>
  <si>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</si>
  <si>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</si>
  <si>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</si>
  <si>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</si>
  <si>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</si>
  <si>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</si>
  <si>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</si>
  <si>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</si>
  <si>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</si>
  <si>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</si>
  <si>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</si>
  <si>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</si>
  <si>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</si>
  <si>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</si>
  <si>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</si>
  <si>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</si>
  <si>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</si>
  <si>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</si>
  <si>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</si>
  <si>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</si>
  <si>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</si>
  <si>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</si>
  <si>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</si>
  <si>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</si>
  <si>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</si>
  <si>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</si>
  <si>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</si>
  <si>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</si>
  <si>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</si>
  <si>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</si>
  <si>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</si>
  <si>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</si>
  <si>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</si>
  <si>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</si>
  <si>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</si>
  <si>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</si>
  <si>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</si>
  <si>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</si>
  <si>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</si>
  <si>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</si>
  <si>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</si>
  <si>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</si>
  <si>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</si>
  <si>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</si>
  <si>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</si>
  <si>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</si>
  <si>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</si>
  <si>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</si>
  <si>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</si>
  <si>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</si>
  <si>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</si>
  <si>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</si>
  <si>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</si>
  <si>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</si>
  <si>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</si>
  <si>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</si>
  <si>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</si>
  <si>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</si>
  <si>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</si>
  <si>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</si>
  <si>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</si>
  <si>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</si>
  <si>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</si>
  <si>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</si>
  <si>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</si>
  <si>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</si>
  <si>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</si>
  <si>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</si>
  <si>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</si>
  <si>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</si>
  <si>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</si>
  <si>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</si>
  <si>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</si>
  <si>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</si>
  <si>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</si>
  <si>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</si>
  <si>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</si>
  <si>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</si>
  <si>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</si>
  <si>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</si>
  <si>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</si>
  <si>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</si>
  <si>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</si>
  <si>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</si>
  <si>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</si>
  <si>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</si>
  <si>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SOIL TEMP (author confirmed). Aggregate size classes are NOT kept on a separate sheet (AGG SIZE CLASS removed in updated 11): classes &gt;0.25 mm -&gt; MACRO, water-stable classes &lt;0.25 mm -&gt; MICRO, MACRO + MICRO -&gt; WSA (g/g).</t>
  </si>
  <si>
    <t xml:space="preserve">Residue-type trials under conventional puddled rice-wheat (straw incorporated vs none): CT = no-residue plot at the SAME fertiliser level, CTR = straw plot; one row per straw type. Composted crop residue (rice-straw compost) counts as CTR (author). Unfertilised tiers excluded (rule 78).</t>
  </si>
  <si>
    <t xml:space="preserve">172 Tirol-Padre 2005 (+N tier: urea vs rice straw row a / wheat straw row b / rice-straw compost row c; -N tier not entered).</t>
  </si>
  <si>
    <t xml:space="preserve">Annual deep (chisel) ploughing to ~30 cm before puddled rice = DT, even when the authors call it conventional; chisel-ploughed direct-seeded rice + raised-bed wheat formed after disc + cultivator tillage = CT. ICM modules: rows pair the same fertiliser module across tillage codes; '+ mungbean' CA modules as further rows.</t>
  </si>
  <si>
    <t xml:space="preserve">173 Biswakarma 2023: ICM1/2 DT, ICM3/4 CT, ICM5-8 CA (rows a-d). Flag: the paper states chisel ploughing for ICM1-4 alike.</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</si>
  <si>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</si>
  <si>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</si>
  <si>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</si>
  <si>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</si>
  <si>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</si>
  <si>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OBS (author restatement 2026-10-05): Obs = Y + T + D for each row, a factor equal to 1 adding nothing (minimum 1). Y = years of data for that parameter at that depth in the study (year-wise rows: the number of years in the row's series; pooled means: years pooled); T = paper treatments under one code (rule-20 rows a/b/c, or treatments pooled into one value); D = paper depths falling in the depth class. Example: 3 years + 2 treatments + 3 depths -&gt; Obs 8 for that depth class.</t>
  </si>
  <si>
    <t xml:space="preserve">Recomputed for every row of every study in updated 11 (360 of 1078 rows changed; e.g. year-wise rows now carry Y = years in the series). Each row's Notes end with the Y/T/D breakdown.</t>
  </si>
  <si>
    <t xml:space="preserve">WATER-STABLE AGGREGATE SIZE CLASSES: sum of classes &gt;0.25 mm -&gt; MACRO; water-stable classes &lt;0.25 mm (down to 0.053 mm) -&gt; MICRO; WSA = MACRO + MICRO in g/g. A finest class that includes &lt;0.053 mm silt + clay is left out of MICRO (flag).</t>
  </si>
  <si>
    <t xml:space="preserve">15 (companion 2) Gathala 2011 Fig. 2: MICRO = 0.25-0.11 mm class; MACRO = Table 3 2008-09; WSA = (MACRO + MICRO)/100.</t>
  </si>
  <si>
    <t xml:space="preserve">In one paper, puddled rice + ZT wheat -&gt; pZT / pCA (rule 68), while conventionally DRY-TILLED UNPUDDLED rice (DSR) + ZT wheat -&gt; ZT / CA (rule 25, flagged); the two are never pooled.</t>
  </si>
  <si>
    <t xml:space="preserve">174 Gathala 2017: T1 pZT, T2 pCA, T3 / T4 (CT-DSR) ZT / CA row a, T5 / T6 (ZT-DSR) ZT / CA row b.</t>
  </si>
  <si>
    <t xml:space="preserve">IN FORCE - awaiting author confirmation</t>
  </si>
  <si>
    <t xml:space="preserve">A treatment that two rules code differently (e.g. conventional dry-tilled, non-puddled WATER-SEEDED rice + surface-seeded ZT wheat: ZT under rule 25 or pZT under rule 68) is NOT entered; its values are written into the Notes of the study's rows and the treatment is logged as PENDING until the author decides.</t>
  </si>
  <si>
    <t xml:space="preserve">176 / 176 (companion) Devkota 2015 WSRF-SSW-FI and WSRF-SSW-AWD.</t>
  </si>
  <si>
    <t xml:space="preserve">Default 2026-10-05 (rule 3)</t>
  </si>
  <si>
    <t xml:space="preserve">PENDING - author decision</t>
  </si>
  <si>
    <t xml:space="preserve">B:C not defined in the paper: treated as gross / cost and converted (printed - 1, rule 57) when the printed numbers imply it (net/cost would give a total cost below the itemised costs); flagged on the row.</t>
  </si>
  <si>
    <t xml:space="preserve">175 Hossain 2022 (rice TA: gross 1133 US$/ha, BCR 1.07 -&gt; cost 1059 as gross/cost vs 547 as net/cost &lt; tillage + weeding 455 + fertiliser).</t>
  </si>
  <si>
    <t xml:space="preserve">Crop-model papers: MEASURED values printed only as points of a measured-vs-simulated plot are entered as measured data (read from the measured axis and checked against the printed measured means); the paper's simulated long-term means are entered as separate MODEL OUTPUT rows (rule 55); simulation-only scenarios never tested in the field are not entered.</t>
  </si>
  <si>
    <t xml:space="preserve">176 (companion) Devkota 2015 AFM: Figs 3A / 4 measured yields 2008-2009 (means reproduce Tables 4-5 within 3 kg/ha); Tables 6-7 DSSAT 1971-2010 yields, N uptake, N leached; scenarios 9-11 excluded.</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</si>
  <si>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</si>
  <si>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</si>
  <si>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</si>
  <si>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</si>
  <si>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</si>
  <si>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</si>
  <si>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</si>
  <si>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</si>
  <si>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</si>
  <si>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</si>
  <si>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</si>
  <si>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</si>
  <si>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</si>
  <si>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</si>
  <si>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</si>
  <si>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</si>
  <si>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</si>
  <si>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</si>
  <si>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</si>
  <si>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</si>
  <si>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</si>
  <si>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</si>
  <si>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</si>
  <si>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</si>
  <si>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</si>
  <si>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</si>
  <si>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</si>
  <si>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</si>
  <si>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</si>
  <si>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</si>
  <si>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</si>
  <si>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</si>
  <si>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</si>
  <si>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</si>
  <si>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</si>
  <si>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</si>
  <si>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</si>
  <si>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</si>
  <si>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</si>
  <si>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</si>
  <si>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</si>
  <si>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</si>
  <si>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</si>
  <si>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</si>
  <si>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</si>
  <si>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</si>
  <si>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</si>
  <si>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</si>
  <si>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</si>
  <si>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</si>
  <si>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</si>
  <si>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</si>
  <si>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</si>
  <si>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</si>
  <si>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</si>
  <si>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</si>
  <si>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</si>
  <si>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</si>
  <si>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</si>
  <si>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</si>
  <si>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</si>
  <si>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</si>
  <si>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</si>
  <si>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</si>
  <si>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</si>
  <si>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</si>
  <si>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</si>
  <si>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</si>
  <si>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</si>
  <si>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</si>
  <si>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</si>
  <si>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</si>
  <si>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</si>
  <si>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</si>
  <si>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</si>
  <si>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</si>
  <si>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</si>
  <si>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</si>
  <si>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</si>
  <si>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</si>
  <si>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</si>
  <si>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</si>
  <si>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</si>
  <si>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</si>
  <si>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</si>
  <si>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</si>
  <si>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</si>
  <si>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</si>
  <si>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</si>
  <si>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</si>
  <si>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</si>
  <si>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</si>
  <si>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</si>
  <si>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</si>
  <si>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</si>
  <si>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</si>
  <si>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</si>
  <si>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</si>
  <si>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</si>
  <si>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</si>
  <si>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</si>
  <si>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</si>
  <si>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</si>
  <si>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</si>
  <si>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</si>
  <si>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</si>
  <si>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</si>
  <si>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</si>
  <si>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</si>
  <si>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</si>
  <si>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</si>
  <si>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</si>
  <si>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</si>
  <si>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</si>
  <si>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</si>
  <si>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</si>
  <si>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</si>
  <si>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</si>
  <si>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</si>
  <si>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</si>
  <si>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</si>
  <si>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</si>
  <si>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</si>
  <si>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</si>
  <si>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</si>
  <si>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</si>
  <si>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</si>
  <si>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</si>
  <si>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</si>
  <si>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</si>
  <si>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</si>
  <si>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</si>
  <si>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</si>
  <si>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</si>
  <si>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</si>
  <si>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</si>
  <si>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</si>
  <si>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</si>
  <si>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</si>
  <si>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</si>
  <si>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</si>
  <si>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</si>
  <si>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</si>
  <si>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</si>
  <si>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</si>
  <si>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</si>
  <si>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</si>
  <si>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</si>
  <si>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</si>
  <si>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</si>
  <si>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</si>
  <si>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</si>
  <si>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</si>
  <si>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</si>
  <si>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</si>
  <si>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</si>
  <si>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</si>
  <si>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</si>
  <si>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</si>
  <si>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</si>
  <si>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</si>
  <si>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</si>
  <si>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</si>
  <si>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</si>
  <si>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</si>
  <si>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</si>
  <si>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</si>
  <si>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</si>
  <si>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</si>
  <si>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</si>
  <si>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</si>
  <si>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</si>
  <si>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</si>
  <si>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</si>
  <si>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</si>
  <si>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</si>
  <si>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</si>
  <si>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</si>
  <si>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</si>
  <si>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</si>
  <si>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</si>
  <si>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</si>
  <si>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</si>
  <si>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</si>
  <si>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</si>
  <si>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</si>
  <si>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</si>
  <si>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</si>
  <si>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</si>
  <si>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</si>
  <si>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</si>
  <si>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</si>
  <si>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</si>
  <si>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</si>
  <si>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</si>
  <si>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</si>
  <si>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</si>
  <si>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</si>
  <si>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</si>
  <si>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</si>
  <si>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</si>
  <si>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</si>
  <si>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</si>
  <si>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</si>
  <si>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</si>
  <si>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</si>
  <si>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</si>
  <si>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</si>
  <si>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</si>
  <si>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</si>
  <si>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</si>
  <si>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</si>
  <si>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</si>
  <si>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</si>
  <si>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</si>
  <si>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</si>
  <si>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</si>
  <si>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</si>
  <si>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</si>
  <si>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</si>
  <si>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</si>
  <si>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</si>
  <si>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</si>
  <si>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</si>
  <si>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</si>
  <si>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</si>
  <si>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</si>
  <si>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</si>
  <si>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</si>
  <si>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</si>
  <si>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</si>
  <si>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</si>
  <si>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</si>
  <si>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</si>
  <si>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</si>
  <si>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</si>
  <si>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</si>
  <si>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</si>
  <si>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</si>
  <si>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</si>
  <si>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</si>
  <si>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</si>
  <si>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</si>
  <si>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</si>
  <si>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</si>
  <si>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</si>
  <si>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</si>
  <si>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</si>
  <si>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</si>
  <si>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</si>
  <si>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</si>
  <si>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</si>
  <si>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</si>
  <si>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</si>
  <si>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</si>
  <si>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</si>
  <si>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</si>
  <si>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</si>
  <si>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</si>
  <si>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</si>
  <si>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</si>
  <si>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</si>
  <si>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</si>
  <si>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</si>
  <si>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</si>
  <si>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</si>
  <si>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</si>
  <si>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</si>
  <si>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</si>
  <si>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</si>
  <si>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</si>
  <si>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</si>
  <si>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</si>
  <si>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</si>
  <si>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</si>
  <si>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</si>
  <si>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</si>
  <si>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</si>
  <si>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</si>
  <si>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</si>
  <si>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</si>
  <si>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</si>
  <si>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</si>
  <si>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</si>
  <si>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</si>
  <si>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</si>
  <si>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</si>
  <si>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</si>
  <si>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</si>
  <si>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</si>
  <si>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</si>
  <si>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</si>
  <si>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</si>
  <si>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</si>
  <si>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</si>
  <si>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</si>
  <si>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</si>
  <si>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</si>
  <si>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</si>
  <si>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</si>
  <si>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</si>
  <si>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</si>
  <si>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</si>
  <si>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</si>
  <si>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</si>
  <si>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</si>
  <si>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</si>
  <si>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</si>
  <si>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</si>
  <si>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</si>
  <si>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</si>
  <si>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</si>
  <si>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</si>
  <si>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</si>
  <si>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</si>
  <si>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</si>
  <si>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</si>
  <si>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</si>
  <si>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</si>
  <si>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</si>
  <si>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</si>
  <si>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</si>
  <si>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</si>
  <si>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</si>
  <si>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</si>
  <si>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</si>
  <si>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</si>
  <si>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</si>
  <si>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</si>
  <si>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</si>
  <si>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</si>
  <si>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</si>
  <si>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</si>
  <si>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</si>
  <si>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</si>
  <si>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</si>
  <si>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</si>
  <si>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</si>
  <si>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</si>
  <si>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</si>
  <si>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</si>
  <si>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</si>
  <si>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</si>
  <si>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</si>
  <si>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</si>
  <si>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</si>
  <si>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</si>
  <si>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</si>
  <si>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</si>
  <si>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</si>
  <si>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</si>
  <si>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</si>
  <si>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</si>
  <si>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</si>
  <si>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</si>
  <si>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</si>
  <si>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</si>
  <si>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</si>
  <si>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</si>
  <si>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</si>
  <si>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</si>
  <si>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</si>
  <si>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</si>
  <si>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</si>
  <si>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</si>
  <si>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</si>
  <si>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</si>
  <si>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</si>
  <si>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</si>
  <si>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</si>
  <si>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</si>
  <si>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</si>
  <si>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</si>
  <si>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</si>
  <si>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</si>
  <si>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</si>
  <si>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</si>
  <si>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</si>
  <si>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</si>
  <si>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</si>
  <si>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</si>
  <si>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</si>
  <si>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</si>
  <si>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</si>
  <si>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</si>
  <si>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</si>
  <si>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</si>
  <si>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</si>
  <si>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</si>
  <si>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</si>
  <si>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</si>
  <si>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</si>
  <si>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</si>
  <si>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</si>
  <si>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</si>
  <si>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</si>
  <si>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</si>
  <si>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</si>
  <si>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</si>
  <si>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</si>
  <si>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</si>
  <si>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</si>
  <si>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</si>
  <si>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</si>
  <si>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</si>
  <si>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</si>
  <si>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</si>
  <si>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</si>
  <si>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</si>
  <si>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</si>
  <si>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</si>
  <si>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</si>
  <si>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</si>
  <si>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</si>
  <si>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</si>
  <si>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</si>
  <si>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</si>
  <si>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</si>
  <si>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</si>
  <si>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</si>
  <si>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</si>
  <si>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</si>
  <si>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</si>
  <si>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</si>
  <si>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</si>
  <si>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</si>
  <si>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</si>
  <si>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</si>
  <si>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</si>
  <si>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</si>
  <si>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</si>
  <si>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</si>
  <si>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</si>
  <si>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</si>
  <si>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</si>
  <si>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</si>
  <si>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</si>
  <si>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</si>
  <si>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</si>
  <si>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</si>
  <si>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</si>
  <si>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</si>
  <si>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</si>
  <si>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</si>
  <si>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</si>
  <si>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</si>
  <si>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</si>
  <si>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</si>
  <si>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</si>
  <si>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</si>
  <si>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</si>
  <si>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</si>
  <si>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</si>
  <si>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</si>
  <si>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</si>
  <si>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</si>
  <si>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</si>
  <si>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</si>
  <si>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</si>
  <si>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</si>
  <si>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</si>
  <si>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</si>
  <si>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</si>
  <si>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</si>
  <si>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</si>
  <si>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</si>
  <si>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</si>
  <si>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</si>
  <si>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</si>
  <si>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</si>
  <si>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</si>
  <si>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</si>
  <si>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</si>
  <si>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</si>
  <si>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</si>
  <si>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</si>
  <si>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</si>
  <si>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</si>
  <si>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</si>
  <si>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</si>
  <si>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</si>
  <si>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</si>
  <si>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</si>
  <si>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</si>
  <si>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</si>
  <si>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</si>
  <si>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</si>
  <si>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</si>
  <si>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</si>
  <si>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</si>
  <si>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</si>
  <si>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</si>
  <si>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</si>
  <si>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</si>
  <si>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</si>
  <si>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</si>
  <si>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</si>
  <si>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</si>
  <si>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</si>
  <si>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</si>
  <si>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</si>
  <si>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</si>
  <si>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</si>
  <si>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</si>
  <si>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</si>
  <si>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</si>
  <si>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</si>
  <si>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</si>
  <si>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</si>
  <si>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</si>
  <si>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</si>
  <si>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</si>
  <si>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</si>
  <si>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</si>
  <si>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</si>
  <si>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</si>
  <si>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</si>
  <si>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</si>
  <si>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</si>
  <si>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</si>
  <si>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</si>
  <si>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</si>
  <si>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</si>
  <si>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</si>
  <si>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</si>
  <si>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</si>
  <si>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</si>
  <si>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</si>
  <si>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</si>
  <si>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</si>
  <si>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</si>
  <si>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</si>
  <si>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</si>
  <si>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</si>
  <si>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</si>
  <si>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</si>
  <si>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</si>
  <si>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</si>
  <si>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</si>
  <si>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</si>
  <si>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</si>
  <si>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</si>
  <si>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</si>
  <si>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</si>
  <si>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</si>
  <si>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</si>
  <si>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</si>
  <si>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</si>
  <si>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</si>
  <si>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</si>
  <si>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</si>
  <si>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</si>
  <si>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</si>
  <si>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</si>
  <si>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</si>
  <si>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</si>
  <si>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</si>
  <si>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</si>
  <si>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</si>
  <si>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</si>
  <si>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</si>
  <si>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</si>
  <si>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</si>
  <si>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</si>
  <si>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</si>
  <si>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</si>
  <si>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</si>
  <si>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</si>
  <si>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</si>
  <si>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</si>
  <si>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</si>
  <si>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</si>
  <si>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</si>
  <si>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</si>
  <si>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</si>
  <si>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</si>
  <si>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</si>
  <si>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</si>
  <si>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</si>
  <si>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</si>
  <si>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</si>
  <si>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</si>
  <si>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</si>
  <si>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</si>
  <si>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</si>
  <si>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</si>
  <si>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</si>
  <si>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</si>
  <si>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</si>
  <si>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</si>
  <si>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</si>
  <si>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</si>
  <si>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</si>
  <si>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</si>
  <si>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</si>
  <si>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</si>
  <si>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</si>
  <si>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</si>
  <si>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</si>
  <si>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</si>
  <si>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</si>
  <si>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</si>
  <si>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</si>
  <si>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</si>
  <si>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</si>
  <si>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</si>
  <si>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</si>
  <si>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</si>
  <si>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</si>
  <si>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</si>
  <si>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</si>
  <si>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</si>
  <si>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</si>
  <si>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</si>
  <si>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</si>
  <si>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</si>
  <si>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</si>
  <si>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</si>
  <si>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</si>
  <si>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</si>
  <si>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</si>
  <si>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</si>
  <si>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</si>
  <si>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</si>
  <si>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</si>
  <si>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</si>
  <si>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</si>
  <si>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</si>
  <si>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</si>
  <si>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</si>
  <si>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</si>
  <si>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</si>
  <si>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</si>
  <si>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</si>
  <si>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</si>
  <si>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</si>
  <si>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</si>
  <si>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</si>
  <si>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</si>
  <si>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</si>
  <si>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</si>
  <si>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</si>
  <si>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</si>
  <si>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</si>
  <si>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</si>
  <si>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</si>
  <si>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</si>
  <si>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</si>
  <si>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</si>
  <si>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</si>
  <si>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</si>
  <si>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</si>
  <si>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</si>
  <si>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</si>
  <si>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</si>
  <si>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</si>
  <si>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</si>
  <si>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</si>
  <si>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</si>
  <si>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</si>
  <si>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</si>
  <si>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</si>
  <si>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</si>
  <si>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</si>
  <si>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</si>
  <si>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</si>
  <si>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</si>
  <si>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</si>
  <si>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</si>
  <si>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</si>
  <si>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</si>
  <si>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</si>
  <si>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</si>
  <si>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</si>
  <si>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</si>
  <si>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</si>
  <si>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</si>
  <si>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</si>
  <si>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</si>
  <si>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</si>
  <si>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</si>
  <si>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</si>
  <si>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</si>
  <si>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</si>
  <si>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</si>
  <si>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</si>
  <si>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</si>
  <si>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</si>
  <si>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</si>
  <si>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</si>
  <si>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</si>
  <si>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</si>
  <si>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</si>
  <si>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</si>
  <si>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</si>
  <si>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</si>
  <si>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</si>
  <si>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</si>
  <si>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</si>
  <si>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row c CT = urea N vs CTR = rice-straw compost + N (author 2026-10-05). NOT ENTERED: -N tier (unfertilised control as CT, rule 78).</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</si>
  <si>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</si>
  <si>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 c (rice-straw compost).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</si>
  <si>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</si>
  <si>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</si>
  <si>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</si>
  <si>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</si>
  <si>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</si>
  <si>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</si>
  <si>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</si>
  <si>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</si>
  <si>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</si>
  <si>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</si>
  <si>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</si>
  <si>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</si>
  <si>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</si>
  <si>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</si>
  <si>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</si>
  <si>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</si>
  <si>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</si>
  <si>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</si>
  <si>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</si>
  <si>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</si>
  <si>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</si>
  <si>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</si>
  <si>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</si>
  <si>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</si>
  <si>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</si>
  <si>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</si>
  <si>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</si>
  <si>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</si>
  <si>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</si>
  <si>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</si>
  <si>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</si>
  <si>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</si>
  <si>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</si>
  <si>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DT (annual chisel ploughing 30 cm; author 2026-10-05) ; ICM2 = ICM1 with 75 % RF + NPK bio-fertiliser + AM fungi -&gt; DT ; ICM3 / ICM4 direct-seeded rice after chisel ploughing (30 cm) + furrow-irrigated raised-bed wheat (beds made each year after disc + 2 cultivator), 100 % / 75 % RF + bf -&gt; CT (author 2026-10-05)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</si>
  <si>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</si>
  <si>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</si>
  <si>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(author coding): DT (ICM1/2), CT (ICM3/4), CA (ICM5-8), rows a-d. SYI radar (Fig. 2) not digitised (values not printed).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t>
  </si>
  <si>
    <t xml:space="preserve">Gathala M.K., Jat M.L., Saharawat Y.S., Sharma S.K., Yadvinder-Singh &amp; Ladha J.K.</t>
  </si>
  <si>
    <t xml:space="preserve">Journal of Ecosystem &amp; Ecography</t>
  </si>
  <si>
    <t xml:space="preserve">Gathala MK, Jat ML, Saharawat YS, Sharma SK, Yadvinder-Singh &amp; Ladha JK (2017) Physical and chemical properties of a sandy loam soil under irrigated rice-wheat sequence in the Indo-Gangetic Plains of South Asia. J Ecosys Ecograph 7(3):246</t>
  </si>
  <si>
    <t xml:space="preserve">https://doi.org/10.4172/2157-7625.1000246</t>
  </si>
  <si>
    <t xml:space="preserve">IIFSR (PDCSR) research farm, Modipuram, Meerut</t>
  </si>
  <si>
    <t xml:space="preserve">29 deg 4' N</t>
  </si>
  <si>
    <t xml:space="preserve">77 deg 46' E</t>
  </si>
  <si>
    <t xml:space="preserve">2005-06, 2006-07; soil April 2007</t>
  </si>
  <si>
    <t xml:space="preserve">1 soil sampling (after 2 cycles)</t>
  </si>
  <si>
    <t xml:space="preserve">Sandy loam (sand 620, silt 205, clay 165 g/kg), Typic Ustochrept</t>
  </si>
  <si>
    <t xml:space="preserve">Rice-wheat (+ Sesbania brown manure in T2/T4/T6)</t>
  </si>
  <si>
    <t xml:space="preserve">PHB-71</t>
  </si>
  <si>
    <t xml:space="preserve">rice 150, wheat 120</t>
  </si>
  <si>
    <t xml:space="preserve">Rice residue ~8 Mg/ha mulch in wheat; 2.25 Mg/ha wheat stubble (T2/T4 incorporated, T6 surface)</t>
  </si>
  <si>
    <t xml:space="preserve">Rice irrigated at -20 kPa (15-18 cm); wheat 5 x 60 mm</t>
  </si>
  <si>
    <t xml:space="preserve">TREATMENTS IN PAPER (IIFSR Modipuram, RCBD 3 reps, 6 x 20 m plots, 2 rice-wheat cycles 2005-06 and 2006-07; wheat ZERO-TILL drill-seeded (DSW) in ALL plots): T1 CT-TPR (-S,-WR)/ZT-DSW (-RR): puddled TPR (2 cross harrowings + 2 tyne passes, puddled twice by disc harrow + planking), no Sesbania, wheat stubble removed, rice residue removed; T2 CT-TPR (+S,+WR)/ZT-DSW (+RR): as T1 + Sesbania intercrop 30 d (brown manure), 15-cm wheat stubble incorporated at puddling, ~8 Mg/ha rice residue retained as mulch (Turbo Happy Seeder); T3 CT-DSR (-S,-WR)/ZT-DSW (-RR): dry tillage (2 harrowings 12-15 cm + 2 tyne passes + planking), drill-seeded rice, no residue; T4 CT-DSR (+S,+WR)/ZT-DSW (+RR): as T3 + Sesbania + wheat stubble incorporated by dry tillage + rice residue mulch; T5 ZT-DSR (-S,-WR)/ZT-DSW (-RR); T6 ZT-DSR (+S,+WR)/ZT-DSW (+RR): wheat stubble left on surface + rice residue mulch. Rice 150-26-50 kg N-P-K + 8.75 Zn; wheat 120-26-50.</t>
  </si>
  <si>
    <t xml:space="preserve">0-15 cm EC, SOC, NH4OAc-K, MACRO (Fig. 2), MICRO (0.106-0.25 mm), WSA (derived), MWD; BD 4 layers (Fig. 1) + porosity (derived); SPR 5-45 cm (Fig. 3); steady IR (Fig. 4) - all figures digitised exactly from vector objects</t>
  </si>
  <si>
    <t xml:space="preserve">INCLUDED: pZT (T1), pCA (T2), ZT (T3/T5) and CA (T4/T6) rows a/b. Soil temperature (Figs 6-7) and matric potential (Fig. 5) printed only as residue main effects pooled over pZT/ZT or pCA/CA treatments -&gt; not entered (rule 65). Text: minimum soil temperature 1.12-2.21 C higher and maximum 2.2-2.8 C lower with residue in early wheat.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t>
  </si>
  <si>
    <t xml:space="preserve">Hossain M.M., Begum M. &amp; Bell R.W.</t>
  </si>
  <si>
    <t xml:space="preserve">Research on World Agricultural Economy</t>
  </si>
  <si>
    <t xml:space="preserve">Hossain MM, Begum M &amp; Bell RW (2022) Land use, productivity, and profitability of traditional rice-wheat system could be improved by conservation agriculture. Res World Agric Econ 3(2):48-58 (article 516)</t>
  </si>
  <si>
    <t xml:space="preserve">https://doi.org/10.36956/rwae.v3i2.516</t>
  </si>
  <si>
    <t xml:space="preserve">Farmers' field, Bhungnamary village, Gouripur, Mymensingh</t>
  </si>
  <si>
    <t xml:space="preserve">24.4514 N</t>
  </si>
  <si>
    <t xml:space="preserve">90.2411 E</t>
  </si>
  <si>
    <t xml:space="preserve">2016-17, 2017-18</t>
  </si>
  <si>
    <t xml:space="preserve">2 (pooled)</t>
  </si>
  <si>
    <t xml:space="preserve">Sandy clay loam (sand 52, silt 20, clay 28 %)</t>
  </si>
  <si>
    <t xml:space="preserve">Rice-wheat and rice-wheat-mungbean (cropping-system factor)</t>
  </si>
  <si>
    <t xml:space="preserve">BARI Gom 26</t>
  </si>
  <si>
    <t xml:space="preserve">BRRI hybrid dhan6</t>
  </si>
  <si>
    <t xml:space="preserve">rice 120, wheat 90, mungbean 20</t>
  </si>
  <si>
    <t xml:space="preserve">22 / 26 / 20</t>
  </si>
  <si>
    <t xml:space="preserve">35 / 33 / 15</t>
  </si>
  <si>
    <t xml:space="preserve">CA: 50 % anchored residue of the previous crop (height basis); TA: none</t>
  </si>
  <si>
    <t xml:space="preserve">Rice rainfed; wheat 3 irrigations; mungbean 2</t>
  </si>
  <si>
    <t xml:space="preserve">TREATMENTS IN PAPER (on-farm, Bhungnamary village, Gouripur, Mymensingh; RCBD 4 reps, 9 x 5 m plots; 2016-17 and 2017-18): crop establishment TA = traditional agriculture: plough tillage (4 ploughings + cross ploughings by two-wheel tractor), puddled manual transplanting of rice, manual line sowing of wheat / mungbean, three hand weedings, previous crop residue removed; CA = pre-plant glyphosate + SINGLE (strip) tillage by Versatile Multi-crop Planter (6 x 5 cm strips at row spacing; rice transplanted into the strips after 24 h flooding - unpuddled), pre- and post-emergence herbicides, 50 % anchored residue of the previous crop; x cropping system R-W vs R-W-M (summer mungbean after wheat).</t>
  </si>
  <si>
    <t xml:space="preserve">Rice / wheat grain yield, B:C (converted), tillers / spikes m-2, grains per panicle, 1000-grain weight (pooled); REY per system; growth duration</t>
  </si>
  <si>
    <t xml:space="preserve">INCLUDED: CT (TA) vs MTR (CA, strip / single tillage + residue). No soil data in the paper. Mungbean yields, LUE, PE and Table 6 input costs not entered (no sheets).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t>
  </si>
  <si>
    <t xml:space="preserve">Devkota K.P., Lamers J.P.A., Manschadi A.M., Devkota M., McDonald A.J. &amp; Vlek P.L.G.</t>
  </si>
  <si>
    <t xml:space="preserve">European Journal of Agronomy</t>
  </si>
  <si>
    <t xml:space="preserve">Devkota KP, Lamers JPA, Manschadi AM, Devkota M, McDonald AJ &amp; Vlek PLG (2015) Comparative advantages of conservation agriculture based rice-wheat rotation systems under water and salt dynamics typical for the irrigated arid drylands in Central Asia. Eur J Agron 62:98-109</t>
  </si>
  <si>
    <t xml:space="preserve">https://doi.org/10.1016/j.eja.2014.10.002</t>
  </si>
  <si>
    <t xml:space="preserve">Uzbekistan</t>
  </si>
  <si>
    <t xml:space="preserve">Khorezm region, Urgench (ZEF/UNESCO experimental station)</t>
  </si>
  <si>
    <t xml:space="preserve">60.050-61.390 N (printed; coordinates swapped in the paper)</t>
  </si>
  <si>
    <t xml:space="preserve">41.130-42.020 E (printed)</t>
  </si>
  <si>
    <t xml:space="preserve">Approximate (Urgench, Khorezm; paper swaps lat / long)</t>
  </si>
  <si>
    <t xml:space="preserve">2008-2010</t>
  </si>
  <si>
    <t xml:space="preserve">2 (year-wise)</t>
  </si>
  <si>
    <t xml:space="preserve">Calcaric gleysol; 0-10 cm sand 23, silt 58, clay 19 % (silt loam; Table 2 of the companion)</t>
  </si>
  <si>
    <t xml:space="preserve">Rice-wheat (fallow between wheat harvest and rice)</t>
  </si>
  <si>
    <t xml:space="preserve">Krasnodar-99</t>
  </si>
  <si>
    <t xml:space="preserve">Nukus-2</t>
  </si>
  <si>
    <t xml:space="preserve">rice 250-257, wheat 124-233</t>
  </si>
  <si>
    <t xml:space="preserve">120 / 100-140 P2O5</t>
  </si>
  <si>
    <t xml:space="preserve">80 / 70 K2O</t>
  </si>
  <si>
    <t xml:space="preserve">R50 1.5-4.1, R100 3.0-6.7 t/ha standing straw (Table 2)</t>
  </si>
  <si>
    <t xml:space="preserve">DSR AWD (20 kPa at 20 cm); WSR continuous flooding; wheat furrow / flood irrigated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</si>
  <si>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t>
  </si>
  <si>
    <t xml:space="preserve">Gross margin and B:C (rice, wheat, system; 2 years), wheat-season ECe at 5 layers (Fig. 3, R0 vs R100)</t>
  </si>
  <si>
    <t xml:space="preserve">INCLUDED: ZT (R0) vs CA (R50 / R100) rows a-d. PENDING (author): WSRF-SSW-FI / -AWD. Irrigation water (Fig. 1, bed vs flat pooled over residue), infiltration (Fig. 2, DSR vs fallow) and groundwater (Figs 4-5, DSR vs WSR) not entered (no code contrast).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t>
  </si>
  <si>
    <t xml:space="preserve">176 (companion)</t>
  </si>
  <si>
    <t xml:space="preserve">Devkota K.P., Hoogenboom G., Boote K.J., Singh U., Lamers J.P.A., Devkota M. &amp; Vlek P.L.G.</t>
  </si>
  <si>
    <t xml:space="preserve">Agricultural and Forest Meteorology</t>
  </si>
  <si>
    <t xml:space="preserve">Devkota KP, Hoogenboom G, Boote KJ, Singh U, Lamers JPA, Devkota M &amp; Vlek PLG (2015) Simulating the impact of water saving irrigation and conservation agriculture practices for rice-wheat systems in the irrigated semi-arid drylands of Central Asia. Agric For Meteorol 214-215:266-280</t>
  </si>
  <si>
    <t xml:space="preserve">https://doi.org/10.1016/j.agrformet.2015.08.264</t>
  </si>
  <si>
    <t xml:space="preserve">As 176</t>
  </si>
  <si>
    <t xml:space="preserve">2008-2010 (measured); 1971-2010 (simulated)</t>
  </si>
  <si>
    <t xml:space="preserve">2 measured; 39 simulated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</si>
  <si>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 Simulation-only scenarios 9-11 (WSRF puddled, CT-DSR, CT-DSR + DPUS).</t>
  </si>
  <si>
    <t xml:space="preserve">Measured rice and wheat grain yields 2008 and 2009 (Figs 3A / 4, vector); MODEL OUTPUT (DSSAT 1971-2010): yields, N uptake, N leached</t>
  </si>
  <si>
    <t xml:space="preserve">COMPANION of 176. Biomass / LAI dynamics (Figs 2-3), mineral N (Fig. 5, WSR vs pooled DSR) and soil moisture (Fig. 6, one treatment) not entered (no sheet or no code contrast). Initial soil profile (Table 2): BD 1.35-1.57, SOC 0.36-0.19 %, NH4-N 5.2-6.5, NO3-N 3.9-5.3 mg/kg, Olsen P 17.6-27.9, Ex-K 76.8-98.5 mg/kg.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t>
  </si>
  <si>
    <t xml:space="preserve">115 (companion)</t>
  </si>
  <si>
    <t xml:space="preserve">Pokharel D., Jha R.K., Tiwari T.P., Gathala M.K., Shrestha H.K. &amp; Panday D.</t>
  </si>
  <si>
    <t xml:space="preserve">Cogent Food &amp; Agriculture</t>
  </si>
  <si>
    <t xml:space="preserve">Pokharel D, Jha RK, Tiwari TP, Gathala MK, Shrestha HK &amp; Panday D (2018) Is conservation agriculture a potential option for cereal-based sustainable farming system in the Eastern Indo-Gangetic Plains of Nepal? Cogent Food Agric 4:1557582</t>
  </si>
  <si>
    <t xml:space="preserve">https://doi.org/10.1080/23311932.2018.1557582</t>
  </si>
  <si>
    <t xml:space="preserve">Sunsari district (SRFSI nodes Mahendranagar, Bhokraha, Kaptanjung, Simariya, Bhaluwa)</t>
  </si>
  <si>
    <t xml:space="preserve">26 deg 25' to 26 deg 55' N</t>
  </si>
  <si>
    <t xml:space="preserve">86 deg 55' to 87 deg 21' E</t>
  </si>
  <si>
    <t xml:space="preserve">Paper (district range; centre used)</t>
  </si>
  <si>
    <t xml:space="preserve">2015-2016</t>
  </si>
  <si>
    <t xml:space="preserve">Clay loam to silty clay loam (sandy loam at Kaptanjung)</t>
  </si>
  <si>
    <t xml:space="preserve">Rice-wheat (lowland); rice-maize (upland, excluded)</t>
  </si>
  <si>
    <t xml:space="preserve">TREATMENTS IN PAPER (SRFSI project, Sunsari district, Nepal; 5 nodes; 2015-2016; rice-wheat on lowland): CTTPR+CTW = conventional tillage with massive puddling and manual transplanting of rice + conventional (multiple-tillage) wheat; CTTPR+ZTW = puddled TPR + zero-till drilled wheat; ZTDSR+ZTW = zero-till direct-seeded rice + ZT wheat; UPTPR+ZTW = unpuddled mechanically (or manually) transplanted rice + ZT wheat. Residue not described in this paper (SRFSI protocol in Islam et al. 2019, old-master 115: ZT crops into 15-20 cm anchored stubble). Rice-maize system (upland) with the same rice treatments + CTM / ZTM.</t>
  </si>
  <si>
    <t xml:space="preserve">Rice yield (Table 1); system grain yield, straw (derived), net profit, B:C (converted) (Table 3)</t>
  </si>
  <si>
    <t xml:space="preserve">INCLUDED as companion of 115: CT, pCA, CA rows a/b. Survey data (Table 4), input rates (Fig. 2) and weed-control costs (Fig. 3) not entered (no sheets).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</si>
  <si>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</si>
  <si>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</si>
  <si>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</si>
  <si>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</si>
  <si>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</si>
  <si>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</si>
  <si>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</si>
  <si>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</si>
  <si>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</si>
  <si>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</si>
  <si>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</si>
  <si>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</si>
  <si>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</si>
  <si>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</si>
  <si>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</si>
  <si>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</si>
  <si>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WSA: 2; MACRO: 12; MICRO: 2;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</si>
  <si>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</si>
  <si>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</si>
  <si>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</si>
  <si>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3; TC(total c): 3; WSC: 3; POXC(KMnO4-C): 3; RESP: 6; PH: 3; CEC: 3; P: 3; total N: 3; EX-K: 3; no3,nh4,PMN: 6; MBC: 6; YIELD: 28; N uptake: 3</t>
  </si>
  <si>
    <t xml:space="preserve">YIELD: 2; BC ratio: 2; NET RETURN: 2</t>
  </si>
  <si>
    <t xml:space="preserve">BD: 12; POROSITY: 12; MACRO: 12; PR: 12; GWC: 12; TC(total c): 12; N: 12; P: 12; K: 12; MBC: 12; DHA: 12; ALKP: 12; UREASE: 12; YIELD: 24; SQI: 12; C input: 4; C output: 4; CSI: 4; CER: 4; GHG intensity: 4</t>
  </si>
  <si>
    <t xml:space="preserve">BD: 8; POROSITY: 8; MWD 1: 2; WSA: 2; MACRO: 2; MICRO: 2; PR: 18; IR: 2; SOC(active C pool): 2; EC: 2; K: 2</t>
  </si>
  <si>
    <t xml:space="preserve">YIELD: 3; PANICLE-SPIKE DENSITY: 1; GRAINS PER PANICLE: 1; 1000-GRAIN WEIGHT: 1; DAYS TO MATURITY: 2; BC ratio: 1</t>
  </si>
  <si>
    <t xml:space="preserve">EC: 10; BC ratio: 8; NET RETURN: 8</t>
  </si>
  <si>
    <t xml:space="preserve">NO3 leaching: 8; YIELD: 12; N uptake: 8</t>
  </si>
  <si>
    <t xml:space="preserve">YIELD: 4; SYS STRAW: 2; BC ratio: 2; NET RETURN: 2</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</si>
  <si>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</si>
  <si>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</si>
  <si>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</si>
  <si>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</si>
  <si>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</si>
  <si>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 174: 8</t>
  </si>
  <si>
    <t xml:space="preserve">PD</t>
  </si>
  <si>
    <t xml:space="preserve">NO DATA</t>
  </si>
  <si>
    <t xml:space="preserve">POROSITY</t>
  </si>
  <si>
    <t xml:space="preserve">168: 2; 165: 2; 131 (companion): 9; 165 (companion): 8; 15 (companion 2): 8; 40 (companion): 2; 23 (companion 5): 3; 170: 16; 173: 12; 174: 8</t>
  </si>
  <si>
    <t xml:space="preserve">macro pore</t>
  </si>
  <si>
    <t xml:space="preserve">meso pore</t>
  </si>
  <si>
    <t xml:space="preserve">micro pore</t>
  </si>
  <si>
    <t xml:space="preserve">MWD 1</t>
  </si>
  <si>
    <t xml:space="preserve">mm (wet sieving)</t>
  </si>
  <si>
    <t xml:space="preserve">168: 2; 166: 6; 131 (companion): 3; 23 (companion 3): 4; 165 (companion): 8; 15 (companion 2): 2; 174: 2</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</si>
  <si>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</si>
  <si>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</si>
  <si>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</si>
  <si>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</si>
  <si>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</si>
  <si>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</si>
  <si>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</si>
  <si>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</si>
  <si>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 15 (companion 2): 2; 174: 2</t>
  </si>
  <si>
    <t xml:space="preserve">MACRO</t>
  </si>
  <si>
    <t xml:space="preserve">% (&gt;0.25 mm aggregates)</t>
  </si>
  <si>
    <t xml:space="preserve">168: 2; 166: 3; 131 (companion): 3; 23 (companion 3): 4; 15 (companion 2): 12; 173: 12; 174: 2</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</si>
  <si>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</si>
  <si>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</si>
  <si>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</si>
  <si>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</si>
  <si>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</si>
  <si>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</si>
  <si>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</si>
  <si>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</si>
  <si>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</si>
  <si>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 174: 18</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</si>
  <si>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</si>
  <si>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</si>
  <si>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</si>
  <si>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</si>
  <si>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</si>
  <si>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 174: 2</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</si>
  <si>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</si>
  <si>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</si>
  <si>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</si>
  <si>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</si>
  <si>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</si>
  <si>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</si>
  <si>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</si>
  <si>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</si>
  <si>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</si>
  <si>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</si>
  <si>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</si>
  <si>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</si>
  <si>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</si>
  <si>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</si>
  <si>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</si>
  <si>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</si>
  <si>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</si>
  <si>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</si>
  <si>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</si>
  <si>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</si>
  <si>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</si>
  <si>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3; 174: 2</t>
  </si>
  <si>
    <t xml:space="preserve">TOC</t>
  </si>
  <si>
    <t xml:space="preserve">TC(total c)</t>
  </si>
  <si>
    <t xml:space="preserve">172: 3; 173: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</si>
  <si>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</si>
  <si>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</si>
  <si>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</si>
  <si>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</si>
  <si>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</si>
  <si>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</si>
  <si>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</si>
  <si>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</si>
  <si>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3</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</si>
  <si>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</si>
  <si>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</si>
  <si>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</si>
  <si>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</si>
  <si>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</si>
  <si>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</si>
  <si>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</si>
  <si>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</si>
  <si>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</si>
  <si>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</si>
  <si>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</si>
  <si>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</si>
  <si>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</si>
  <si>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</si>
  <si>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</si>
  <si>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</si>
  <si>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</si>
  <si>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</si>
  <si>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</si>
  <si>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</si>
  <si>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</si>
  <si>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</si>
  <si>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</si>
  <si>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</si>
  <si>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</si>
  <si>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</si>
  <si>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</si>
  <si>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</si>
  <si>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</si>
  <si>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</si>
  <si>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</si>
  <si>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</si>
  <si>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</si>
  <si>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</si>
  <si>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</si>
  <si>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</si>
  <si>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</si>
  <si>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</si>
  <si>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</si>
  <si>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</si>
  <si>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6</t>
  </si>
  <si>
    <t xml:space="preserve">PH</t>
  </si>
  <si>
    <t xml:space="preserve">pH (1:2.5 soil:water)</t>
  </si>
  <si>
    <t xml:space="preserve">165 (companion): 8; 23 (companion 5): 3; 172: 3</t>
  </si>
  <si>
    <t xml:space="preserve">EC</t>
  </si>
  <si>
    <t xml:space="preserve">dS/m</t>
  </si>
  <si>
    <t xml:space="preserve">165 (companion): 8; 23 (companion 5): 3; 174: 2; 176: 10</t>
  </si>
  <si>
    <t xml:space="preserve">CEC</t>
  </si>
  <si>
    <t xml:space="preserve">cmol(+)/kg</t>
  </si>
  <si>
    <t xml:space="preserve">N</t>
  </si>
  <si>
    <t xml:space="preserve">kg/ha (available N)</t>
  </si>
  <si>
    <t xml:space="preserve">164: 4; 131 (companion): 3; 165 (companion): 8; 23 (companion 5): 3; 173: 12</t>
  </si>
  <si>
    <t xml:space="preserve">P</t>
  </si>
  <si>
    <t xml:space="preserve">kg/ha (available P; mg/kg x 2.24 when converted - state basis in UNIT column)</t>
  </si>
  <si>
    <t xml:space="preserve">165: 4; 164: 7; 131 (companion): 3; 165 (companion): 8; 23 (companion 5): 3; 172: 3; 173: 12</t>
  </si>
  <si>
    <t xml:space="preserve">K</t>
  </si>
  <si>
    <t xml:space="preserve">kg/ha (available K)</t>
  </si>
  <si>
    <t xml:space="preserve">165: 4; 164: 7; 131 (companion): 3; 23 (companion 5): 3; 173: 12; 174: 2</t>
  </si>
  <si>
    <t xml:space="preserve">AV.S</t>
  </si>
  <si>
    <t xml:space="preserve">kg/ha (available S)</t>
  </si>
  <si>
    <t xml:space="preserve">total N</t>
  </si>
  <si>
    <t xml:space="preserve">165: 4; 131 (companion): 3; 40 (companion): 2; 172: 3</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</si>
  <si>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</si>
  <si>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</si>
  <si>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</si>
  <si>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</si>
  <si>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</si>
  <si>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</si>
  <si>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</si>
  <si>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</si>
  <si>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</si>
  <si>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</si>
  <si>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</si>
  <si>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</si>
  <si>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6</t>
  </si>
  <si>
    <t xml:space="preserve">NO3 leaching</t>
  </si>
  <si>
    <t xml:space="preserve">kg NO3-N/ha (nitrate-N leached below the stated depth, per season)</t>
  </si>
  <si>
    <t xml:space="preserve">176 (companion): 8</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</si>
  <si>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</si>
  <si>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</si>
  <si>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</si>
  <si>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</si>
  <si>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</si>
  <si>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165 (companion): 8; 23 (companion 5): 3</t>
  </si>
  <si>
    <t xml:space="preserve">Mn</t>
  </si>
  <si>
    <t xml:space="preserve">Cu(ppm)</t>
  </si>
  <si>
    <t xml:space="preserve">Zn(ppm)</t>
  </si>
  <si>
    <t xml:space="preserve">MBC</t>
  </si>
  <si>
    <t xml:space="preserve">ug C/g soil (= mg/kg dry soil)</t>
  </si>
  <si>
    <t xml:space="preserve">168: 1; 165: 2; 23 (companion 4): 2; 40 (companion): 2; 23 (companion 5): 3; 172: 6; 173: 12</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</si>
  <si>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</si>
  <si>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</si>
  <si>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</si>
  <si>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</si>
  <si>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</si>
  <si>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</si>
  <si>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</si>
  <si>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</si>
  <si>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168: 1; 165: 2; 23 (companion 4): 2; 23 (companion 5): 3; 173: 12</t>
  </si>
  <si>
    <t xml:space="preserve">B-GLU</t>
  </si>
  <si>
    <t xml:space="preserve">ug PNP/g soil/h</t>
  </si>
  <si>
    <t xml:space="preserve">23 (companion 5): 3</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</si>
  <si>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</si>
  <si>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</si>
  <si>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</si>
  <si>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</si>
  <si>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</si>
  <si>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</si>
  <si>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</si>
  <si>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</si>
  <si>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</si>
  <si>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</si>
  <si>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</si>
  <si>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</si>
  <si>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</si>
  <si>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</si>
  <si>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</si>
  <si>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</si>
  <si>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</si>
  <si>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</si>
  <si>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 173: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</si>
  <si>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</si>
  <si>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</si>
  <si>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</si>
  <si>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</si>
  <si>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</si>
  <si>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</si>
  <si>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</si>
  <si>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</si>
  <si>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</si>
  <si>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</si>
  <si>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</si>
  <si>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</si>
  <si>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</si>
  <si>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</si>
  <si>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</si>
  <si>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</si>
  <si>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</si>
  <si>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</si>
  <si>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</si>
  <si>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</si>
  <si>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</si>
  <si>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</si>
  <si>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</si>
  <si>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</si>
  <si>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</si>
  <si>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</si>
  <si>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</si>
  <si>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</si>
  <si>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</si>
  <si>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</si>
  <si>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</si>
  <si>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</si>
  <si>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</si>
  <si>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</si>
  <si>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</si>
  <si>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</si>
  <si>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</si>
  <si>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</si>
  <si>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</si>
  <si>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</si>
  <si>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</si>
  <si>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</si>
  <si>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</si>
  <si>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</si>
  <si>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28; 124 (companion): 2; 173: 24; 175: 3; 176 (companion): 12; 115 (companion): 4</t>
  </si>
  <si>
    <t xml:space="preserve">SYS STRAW</t>
  </si>
  <si>
    <t xml:space="preserve">t/ha system straw yield (rice + wheat straw)</t>
  </si>
  <si>
    <t xml:space="preserve">115 (companion): 2</t>
  </si>
  <si>
    <t xml:space="preserve">PANICLE-SPIKE DENSITY</t>
  </si>
  <si>
    <t xml:space="preserve">no./m2 (panicles of rice / spikes of wheat; W = wheat, R = rice)</t>
  </si>
  <si>
    <t xml:space="preserve">131 (companion): 1; 175: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</si>
  <si>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</si>
  <si>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</si>
  <si>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</si>
  <si>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</si>
  <si>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</si>
  <si>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</si>
  <si>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</si>
  <si>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</si>
  <si>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</si>
  <si>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175: 2</t>
  </si>
  <si>
    <t xml:space="preserve">GRAIN FILLING DAYS</t>
  </si>
  <si>
    <t xml:space="preserve">days (flowering to maturity)</t>
  </si>
  <si>
    <t xml:space="preserve">N uptake</t>
  </si>
  <si>
    <t xml:space="preserve">kg N/ha</t>
  </si>
  <si>
    <t xml:space="preserve">172: 3; 176 (companion): 8</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</si>
  <si>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</si>
  <si>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</si>
  <si>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</si>
  <si>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</si>
  <si>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</si>
  <si>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</si>
  <si>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</si>
  <si>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</si>
  <si>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</si>
  <si>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</si>
  <si>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</si>
  <si>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124 (companion): 2; 175: 1; 176: 8; 115 (companion): 2</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</si>
  <si>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</si>
  <si>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 176: 8; 115 (companion): 2</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</si>
  <si>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</si>
  <si>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</si>
  <si>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</si>
  <si>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</si>
  <si>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</si>
  <si>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</si>
  <si>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</si>
  <si>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</si>
  <si>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</si>
  <si>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</si>
  <si>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</si>
  <si>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</si>
  <si>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</si>
  <si>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</si>
  <si>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</si>
  <si>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</si>
  <si>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</si>
  <si>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</si>
  <si>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</si>
  <si>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</si>
  <si>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</si>
  <si>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</si>
  <si>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</si>
  <si>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</si>
  <si>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</si>
  <si>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</si>
  <si>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</si>
  <si>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</si>
  <si>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</si>
  <si>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</si>
  <si>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</si>
  <si>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</si>
  <si>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</si>
  <si>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</si>
  <si>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</si>
  <si>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</si>
  <si>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</si>
  <si>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</si>
  <si>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</si>
  <si>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</si>
  <si>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</si>
  <si>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</si>
  <si>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</si>
  <si>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</si>
  <si>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</si>
  <si>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</si>
  <si>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</si>
  <si>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</si>
  <si>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</si>
  <si>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</si>
  <si>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</si>
  <si>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</si>
  <si>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</si>
  <si>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</si>
  <si>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</si>
  <si>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</si>
  <si>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</si>
  <si>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</si>
  <si>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</si>
  <si>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</si>
  <si>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</si>
  <si>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</si>
  <si>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</si>
  <si>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</si>
  <si>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</si>
  <si>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</si>
  <si>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</si>
  <si>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</si>
  <si>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</si>
  <si>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</si>
  <si>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</si>
  <si>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</si>
  <si>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</si>
  <si>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</si>
  <si>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</si>
  <si>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</si>
  <si>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</si>
  <si>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</si>
  <si>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</si>
  <si>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</si>
  <si>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</si>
  <si>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</si>
  <si>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</si>
  <si>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</si>
  <si>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</si>
  <si>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</si>
  <si>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</si>
  <si>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</si>
  <si>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</si>
  <si>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</si>
  <si>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</si>
  <si>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</si>
  <si>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</si>
  <si>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</si>
  <si>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</si>
  <si>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</si>
  <si>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</si>
  <si>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</si>
  <si>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</si>
  <si>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</si>
  <si>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</si>
  <si>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</si>
  <si>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</si>
  <si>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</si>
  <si>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</si>
  <si>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</si>
  <si>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</si>
  <si>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</si>
  <si>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</si>
  <si>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</si>
  <si>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</si>
  <si>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</si>
  <si>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</si>
  <si>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</si>
  <si>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</si>
  <si>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</si>
  <si>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</si>
  <si>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</si>
  <si>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</si>
  <si>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</si>
  <si>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</si>
  <si>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</si>
  <si>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</si>
  <si>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</si>
  <si>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</si>
  <si>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</si>
  <si>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</si>
  <si>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</si>
  <si>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</si>
  <si>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</si>
  <si>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</si>
  <si>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</si>
  <si>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</si>
  <si>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</si>
  <si>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</si>
  <si>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</si>
  <si>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</si>
  <si>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</si>
  <si>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</si>
  <si>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</si>
  <si>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</si>
  <si>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</si>
  <si>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</si>
  <si>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</si>
  <si>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</si>
  <si>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</si>
  <si>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</si>
  <si>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</si>
  <si>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</si>
  <si>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</si>
  <si>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</si>
  <si>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</si>
  <si>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</si>
  <si>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</si>
  <si>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</si>
  <si>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</si>
  <si>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</si>
  <si>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</si>
  <si>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</si>
  <si>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</si>
  <si>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</si>
  <si>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</si>
  <si>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</si>
  <si>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</si>
  <si>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</si>
  <si>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</si>
  <si>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</si>
  <si>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</si>
  <si>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</si>
  <si>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</si>
  <si>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</si>
  <si>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</si>
  <si>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</si>
  <si>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</si>
  <si>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</si>
  <si>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</si>
  <si>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</si>
  <si>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</si>
  <si>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</si>
  <si>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</si>
  <si>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</si>
  <si>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</si>
  <si>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</si>
  <si>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</si>
  <si>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</si>
  <si>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</si>
  <si>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</si>
  <si>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</si>
  <si>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</si>
  <si>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</si>
  <si>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</si>
  <si>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</si>
  <si>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</si>
  <si>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</si>
  <si>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</si>
  <si>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</si>
  <si>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</si>
  <si>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</si>
  <si>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</si>
  <si>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</si>
  <si>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</si>
  <si>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</si>
  <si>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</si>
  <si>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</si>
  <si>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</si>
  <si>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</si>
  <si>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</si>
  <si>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</si>
  <si>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</si>
  <si>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</si>
  <si>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</si>
  <si>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</si>
  <si>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</si>
  <si>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</si>
  <si>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</si>
  <si>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</si>
  <si>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</si>
  <si>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</si>
  <si>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</si>
  <si>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</si>
  <si>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</si>
  <si>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</si>
  <si>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</si>
  <si>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</si>
  <si>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</si>
  <si>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</si>
  <si>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</si>
  <si>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</si>
  <si>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</si>
  <si>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</si>
  <si>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</si>
  <si>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</si>
  <si>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</si>
  <si>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</si>
  <si>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</si>
  <si>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</si>
  <si>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</si>
  <si>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</si>
  <si>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</si>
  <si>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</si>
  <si>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</si>
  <si>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</si>
  <si>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</si>
  <si>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</si>
  <si>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</si>
  <si>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</si>
  <si>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</si>
  <si>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</si>
  <si>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</si>
  <si>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</si>
  <si>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</si>
  <si>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</si>
  <si>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</si>
  <si>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</si>
  <si>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</si>
  <si>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</si>
  <si>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</si>
  <si>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</si>
  <si>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</si>
  <si>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</si>
  <si>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</si>
  <si>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</si>
  <si>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</si>
  <si>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</si>
  <si>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</si>
  <si>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</si>
  <si>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</si>
  <si>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</si>
  <si>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</si>
  <si>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</si>
  <si>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</si>
  <si>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</si>
  <si>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</si>
  <si>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</si>
  <si>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</si>
  <si>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</si>
  <si>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</si>
  <si>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</si>
  <si>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</si>
  <si>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</si>
  <si>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</si>
  <si>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</si>
  <si>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</si>
  <si>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</si>
  <si>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</si>
  <si>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</si>
  <si>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</si>
  <si>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</si>
  <si>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</si>
  <si>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Not described</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</si>
  <si>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</si>
  <si>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</si>
  <si>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</si>
  <si>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</si>
  <si>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</si>
  <si>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</si>
  <si>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N</t>
  </si>
  <si>
    <t xml:space="preserve">Rice-straw compost 20 Mg/ha + N</t>
  </si>
  <si>
    <t xml:space="preserve">Composted straw (incorporated)</t>
  </si>
  <si>
    <t xml:space="preserve">Row c; author 2026-10-05: compost = CTR</t>
  </si>
  <si>
    <t xml:space="preserve">RSC (-N)</t>
  </si>
  <si>
    <t xml:space="preserve">Rice-straw compost without N</t>
  </si>
  <si>
    <t xml:space="preserve">Composted straw</t>
  </si>
  <si>
    <t xml:space="preserve">-N tier (rule 78)</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</si>
  <si>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</si>
  <si>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</si>
  <si>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</si>
  <si>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</si>
  <si>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</si>
  <si>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</si>
  <si>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</si>
  <si>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</si>
  <si>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</si>
  <si>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</si>
  <si>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</si>
  <si>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</si>
  <si>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</si>
  <si>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</si>
  <si>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</si>
  <si>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</si>
  <si>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 2026-10-05: annual chisel ploughing to 30 cm = deep tillage</t>
  </si>
  <si>
    <t xml:space="preserve">ICM3 / ICM4</t>
  </si>
  <si>
    <t xml:space="preserve">Chisel 30 cm + DSR; raised-bed wheat after disc + 2 cultivator; no residue</t>
  </si>
  <si>
    <t xml:space="preserve">Tilled DSR (unpuddled)</t>
  </si>
  <si>
    <t xml:space="preserve">Tilled + fresh raised beds</t>
  </si>
  <si>
    <t xml:space="preserve">Author 2026-10-05 (flag: chisel ploughing stated for ICM1-4 alike)</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</si>
  <si>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</si>
  <si>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</si>
  <si>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</si>
  <si>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</si>
  <si>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</si>
  <si>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</si>
  <si>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</si>
  <si>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</si>
  <si>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</si>
  <si>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</si>
  <si>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</si>
  <si>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T1 CT-TPR (-S,-WR)/ZT-DSW (-RR)</t>
  </si>
  <si>
    <t xml:space="preserve">Puddled TPR, no Sesbania, no residue; ZT wheat</t>
  </si>
  <si>
    <t xml:space="preserve">Puddled rice + ZT wheat, no residue (rule 68)</t>
  </si>
  <si>
    <t xml:space="preserve">T2 CT-TPR (+S,+WR)/ZT-DSW (+RR)</t>
  </si>
  <si>
    <t xml:space="preserve">Puddled TPR + Sesbania + wheat stubble incorporated; ZT wheat (Turbo Happy Seeder) into ~8 Mg/ha rice residue</t>
  </si>
  <si>
    <t xml:space="preserve">Puddled rice + ZT wheat + residue (rule 68); Sesbania flag</t>
  </si>
  <si>
    <t xml:space="preserve">T3 CT-DSR (-S,-WR)/ZT-DSW (-RR)</t>
  </si>
  <si>
    <t xml:space="preserve">Dry tillage (2 harrowings + 2 tyne passes + planking), drill-seeded rice; ZT wheat; no residue</t>
  </si>
  <si>
    <t xml:space="preserve">Dry-tilled, unpuddled DSR</t>
  </si>
  <si>
    <t xml:space="preserve">Row a; rule 25 (tilled unpuddled rice + ZT wheat, no residue)</t>
  </si>
  <si>
    <t xml:space="preserve">T4 CT-DSR (+S,+WR)/ZT-DSW (+RR)</t>
  </si>
  <si>
    <t xml:space="preserve">As T3 + Sesbania + wheat stubble incorporated + rice residue mulch</t>
  </si>
  <si>
    <t xml:space="preserve">Row a; rule 25 (with residue -&gt; CA); Sesbania flag</t>
  </si>
  <si>
    <t xml:space="preserve">T5 ZT-DSR (-S,-WR)/ZT-DSW (-RR)</t>
  </si>
  <si>
    <t xml:space="preserve">Zero-till DSR + ZT wheat, no residue</t>
  </si>
  <si>
    <t xml:space="preserve">Row b</t>
  </si>
  <si>
    <t xml:space="preserve">T6 ZT-DSR (+S,+WR)/ZT-DSW (+RR)</t>
  </si>
  <si>
    <t xml:space="preserve">Zero-till DSR + Sesbania + surface wheat stubble; ZT wheat into rice residue mulch</t>
  </si>
  <si>
    <t xml:space="preserve">Row b; Sesbania flag (rule 71)</t>
  </si>
  <si>
    <t xml:space="preserve">Hossain M.M. et al.</t>
  </si>
  <si>
    <t xml:space="preserve">TA (Traditional Agriculture)</t>
  </si>
  <si>
    <t xml:space="preserve">Plough tillage (4 ploughings + cross ploughings, 2WT), puddled TPR, 3 hand weedings, residue removed</t>
  </si>
  <si>
    <t xml:space="preserve">CA (Conservation Agriculture)</t>
  </si>
  <si>
    <t xml:space="preserve">Glyphosate + single (strip) tillage by VMP, unpuddled strip transplanting, PEH + POH, 50 % anchored residue</t>
  </si>
  <si>
    <t xml:space="preserve">Strip tillage (VMP)</t>
  </si>
  <si>
    <t xml:space="preserve">Yes (50 % anchored)</t>
  </si>
  <si>
    <t xml:space="preserve">Rule 16: strip tillage + residue = MTR even when called CA</t>
  </si>
  <si>
    <t xml:space="preserve">Devkota K.P. et al.</t>
  </si>
  <si>
    <t xml:space="preserve">DSRB-SSW-R0</t>
  </si>
  <si>
    <t xml:space="preserve">ZT dry-seeded rice on permanent beds (AWD) + surface-seeded wheat, farmer harvest (3-5 cm stubble)</t>
  </si>
  <si>
    <t xml:space="preserve">Zero till (permanent beds)</t>
  </si>
  <si>
    <t xml:space="preserve">Zero till / surface seeded</t>
  </si>
  <si>
    <t xml:space="preserve">No (~95 % removed)</t>
  </si>
  <si>
    <t xml:space="preserve">Rows a/b; permanent beds without residue = ZT (rule 15)</t>
  </si>
  <si>
    <t xml:space="preserve">DSRB-SSW-R50 / R100</t>
  </si>
  <si>
    <t xml:space="preserve">As DSRB-R0 with 15-20 cm / 35-40 cm standing straw</t>
  </si>
  <si>
    <t xml:space="preserve">1.5-6.7</t>
  </si>
  <si>
    <t xml:space="preserve">Rows a (R50) / b (R100); permanent beds + residue = CA</t>
  </si>
  <si>
    <t xml:space="preserve">DSRF-SSW-R0</t>
  </si>
  <si>
    <t xml:space="preserve">ZT dry-seeded rice on the flat (AWD) + surface-seeded wheat, farmer harvest</t>
  </si>
  <si>
    <t xml:space="preserve">Rows c/d</t>
  </si>
  <si>
    <t xml:space="preserve">DSRF-SSW-R50 / R100</t>
  </si>
  <si>
    <t xml:space="preserve">As DSRF-R0 with 15-20 / 35-40 cm standing straw</t>
  </si>
  <si>
    <t xml:space="preserve">Rows c (R50) / d (R100)</t>
  </si>
  <si>
    <t xml:space="preserve">WSRF-SSW-FI / WSRF-SSW-AWD</t>
  </si>
  <si>
    <t xml:space="preserve">Conventional dry tillage, water-seeded rice (flooded / AWD, non-puddled) + wheat surface-seeded into standing rice, no residue</t>
  </si>
  <si>
    <t xml:space="preserve">Conventional dry tillage (non-puddled)</t>
  </si>
  <si>
    <t xml:space="preserve">PENDING</t>
  </si>
  <si>
    <t xml:space="preserve">Author decision: pZT (rule 68, conventional rice + ZT wheat) or ZT (rule 25, tilled unpuddled rice + ZT wheat)? Values in Notes</t>
  </si>
  <si>
    <t xml:space="preserve">Low</t>
  </si>
  <si>
    <t xml:space="preserve">NOT ENTERED - ASK AUTHOR</t>
  </si>
  <si>
    <t xml:space="preserve">Treatments 2-7 (DSRB / DSRF x R0 / R50 / R100)</t>
  </si>
  <si>
    <t xml:space="preserve">R0 no / R50, R100 yes</t>
  </si>
  <si>
    <t xml:space="preserve">ZT / CA</t>
  </si>
  <si>
    <t xml:space="preserve">As 176 rows a-d</t>
  </si>
  <si>
    <t xml:space="preserve">1 WSRF-R0-FI / 8 WSRF-R0-AWD</t>
  </si>
  <si>
    <t xml:space="preserve">Conventional dry tillage</t>
  </si>
  <si>
    <t xml:space="preserve">9-11 (simulation only)</t>
  </si>
  <si>
    <t xml:space="preserve">WSRF puddled; CT-DSR; CT-DSR + deep-placed urea</t>
  </si>
  <si>
    <t xml:space="preserve">Hypothetical model scenarios, never field-tested</t>
  </si>
  <si>
    <t xml:space="preserve">Pokharel D. et al.</t>
  </si>
  <si>
    <t xml:space="preserve">CTTPR+CTW</t>
  </si>
  <si>
    <t xml:space="preserve">Conventional tillage, puddled manual TPR + multiple-tillage wheat</t>
  </si>
  <si>
    <t xml:space="preserve">As old-master 115 T1</t>
  </si>
  <si>
    <t xml:space="preserve">CTTPR+ZTW</t>
  </si>
  <si>
    <t xml:space="preserve">Puddled TPR + zero-till drilled wheat</t>
  </si>
  <si>
    <t xml:space="preserve">Yes (per 115 protocol; not stated here)</t>
  </si>
  <si>
    <t xml:space="preserve">Excluded in 115 (mismatch); partial code now (rules 68/85); residue from 115 (rule 89, flag)</t>
  </si>
  <si>
    <t xml:space="preserve">ZTDSR+ZTW</t>
  </si>
  <si>
    <t xml:space="preserve">Zero-till DSR + ZT wheat</t>
  </si>
  <si>
    <t xml:space="preserve">Row a; as 115 T3 (residue flag)</t>
  </si>
  <si>
    <t xml:space="preserve">UPTPR+ZTW</t>
  </si>
  <si>
    <t xml:space="preserve">Unpuddled mechanical / manual transplanting + ZT wheat</t>
  </si>
  <si>
    <t xml:space="preserve">Unpuddled (zero till)</t>
  </si>
  <si>
    <t xml:space="preserve">Row b; as 115 T4; unpuddled = ZT (residue flag)</t>
  </si>
  <si>
    <t xml:space="preserve">Rice-maize: CTTPR+CTM / CTTPR+ZTM / ZTDSR+ZTM / UPTPR+ZTM</t>
  </si>
  <si>
    <t xml:space="preserve">Upland rice-maize system</t>
  </si>
  <si>
    <t xml:space="preserve">Rice-maize system (rule 31)</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</si>
  <si>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</si>
  <si>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</si>
  <si>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</si>
  <si>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</si>
  <si>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</si>
  <si>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</si>
  <si>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</si>
  <si>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</si>
  <si>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</si>
  <si>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</si>
  <si>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</si>
  <si>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</si>
  <si>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</si>
  <si>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</si>
  <si>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</si>
  <si>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</si>
  <si>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</si>
  <si>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</si>
  <si>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</si>
  <si>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</si>
  <si>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</si>
  <si>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</si>
  <si>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</si>
  <si>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</si>
  <si>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</si>
  <si>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</si>
  <si>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</si>
  <si>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</si>
  <si>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</si>
  <si>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</si>
  <si>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</si>
  <si>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</si>
  <si>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</si>
  <si>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</si>
  <si>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</si>
  <si>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</si>
  <si>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</si>
  <si>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</si>
  <si>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</si>
  <si>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</si>
  <si>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</si>
  <si>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</si>
  <si>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</si>
  <si>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</si>
  <si>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</si>
  <si>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</si>
  <si>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</si>
  <si>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</si>
  <si>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</si>
  <si>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</si>
  <si>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</si>
  <si>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</si>
  <si>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</si>
  <si>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IIFSR Modipuram, Meerut</t>
  </si>
  <si>
    <t xml:space="preserve">Bhungnamary, Gouripur, Mymensingh</t>
  </si>
  <si>
    <t xml:space="preserve">Urgench, Khorezm</t>
  </si>
  <si>
    <t xml:space="preserve">60.050-61.390 N (swapped)</t>
  </si>
  <si>
    <t xml:space="preserve">41.130-42.020 E (swapped)</t>
  </si>
  <si>
    <t xml:space="preserve">Approximate (Urgench)</t>
  </si>
  <si>
    <t xml:space="preserve">Paper prints latitude and longitude swapped</t>
  </si>
  <si>
    <t xml:space="preserve">Same trial as 176</t>
  </si>
  <si>
    <t xml:space="preserve">Sunsari district</t>
  </si>
  <si>
    <t xml:space="preserve">26 deg 25'-26 deg 55' N</t>
  </si>
  <si>
    <t xml:space="preserve">86 deg 55'-87 deg 21' E</t>
  </si>
  <si>
    <t xml:space="preserve">Paper (range centre)</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</si>
  <si>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</si>
  <si>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</si>
  <si>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</si>
  <si>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</si>
  <si>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</si>
  <si>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</si>
  <si>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</si>
  <si>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</si>
  <si>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</si>
  <si>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</si>
  <si>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</si>
  <si>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</si>
  <si>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</si>
  <si>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</si>
  <si>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</si>
  <si>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</si>
  <si>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</si>
  <si>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</si>
  <si>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</si>
  <si>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</si>
  <si>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</si>
  <si>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 [OBS RECOMPUTED 2026-10-05 (author rule): Y=1 (years of data in this row's series) + T=1 + D=1 -&gt; Obs = 1; factors of 1 add nothing; supersedes any earlier Obs statement.]</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</si>
  <si>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</si>
  <si>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</si>
  <si>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</si>
  <si>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</si>
  <si>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</si>
  <si>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</si>
  <si>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</si>
  <si>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</si>
  <si>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</si>
  <si>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</si>
  <si>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</si>
  <si>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</si>
  <si>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</si>
  <si>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</si>
  <si>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</si>
  <si>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</si>
  <si>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</si>
  <si>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</si>
  <si>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</si>
  <si>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</si>
  <si>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</si>
  <si>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</si>
  <si>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</si>
  <si>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</si>
  <si>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</si>
  <si>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</si>
  <si>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</si>
  <si>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</si>
  <si>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</si>
  <si>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</si>
  <si>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</si>
  <si>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</si>
  <si>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</si>
  <si>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</si>
  <si>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</si>
  <si>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</si>
  <si>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</si>
  <si>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</si>
  <si>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</si>
  <si>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</si>
  <si>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</si>
  <si>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</si>
  <si>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</si>
  <si>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</si>
  <si>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</si>
  <si>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</si>
  <si>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</si>
  <si>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</si>
  <si>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</si>
  <si>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</si>
  <si>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</si>
  <si>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</si>
  <si>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</si>
  <si>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</si>
  <si>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</si>
  <si>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</si>
  <si>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</si>
  <si>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</si>
  <si>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</si>
  <si>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</si>
  <si>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</si>
  <si>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</si>
  <si>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</si>
  <si>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</si>
  <si>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</si>
  <si>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</si>
  <si>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</si>
  <si>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</si>
  <si>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</si>
  <si>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</si>
  <si>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</si>
  <si>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</si>
  <si>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</si>
  <si>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</si>
  <si>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</si>
  <si>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</si>
  <si>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</si>
  <si>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</si>
  <si>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</si>
  <si>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</si>
  <si>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</si>
  <si>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</si>
  <si>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</si>
  <si>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</si>
  <si>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</si>
  <si>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</si>
  <si>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</si>
  <si>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</si>
  <si>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</si>
  <si>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</si>
  <si>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</si>
  <si>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</si>
  <si>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</si>
  <si>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</si>
  <si>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</si>
  <si>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</si>
  <si>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</si>
  <si>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</si>
  <si>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</si>
  <si>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</si>
  <si>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</si>
  <si>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</si>
  <si>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</si>
  <si>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</si>
  <si>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</si>
  <si>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</si>
  <si>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</si>
  <si>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</si>
  <si>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</si>
  <si>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</si>
  <si>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</si>
  <si>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</si>
  <si>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</si>
  <si>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</si>
  <si>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</si>
  <si>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</si>
  <si>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rows pair the fertiliser level: a DT = ICM1, CT = ICM3, CA = ICM5 ; b DT = ICM2, CT = ICM4, CA = ICM6 ; c as a with CA = ICM7 (+mungbean) ; d as b with CA = ICM8 (+mungbean)</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</si>
  <si>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</si>
  <si>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</si>
  <si>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</si>
  <si>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Core method, 5 x 5 cm core (Blake &amp; Hartge 1986)</t>
  </si>
  <si>
    <t xml:space="preserve">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</si>
  <si>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</si>
  <si>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</si>
  <si>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</si>
  <si>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</si>
  <si>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</si>
  <si>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</si>
  <si>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30-45 CM</t>
  </si>
  <si>
    <t xml:space="preserve">30-45 cm</t>
  </si>
  <si>
    <t xml:space="preserve">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</si>
  <si>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</si>
  <si>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</si>
  <si>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</si>
  <si>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2006-07</t>
  </si>
  <si>
    <t xml:space="preserve">T1 (puddled TPR + ZT wheat, no residue) -&gt; pZT ; T2 (puddled TPR + ZT wheat + residue) -&gt; pCA ; row a: ZT = T3 CT-DSR/ZTW (dry-tilled unpuddled DSR, no residue), CA = T4 CT-DSR/ZTW + residue ; row b: ZT = T5 ZT-DSR/ZTW, CA = T6 ZT-DSR/ZTW + residue (rule 25: tilled UNPUDDLED rice + ZT wheat -&gt; ZT / CA, flagged)</t>
  </si>
  <si>
    <t xml:space="preserve">Wheat season - after wheat harvest, April 2007 (2 cycles)</t>
  </si>
  <si>
    <t xml:space="preserve">Rice PHB-71 (TPR last week June / DSR first week June, 25 kg/ha), 150-26-50 kg N-P-K + 8.75 Zn/ha; wheat PBW 343 (100 kg/ha, first week Nov), 120-26-50 kg N-P-K/ha, 5 irrigations x 60 mm. SESBANIA brown manure (50 kg/ha seed, 30 d, ~1 Mg/ha DM, killed with 2,4-D) in T2/T4/T6 only (GREEN MANURE - rule 71). Rice irrigated at -20 kPa (15-18 cm). Sandy loam Typic Ustochrept.</t>
  </si>
  <si>
    <t xml:space="preserve">Fig. 1 (digitised, vector)</t>
  </si>
  <si>
    <t xml:space="preserve">ROW a. Fig. 1 DIGITISED exactly from the vector polylines (x 1.45-1.80 Mg/m3). Initial 1.508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</si>
  <si>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Core method: 3 cm long x 5 cm diam. metal cores placed in the middle of the 0-5, 6-10, 11-15 and 16-20 cm layers, oven-dried; after wheat harvest April 2007 (plotted at layer mid-points 2.5 / 7.5 / 12.5 / 17.5 cm)</t>
  </si>
  <si>
    <t xml:space="preserve">ROW b. Fig. 1 DIGITISED exactly from the vector polylines (x 1.45-1.80 Mg/m3). Initial 1.508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</si>
  <si>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1.579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</si>
  <si>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1.579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</si>
  <si>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1.662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</si>
  <si>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1.662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</si>
  <si>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1.678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</si>
  <si>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1 DIGITISED exactly from the vector polylines (x 1.45-1.80 Mg/m3). Initial 1.678 Mg/m3. Residue main effect (right panel)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</si>
  <si>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</si>
  <si>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</si>
  <si>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</si>
  <si>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</si>
  <si>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</si>
  <si>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</si>
  <si>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</si>
  <si>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</si>
  <si>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</si>
  <si>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</si>
  <si>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</si>
  <si>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</si>
  <si>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</si>
  <si>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</si>
  <si>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</si>
  <si>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</si>
  <si>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</si>
  <si>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</si>
  <si>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</si>
  <si>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</si>
  <si>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</si>
  <si>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</si>
  <si>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</si>
  <si>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</si>
  <si>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</si>
  <si>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</si>
  <si>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</si>
  <si>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</si>
  <si>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</si>
  <si>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</si>
  <si>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</si>
  <si>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</si>
  <si>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</si>
  <si>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</si>
  <si>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</si>
  <si>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</si>
  <si>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</si>
  <si>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</si>
  <si>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</si>
  <si>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</si>
  <si>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</si>
  <si>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</si>
  <si>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</si>
  <si>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</si>
  <si>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</si>
  <si>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</si>
  <si>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</si>
  <si>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</si>
  <si>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</si>
  <si>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</si>
  <si>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</si>
  <si>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</si>
  <si>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</si>
  <si>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</si>
  <si>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</si>
  <si>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</si>
  <si>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</si>
  <si>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</si>
  <si>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</si>
  <si>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</si>
  <si>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</si>
  <si>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</si>
  <si>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</si>
  <si>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</si>
  <si>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 v/v (DERIVED, PD 2.65)</t>
  </si>
  <si>
    <t xml:space="preserve">ROW a. DERIVED (rule 73): porosity = (1 - BD / 2.65) x 100 from the Fig. 1 BD row (live link); PD not reported - 2.65 Mg/m3 assumed (flag).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</si>
  <si>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Porosity = (1 - BD/PD) x 100; BD by core method</t>
  </si>
  <si>
    <t xml:space="preserve">ROW b. DERIVED (rule 73): porosity = (1 - BD / 2.65) x 100 from the Fig. 1 BD row (live link); PD not reported - 2.65 Mg/m3 assumed (flag).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</si>
  <si>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DERIVED (rule 73): porosity = (1 - BD / 2.65) x 100 from the Fig. 1 BD row (live link); PD not reported - 2.65 Mg/m3 assumed (flag).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</si>
  <si>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DERIVED (rule 73): porosity = (1 - BD / 2.65) x 100 from the Fig. 1 BD row (live link); PD not reported - 2.65 Mg/m3 assumed (flag).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</si>
  <si>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</si>
  <si>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</si>
  <si>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</si>
  <si>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</si>
  <si>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</si>
  <si>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</si>
  <si>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</si>
  <si>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</si>
  <si>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</si>
  <si>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</si>
  <si>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</si>
  <si>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</si>
  <si>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</si>
  <si>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</si>
  <si>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</si>
  <si>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</si>
  <si>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</si>
  <si>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</si>
  <si>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</si>
  <si>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</si>
  <si>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</si>
  <si>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</si>
  <si>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</si>
  <si>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</si>
  <si>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</si>
  <si>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</si>
  <si>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</si>
  <si>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</si>
  <si>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</si>
  <si>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</si>
  <si>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</si>
  <si>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</si>
  <si>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</si>
  <si>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</si>
  <si>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</si>
  <si>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</si>
  <si>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</si>
  <si>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</si>
  <si>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</si>
  <si>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</si>
  <si>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</si>
  <si>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</si>
  <si>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</si>
  <si>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</si>
  <si>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</si>
  <si>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</si>
  <si>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</si>
  <si>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</si>
  <si>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</si>
  <si>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</si>
  <si>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</si>
  <si>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</si>
  <si>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</si>
  <si>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</si>
  <si>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</si>
  <si>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</si>
  <si>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</si>
  <si>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</si>
  <si>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</si>
  <si>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</si>
  <si>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</si>
  <si>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</si>
  <si>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</si>
  <si>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</si>
  <si>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</si>
  <si>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</si>
  <si>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</si>
  <si>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</si>
  <si>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</si>
  <si>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</si>
  <si>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</si>
  <si>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</si>
  <si>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</si>
  <si>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</si>
  <si>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</si>
  <si>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</si>
  <si>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</si>
  <si>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</si>
  <si>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</si>
  <si>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</si>
  <si>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</si>
  <si>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</si>
  <si>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</si>
  <si>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</si>
  <si>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</si>
  <si>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</si>
  <si>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</si>
  <si>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</si>
  <si>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</si>
  <si>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</si>
  <si>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</si>
  <si>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</si>
  <si>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</si>
  <si>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 = sum(class mean diameter x mass fraction); class means 6.375, 3.375, 1.5, 0.75, 0.375, 0.18, 0.055 mm</t>
  </si>
  <si>
    <t xml:space="preserve">ROW b.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</si>
  <si>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Fig. 2 (digitised, vector)</t>
  </si>
  <si>
    <t xml:space="preserve">ROW a. Fig. 2 MWD line DIGITISED exactly (vector). Initial 1.528 mm; main effects no residue 1.593, residue 1.781 mm (abstract: +11.9 % for T6 vs T1 - the plotted values give a larger gap; plotted values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</si>
  <si>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t>
  </si>
  <si>
    <t xml:space="preserve">ROW b. Fig. 2 MWD line DIGITISED exactly (vector). Initial 1.528 mm; main effects no residue 1.593, residue 1.781 mm (abstract: +11.9 % for T6 vs T1 - the plotted values give a larger gap; plotted values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</si>
  <si>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</si>
  <si>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</si>
  <si>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</si>
  <si>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</si>
  <si>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</si>
  <si>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</si>
  <si>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</si>
  <si>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</si>
  <si>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</si>
  <si>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</si>
  <si>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</si>
  <si>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</si>
  <si>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</si>
  <si>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</si>
  <si>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</si>
  <si>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</si>
  <si>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</si>
  <si>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</si>
  <si>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</si>
  <si>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</si>
  <si>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</si>
  <si>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</si>
  <si>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</si>
  <si>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</si>
  <si>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</si>
  <si>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</si>
  <si>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</si>
  <si>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</si>
  <si>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</si>
  <si>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</si>
  <si>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</si>
  <si>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</si>
  <si>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</si>
  <si>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</si>
  <si>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</si>
  <si>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</si>
  <si>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</si>
  <si>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</si>
  <si>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</si>
  <si>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</si>
  <si>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</si>
  <si>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</si>
  <si>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</si>
  <si>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</si>
  <si>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</si>
  <si>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</si>
  <si>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</si>
  <si>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</si>
  <si>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</si>
  <si>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</si>
  <si>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</si>
  <si>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</si>
  <si>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</si>
  <si>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</si>
  <si>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</si>
  <si>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g/g soil (printed total WSA % / 100; macro + micro &gt;0.05 mm)</t>
  </si>
  <si>
    <t xml:space="preserve">Table 3 - converted</t>
  </si>
  <si>
    <t xml:space="preserve">g/g soil (MACRO &gt;0.25 mm + MICRO 0.25-0.11 mm, % / 100)</t>
  </si>
  <si>
    <t xml:space="preserve">Wheat season - after wheat harvest 2008-09</t>
  </si>
  <si>
    <t xml:space="preserve">DERIVED (Table 3 MACRO + Fig. 2 MICRO)</t>
  </si>
  <si>
    <t xml:space="preserve">DERIVED (author 2026-10-05): WSA = MACRO + MICRO. 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</si>
  <si>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 WSA = macro + micro (live links)</t>
  </si>
  <si>
    <t xml:space="preserve">DERIVED (author 2026-10-05): WSA = MACRO + MICRO. 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</si>
  <si>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g/g soil (MACRO &gt;0.25 mm + MICRO 0.106-0.25 mm, % / 100)</t>
  </si>
  <si>
    <t xml:space="preserve">DERIVED (Fig. 2 MACRO + Table 2 MICRO)</t>
  </si>
  <si>
    <t xml:space="preserve">ROW a. DERIVED (rule 102): WSA = MACRO (&gt;0.25 mm, Fig. 2) + MICRO (0.106-0.25 mm, Table 2), live links, % / 100. FLAG: 0.053-0.106 mm class not measured.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</si>
  <si>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 WSA = macro + micro (live links)</t>
  </si>
  <si>
    <t xml:space="preserve">ROW b. DERIVED (rule 102): WSA = MACRO (&gt;0.25 mm, Fig. 2) + MICRO (0.106-0.25 mm, Table 2), live links, % / 100. FLAG: 0.053-0.106 mm class not measured.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</si>
  <si>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</si>
  <si>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</si>
  <si>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</si>
  <si>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</si>
  <si>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</si>
  <si>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</si>
  <si>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</si>
  <si>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</si>
  <si>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</si>
  <si>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</si>
  <si>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</si>
  <si>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</si>
  <si>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</si>
  <si>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 [OBS RECOMPUTED 2026-10-05 (author rule): Y=1 (years of data in this row's series) + T=1 + D=1 -&gt; Obs = 1; factors of 1 add nothing; supersedes any earlier Obs statement.]</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</si>
  <si>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</si>
  <si>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</si>
  <si>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</si>
  <si>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</si>
  <si>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</si>
  <si>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</si>
  <si>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</si>
  <si>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</si>
  <si>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</si>
  <si>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</si>
  <si>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</si>
  <si>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</si>
  <si>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</si>
  <si>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</si>
  <si>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</si>
  <si>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</si>
  <si>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2004-05</t>
  </si>
  <si>
    <t xml:space="preserve">Wheat season - after wheat harvest 2004-05</t>
  </si>
  <si>
    <t xml:space="preserve">2005-06</t>
  </si>
  <si>
    <t xml:space="preserve">Wheat season - after wheat harvest 2005-06</t>
  </si>
  <si>
    <t xml:space="preserve">Wheat season - after wheat harvest 2006-07</t>
  </si>
  <si>
    <t xml:space="preserve">Wheat season - after wheat harvest 2007-08</t>
  </si>
  <si>
    <t xml:space="preserve">% (water-stable aggregates &gt;0.20 mm)</t>
  </si>
  <si>
    <t xml:space="preserve">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</si>
  <si>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Wet sieving, 50 g air-dried soil (Kemper &amp; Koch 1966); % WSA &gt;0.20 mm (flag: 0.20 not 0.25 mm)</t>
  </si>
  <si>
    <t xml:space="preserve">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</si>
  <si>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</si>
  <si>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</si>
  <si>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</si>
  <si>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</si>
  <si>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</si>
  <si>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</si>
  <si>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</si>
  <si>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</si>
  <si>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</si>
  <si>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</si>
  <si>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</si>
  <si>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</si>
  <si>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</si>
  <si>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</si>
  <si>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</si>
  <si>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</si>
  <si>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</si>
  <si>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</si>
  <si>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</si>
  <si>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</si>
  <si>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</si>
  <si>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</si>
  <si>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</si>
  <si>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</si>
  <si>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</si>
  <si>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 [OBS RECOMPUTED 2026-10-05 (author rule): Y=1 (years of data in this row's series) + T=1 + D=1 -&gt; Obs = 1; factors of 1 add nothing; supersedes any earlier Obs statement.]</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</si>
  <si>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</si>
  <si>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</si>
  <si>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</si>
  <si>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micro-aggregates 0.05-0.25 mm)</t>
  </si>
  <si>
    <t xml:space="preserve">% of soil (water-stable micro-aggregates 0.25-0.11 mm)</t>
  </si>
  <si>
    <t xml:space="preserve">Fig. 2 (digitised, scanned figure)</t>
  </si>
  <si>
    <t xml:space="preserve">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</si>
  <si>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t>
  </si>
  <si>
    <t xml:space="preserve">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</si>
  <si>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 (water-stable micro-aggregates 0.106-0.25 mm)</t>
  </si>
  <si>
    <t xml:space="preserve">ROW a. Table 2 class 0.106-0.25 mm (rule 102: water-stable class &lt;0.25 mm). FLAG: the 0.053-0.106 mm part of the micro-aggregates was not sieved, so MICRO (and WSA) is incomplete. Residue main effect 21.09 vs 17.76 % (P = 0.027).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</si>
  <si>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Table 2 class 0.106-0.25 mm (rule 102: water-stable class &lt;0.25 mm). FLAG: the 0.053-0.106 mm part of the micro-aggregates was not sieved, so MICRO (and WSA) is incomplete. Residue main effect 21.09 vs 17.76 % (P = 0.027).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</si>
  <si>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</si>
  <si>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</si>
  <si>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</si>
  <si>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</si>
  <si>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</si>
  <si>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</si>
  <si>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</si>
  <si>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</si>
  <si>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</si>
  <si>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</si>
  <si>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</si>
  <si>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</si>
  <si>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</si>
  <si>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</si>
  <si>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</si>
  <si>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</si>
  <si>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</si>
  <si>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</si>
  <si>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</si>
  <si>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</si>
  <si>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</si>
  <si>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</si>
  <si>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</si>
  <si>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</si>
  <si>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</si>
  <si>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</si>
  <si>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</si>
  <si>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</si>
  <si>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</si>
  <si>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</si>
  <si>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</si>
  <si>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</si>
  <si>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</si>
  <si>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</si>
  <si>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</si>
  <si>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</si>
  <si>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</si>
  <si>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</si>
  <si>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</si>
  <si>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</si>
  <si>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</si>
  <si>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</si>
  <si>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</si>
  <si>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</si>
  <si>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</si>
  <si>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</si>
  <si>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</si>
  <si>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</si>
  <si>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</si>
  <si>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</si>
  <si>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</si>
  <si>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</si>
  <si>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</si>
  <si>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</si>
  <si>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</si>
  <si>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</si>
  <si>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</si>
  <si>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</si>
  <si>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</si>
  <si>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</si>
  <si>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</si>
  <si>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</si>
  <si>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</si>
  <si>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</si>
  <si>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</si>
  <si>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</si>
  <si>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</si>
  <si>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</si>
  <si>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</si>
  <si>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</si>
  <si>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</si>
  <si>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</si>
  <si>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</si>
  <si>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</si>
  <si>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</si>
  <si>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</si>
  <si>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</si>
  <si>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</si>
  <si>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</si>
  <si>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</si>
  <si>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</si>
  <si>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</si>
  <si>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</si>
  <si>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</si>
  <si>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</si>
  <si>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</si>
  <si>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</si>
  <si>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</si>
  <si>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</si>
  <si>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</si>
  <si>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</si>
  <si>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</si>
  <si>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</si>
  <si>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</si>
  <si>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</si>
  <si>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</si>
  <si>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</si>
  <si>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</si>
  <si>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</si>
  <si>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</si>
  <si>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</si>
  <si>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</si>
  <si>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</si>
  <si>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</si>
  <si>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</si>
  <si>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</si>
  <si>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</si>
  <si>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</si>
  <si>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</si>
  <si>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</si>
  <si>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MPa (printed kPa / 1000)</t>
  </si>
  <si>
    <t xml:space="preserve">Table 4 - converted</t>
  </si>
  <si>
    <t xml:space="preserve">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</si>
  <si>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Cone penetrometer, 1 cm2 base, 60 deg cone (Eijkelkamp)</t>
  </si>
  <si>
    <t xml:space="preserve">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</si>
  <si>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</si>
  <si>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</si>
  <si>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</si>
  <si>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</si>
  <si>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</si>
  <si>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</si>
  <si>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</si>
  <si>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</si>
  <si>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</si>
  <si>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</si>
  <si>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5 cm</t>
  </si>
  <si>
    <t xml:space="preserve">Fig. 3 (digitised, vector)</t>
  </si>
  <si>
    <t xml:space="preserve">ROW a. Fig. 3 DIGITISED exactly from the vector polylines (x 0-3.5 MPa). Each 5-cm reading its own row (rule 96). Residue main effect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</si>
  <si>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Manual cone penetrometer (Eijkelkamp; 30 deg cone, 1 cm2 base) at every 5 cm to 45 cm near field capacity (moisture 15.9-16.4, 16.4-16.9, 14.1-14.6, 14.4-14.9 % at 0-5 / 6-10 / 11-15 / 16-20 cm); after wheat harvest April 2007</t>
  </si>
  <si>
    <t xml:space="preserve">ROW b. Fig. 3 DIGITISED exactly from the vector polylines (x 0-3.5 MPa). Each 5-cm reading its own row (rule 96). Residue main effect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</si>
  <si>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10 cm</t>
  </si>
  <si>
    <t xml:space="preserve">15 cm</t>
  </si>
  <si>
    <t xml:space="preserve">20 cm</t>
  </si>
  <si>
    <t xml:space="preserve">25 cm</t>
  </si>
  <si>
    <t xml:space="preserve">30 cm</t>
  </si>
  <si>
    <t xml:space="preserve">35 cm</t>
  </si>
  <si>
    <t xml:space="preserve">40 cm</t>
  </si>
  <si>
    <t xml:space="preserve">45 cm</t>
  </si>
  <si>
    <t xml:space="preserve">ROW a. Fig. 3 DIGITISED exactly from the vector polylines (x 0-3.5 MPa). Each 5-cm reading its own row (rule 96). Residue main effect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</si>
  <si>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3 DIGITISED exactly from the vector polylines (x 0-3.5 MPa). Each 5-cm reading its own row (rule 96). Residue main effect not entered.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</si>
  <si>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</si>
  <si>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</si>
  <si>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</si>
  <si>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</si>
  <si>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</si>
  <si>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</si>
  <si>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</si>
  <si>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</si>
  <si>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</si>
  <si>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</si>
  <si>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</si>
  <si>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</si>
  <si>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</si>
  <si>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</si>
  <si>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</si>
  <si>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</si>
  <si>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</si>
  <si>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</si>
  <si>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</si>
  <si>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</si>
  <si>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</si>
  <si>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</si>
  <si>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</si>
  <si>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</si>
  <si>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</si>
  <si>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</si>
  <si>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</si>
  <si>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</si>
  <si>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</si>
  <si>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</si>
  <si>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</si>
  <si>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</si>
  <si>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</si>
  <si>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</si>
  <si>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</si>
  <si>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</si>
  <si>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</si>
  <si>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</si>
  <si>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</si>
  <si>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</si>
  <si>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</si>
  <si>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</si>
  <si>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</si>
  <si>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</si>
  <si>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</si>
  <si>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</si>
  <si>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</si>
  <si>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</si>
  <si>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</si>
  <si>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</si>
  <si>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</si>
  <si>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</si>
  <si>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 [OBS RECOMPUTED 2026-10-05 (author rule): Y=1 (years of data in this row's series) + T=1 + D=1 -&gt; Obs = 1; factors of 1 add nothing; supersedes any earlier Obs statement.]</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</si>
  <si>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</si>
  <si>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</si>
  <si>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</si>
  <si>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</si>
  <si>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</si>
  <si>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</si>
  <si>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</si>
  <si>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</si>
  <si>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</si>
  <si>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</si>
  <si>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</si>
  <si>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</si>
  <si>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</si>
  <si>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</si>
  <si>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</si>
  <si>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Double-ring infiltrometer, falling head (Gathala et al. 2011); inner/outer rings 26/39 cm inserted to 15 cm</t>
  </si>
  <si>
    <t xml:space="preserve">surface (rings 10 cm deep)</t>
  </si>
  <si>
    <t xml:space="preserve">cm/hr (steady-state; printed mm/h / 10)</t>
  </si>
  <si>
    <t xml:space="preserve">Fig. 4 (digitised, vector) - converted</t>
  </si>
  <si>
    <t xml:space="preserve">ROW a. Fig. 4 bars DIGITISED exactly (vector), printed mm/h / 10 = cm/hr. Initial 2.782 mm/h; main effects no residue 2.771, residue 3.003 mm/h (bars reproduce the abstract ranges: ZT-DSR 2.97-3.34, CT-PTR 2.41-2.62 mm/h). STEADY-STATE rate (IR_).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</si>
  <si>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Double-ring infiltrometer pushed 10 cm, constant 20 cm head in both rings, run to steady state, 2 points per plot, at wheat harvest</t>
  </si>
  <si>
    <t xml:space="preserve">ROW b. Fig. 4 bars DIGITISED exactly (vector), printed mm/h / 10 = cm/hr. Initial 2.782 mm/h; main effects no residue 2.771, residue 3.003 mm/h (bars reproduce the abstract ranges: ZT-DSR 2.97-3.34, CT-PTR 2.41-2.62 mm/h). STEADY-STATE rate (IR_).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</si>
  <si>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</si>
  <si>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</si>
  <si>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</si>
  <si>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</si>
  <si>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</si>
  <si>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</si>
  <si>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</si>
  <si>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</si>
  <si>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</si>
  <si>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</si>
  <si>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</si>
  <si>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</si>
  <si>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</si>
  <si>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</si>
  <si>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</si>
  <si>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</si>
  <si>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</si>
  <si>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</si>
  <si>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</si>
  <si>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</si>
  <si>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</si>
  <si>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</si>
  <si>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</si>
  <si>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</si>
  <si>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</si>
  <si>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</si>
  <si>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</si>
  <si>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</si>
  <si>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</si>
  <si>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</si>
  <si>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</si>
  <si>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</si>
  <si>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</si>
  <si>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</si>
  <si>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</si>
  <si>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</si>
  <si>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</si>
  <si>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</si>
  <si>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</si>
  <si>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</si>
  <si>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</si>
  <si>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</si>
  <si>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</si>
  <si>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</si>
  <si>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</si>
  <si>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</si>
  <si>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</si>
  <si>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</si>
  <si>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</si>
  <si>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</si>
  <si>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</si>
  <si>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</si>
  <si>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</si>
  <si>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</si>
  <si>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</si>
  <si>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</si>
  <si>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</si>
  <si>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</si>
  <si>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</si>
  <si>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</si>
  <si>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</si>
  <si>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</si>
  <si>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</si>
  <si>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</si>
  <si>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</si>
  <si>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</si>
  <si>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</si>
  <si>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</si>
  <si>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</si>
  <si>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</si>
  <si>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</si>
  <si>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</si>
  <si>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</si>
  <si>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</si>
  <si>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</si>
  <si>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</si>
  <si>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</si>
  <si>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</si>
  <si>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</si>
  <si>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</si>
  <si>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Y=3 (pooled mean) + T=1 + D=1 -&gt; Obs = 3; factors of 1 add nothing; supersedes any earlier Obs statement.]</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</si>
  <si>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</si>
  <si>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</si>
  <si>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</si>
  <si>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</si>
  <si>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</si>
  <si>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</si>
  <si>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</si>
  <si>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</si>
  <si>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</si>
  <si>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</si>
  <si>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</si>
  <si>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</si>
  <si>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</si>
  <si>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</si>
  <si>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</si>
  <si>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</si>
  <si>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</si>
  <si>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</si>
  <si>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</si>
  <si>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</si>
  <si>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</si>
  <si>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</si>
  <si>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</si>
  <si>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</si>
  <si>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</si>
  <si>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</si>
  <si>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</si>
  <si>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</si>
  <si>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</si>
  <si>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</si>
  <si>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</si>
  <si>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</si>
  <si>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</si>
  <si>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</si>
  <si>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</si>
  <si>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</si>
  <si>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</si>
  <si>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</si>
  <si>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</si>
  <si>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</si>
  <si>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</si>
  <si>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</si>
  <si>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</si>
  <si>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</si>
  <si>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</si>
  <si>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</si>
  <si>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</si>
  <si>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</si>
  <si>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</si>
  <si>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</si>
  <si>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</si>
  <si>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</si>
  <si>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</si>
  <si>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</si>
  <si>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</si>
  <si>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</si>
  <si>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</si>
  <si>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</si>
  <si>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</si>
  <si>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</si>
  <si>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</si>
  <si>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</si>
  <si>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</si>
  <si>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</si>
  <si>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</si>
  <si>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</si>
  <si>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</si>
  <si>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</si>
  <si>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</si>
  <si>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</si>
  <si>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</si>
  <si>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</si>
  <si>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</si>
  <si>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</si>
  <si>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</si>
  <si>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</si>
  <si>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</si>
  <si>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</si>
  <si>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</si>
  <si>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</si>
  <si>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</si>
  <si>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</si>
  <si>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</si>
  <si>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</si>
  <si>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</si>
  <si>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</si>
  <si>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</si>
  <si>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</si>
  <si>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</si>
  <si>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</si>
  <si>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</si>
  <si>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</si>
  <si>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</si>
  <si>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</si>
  <si>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</si>
  <si>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</si>
  <si>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</si>
  <si>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</si>
  <si>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</si>
  <si>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</si>
  <si>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</si>
  <si>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</si>
  <si>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</si>
  <si>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</si>
  <si>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</si>
  <si>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</si>
  <si>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</si>
  <si>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</si>
  <si>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</si>
  <si>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</si>
  <si>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</si>
  <si>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</si>
  <si>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</si>
  <si>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</si>
  <si>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</si>
  <si>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</si>
  <si>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</si>
  <si>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</si>
  <si>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</si>
  <si>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</si>
  <si>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</si>
  <si>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</si>
  <si>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</si>
  <si>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</si>
  <si>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</si>
  <si>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</si>
  <si>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</si>
  <si>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</si>
  <si>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</si>
  <si>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</si>
  <si>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Gravimetric moisture x BD = VMC (paper); back-converted here (oven-dry method)</t>
  </si>
  <si>
    <t xml:space="preserve">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</si>
  <si>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</si>
  <si>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</si>
  <si>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</si>
  <si>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</si>
  <si>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</si>
  <si>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</si>
  <si>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</si>
  <si>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</si>
  <si>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</si>
  <si>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</si>
  <si>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</si>
  <si>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</si>
  <si>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</si>
  <si>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</si>
  <si>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</si>
  <si>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</si>
  <si>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</si>
  <si>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</si>
  <si>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</si>
  <si>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</si>
  <si>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</si>
  <si>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</si>
  <si>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</si>
  <si>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</si>
  <si>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</si>
  <si>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</si>
  <si>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</si>
  <si>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</si>
  <si>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</si>
  <si>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</si>
  <si>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</si>
  <si>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</si>
  <si>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</si>
  <si>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</si>
  <si>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</si>
  <si>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</si>
  <si>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</si>
  <si>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 [OBS RECOMPUTED 2026-10-05 (author rule): Y=1 (years of data in this row's series) + T=1 + D=1 -&gt; Obs = 1; factors of 1 add nothing; supersedes any earlier Obs statement.]</t>
  </si>
  <si>
    <t xml:space="preserve">Walkley &amp; Black (1934) wet oxidation</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</si>
  <si>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</si>
  <si>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</si>
  <si>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</si>
  <si>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</si>
  <si>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</si>
  <si>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</si>
  <si>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</si>
  <si>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</si>
  <si>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</si>
  <si>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</si>
  <si>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</si>
  <si>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</si>
  <si>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</si>
  <si>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</si>
  <si>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</si>
  <si>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</si>
  <si>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</si>
  <si>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</si>
  <si>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</si>
  <si>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</si>
  <si>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</si>
  <si>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</si>
  <si>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</si>
  <si>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</si>
  <si>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</si>
  <si>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</si>
  <si>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</si>
  <si>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</si>
  <si>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</si>
  <si>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</si>
  <si>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</si>
  <si>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</si>
  <si>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</si>
  <si>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</si>
  <si>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</si>
  <si>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</si>
  <si>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</si>
  <si>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</si>
  <si>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K2Cr2O7 volumetric (external heating) method</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</si>
  <si>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</si>
  <si>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</si>
  <si>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</si>
  <si>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</si>
  <si>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</si>
  <si>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</si>
  <si>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</si>
  <si>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</si>
  <si>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</si>
  <si>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</si>
  <si>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</si>
  <si>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</si>
  <si>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</si>
  <si>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</si>
  <si>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</si>
  <si>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</si>
  <si>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</si>
  <si>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</si>
  <si>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</si>
  <si>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</si>
  <si>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</si>
  <si>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</si>
  <si>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</si>
  <si>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</si>
  <si>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</si>
  <si>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</si>
  <si>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</si>
  <si>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</si>
  <si>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</si>
  <si>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</si>
  <si>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</si>
  <si>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</si>
  <si>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</si>
  <si>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</si>
  <si>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</si>
  <si>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</si>
  <si>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</si>
  <si>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</si>
  <si>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</si>
  <si>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rice-straw compost 20 Mg/ha + N -&gt; CTR (row c, author 2026-10-05) ;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</si>
  <si>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</si>
  <si>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</si>
  <si>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</si>
  <si>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</si>
  <si>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</si>
  <si>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</si>
  <si>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a. Table 2 (T6 6.25a highest). Main effects: no residue 5.76, residue 6.03 g/kg. Initial 8.3 g/kg (2005). All treatments T1-T6: 5.72 / 5.88 / 5.78 / 5.97 / 5.78 / 6.25.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</si>
  <si>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organic C by Walkley &amp; Black (1934) [ref. 28]</t>
  </si>
  <si>
    <t xml:space="preserve">ROW b. Table 2 (T6 6.25a highest). Main effects: no residue 5.76, residue 6.03 g/kg. Initial 8.3 g/kg (2005). All treatments T1-T6: 5.72 / 5.88 / 5.78 / 5.97 / 5.78 / 6.25.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</si>
  <si>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</si>
  <si>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</si>
  <si>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</si>
  <si>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</si>
  <si>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</si>
  <si>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</si>
  <si>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</si>
  <si>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</si>
  <si>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</si>
  <si>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</si>
  <si>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</si>
  <si>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</si>
  <si>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</si>
  <si>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</si>
  <si>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</si>
  <si>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</si>
  <si>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</si>
  <si>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</si>
  <si>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</si>
  <si>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</si>
  <si>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</si>
  <si>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</si>
  <si>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</si>
  <si>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</si>
  <si>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</si>
  <si>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</si>
  <si>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</si>
  <si>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</si>
  <si>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</si>
  <si>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</si>
  <si>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</si>
  <si>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</si>
  <si>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</si>
  <si>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</si>
  <si>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</si>
  <si>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</si>
  <si>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</si>
  <si>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CHNS analyser (Nelson &amp; Sommers 1982)</t>
  </si>
  <si>
    <t xml:space="preserve">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</si>
  <si>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</si>
  <si>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</si>
  <si>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</si>
  <si>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</si>
  <si>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</si>
  <si>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</si>
  <si>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</si>
  <si>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</si>
  <si>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</si>
  <si>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</si>
  <si>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</si>
  <si>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</si>
  <si>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</si>
  <si>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</si>
  <si>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</si>
  <si>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</si>
  <si>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</si>
  <si>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</si>
  <si>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</si>
  <si>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</si>
  <si>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</si>
  <si>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</si>
  <si>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</si>
  <si>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</si>
  <si>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</si>
  <si>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</si>
  <si>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</si>
  <si>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</si>
  <si>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</si>
  <si>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</si>
  <si>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</si>
  <si>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</si>
  <si>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</si>
  <si>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</si>
  <si>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</si>
  <si>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</si>
  <si>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</si>
  <si>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</si>
  <si>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</si>
  <si>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</si>
  <si>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</si>
  <si>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</si>
  <si>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</si>
  <si>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</si>
  <si>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</si>
  <si>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</si>
  <si>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</si>
  <si>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</si>
  <si>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</si>
  <si>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</si>
  <si>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</si>
  <si>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</si>
  <si>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</si>
  <si>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</si>
  <si>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</si>
  <si>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</si>
  <si>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</si>
  <si>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</si>
  <si>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</si>
  <si>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</si>
  <si>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</si>
  <si>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</si>
  <si>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</si>
  <si>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</si>
  <si>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</si>
  <si>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</si>
  <si>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</si>
  <si>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</si>
  <si>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</si>
  <si>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</si>
  <si>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</si>
  <si>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</si>
  <si>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</si>
  <si>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</si>
  <si>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</si>
  <si>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</si>
  <si>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</si>
  <si>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</si>
  <si>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</si>
  <si>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</si>
  <si>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</si>
  <si>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</si>
  <si>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</si>
  <si>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</si>
  <si>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</si>
  <si>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</si>
  <si>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</si>
  <si>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</si>
  <si>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</si>
  <si>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</si>
  <si>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</si>
  <si>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</si>
  <si>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</si>
  <si>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</si>
  <si>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</si>
  <si>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</si>
  <si>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</si>
  <si>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</si>
  <si>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</si>
  <si>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</si>
  <si>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</si>
  <si>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</si>
  <si>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</si>
  <si>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</si>
  <si>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</si>
  <si>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</si>
  <si>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</si>
  <si>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</si>
  <si>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</si>
  <si>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</si>
  <si>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</si>
  <si>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</si>
  <si>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</si>
  <si>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</si>
  <si>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</si>
  <si>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</si>
  <si>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</si>
  <si>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</si>
  <si>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</si>
  <si>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</si>
  <si>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</si>
  <si>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</si>
  <si>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</si>
  <si>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</si>
  <si>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</si>
  <si>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</si>
  <si>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</si>
  <si>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</si>
  <si>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</si>
  <si>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</si>
  <si>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</si>
  <si>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</si>
  <si>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</si>
  <si>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</si>
  <si>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</si>
  <si>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</si>
  <si>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</si>
  <si>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</si>
  <si>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</si>
  <si>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</si>
  <si>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</si>
  <si>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</si>
  <si>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</si>
  <si>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</si>
  <si>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</si>
  <si>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</si>
  <si>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</si>
  <si>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</si>
  <si>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</si>
  <si>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</si>
  <si>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</si>
  <si>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</si>
  <si>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</si>
  <si>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</si>
  <si>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</si>
  <si>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</si>
  <si>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</si>
  <si>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</si>
  <si>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</si>
  <si>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</si>
  <si>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</si>
  <si>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</si>
  <si>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</si>
  <si>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</si>
  <si>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</si>
  <si>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</si>
  <si>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</si>
  <si>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</si>
  <si>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</si>
  <si>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</si>
  <si>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</si>
  <si>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</si>
  <si>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</si>
  <si>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</si>
  <si>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</si>
  <si>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</si>
  <si>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</si>
  <si>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</si>
  <si>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</si>
  <si>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</si>
  <si>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</si>
  <si>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</si>
  <si>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</si>
  <si>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</si>
  <si>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</si>
  <si>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</si>
  <si>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</si>
  <si>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</si>
  <si>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</si>
  <si>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</si>
  <si>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</si>
  <si>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</si>
  <si>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</si>
  <si>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</si>
  <si>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</si>
  <si>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</si>
  <si>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</si>
  <si>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</si>
  <si>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</si>
  <si>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</si>
  <si>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</si>
  <si>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</si>
  <si>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</si>
  <si>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</si>
  <si>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</si>
  <si>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</si>
  <si>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</si>
  <si>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</si>
  <si>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</si>
  <si>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</si>
  <si>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</si>
  <si>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</si>
  <si>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</si>
  <si>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</si>
  <si>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</si>
  <si>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</si>
  <si>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</si>
  <si>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</si>
  <si>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</si>
  <si>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</si>
  <si>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</si>
  <si>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</si>
  <si>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</si>
  <si>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</si>
  <si>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</si>
  <si>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</si>
  <si>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</si>
  <si>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</si>
  <si>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</si>
  <si>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</si>
  <si>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</si>
  <si>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</si>
  <si>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</si>
  <si>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</si>
  <si>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</si>
  <si>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</si>
  <si>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</si>
  <si>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</si>
  <si>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</si>
  <si>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</si>
  <si>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</si>
  <si>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</si>
  <si>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</si>
  <si>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</si>
  <si>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</si>
  <si>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</si>
  <si>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</si>
  <si>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</si>
  <si>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</si>
  <si>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</si>
  <si>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</si>
  <si>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</si>
  <si>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</si>
  <si>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</si>
  <si>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</si>
  <si>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</si>
  <si>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</si>
  <si>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</si>
  <si>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</si>
  <si>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</si>
  <si>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</si>
  <si>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</si>
  <si>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</si>
  <si>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</si>
  <si>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</si>
  <si>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</si>
  <si>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</si>
  <si>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 [OBS RECOMPUTED 2026-10-05 (author rule): Y=1 (years of data in this row's series) + T=1 + D=1 -&gt; Obs = 1; factors of 1 add nothing; supersedes any earlier Obs statement.]</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</si>
  <si>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</si>
  <si>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</si>
  <si>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</si>
  <si>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</si>
  <si>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</si>
  <si>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</si>
  <si>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</si>
  <si>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</si>
  <si>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</si>
  <si>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</si>
  <si>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</si>
  <si>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</si>
  <si>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</si>
  <si>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</si>
  <si>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</si>
  <si>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</si>
  <si>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</si>
  <si>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</si>
  <si>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</si>
  <si>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</si>
  <si>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</si>
  <si>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</si>
  <si>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</si>
  <si>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</si>
  <si>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</si>
  <si>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</si>
  <si>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</si>
  <si>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</si>
  <si>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</si>
  <si>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</si>
  <si>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</si>
  <si>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</si>
  <si>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</si>
  <si>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</si>
  <si>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</si>
  <si>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</si>
  <si>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</si>
  <si>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</si>
  <si>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</si>
  <si>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</si>
  <si>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</si>
  <si>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</si>
  <si>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</si>
  <si>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</si>
  <si>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</si>
  <si>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</si>
  <si>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</si>
  <si>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</si>
  <si>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</si>
  <si>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</si>
  <si>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</si>
  <si>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with BD 1.07 Mg/m3 (0-50 cm as printed)</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</si>
  <si>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</si>
  <si>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</si>
  <si>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</si>
  <si>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</si>
  <si>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</si>
  <si>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</si>
  <si>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</si>
  <si>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</si>
  <si>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</si>
  <si>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</si>
  <si>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</si>
  <si>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</si>
  <si>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</si>
  <si>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</si>
  <si>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</si>
  <si>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</si>
  <si>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</si>
  <si>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</si>
  <si>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</si>
  <si>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</si>
  <si>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</si>
  <si>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</si>
  <si>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</si>
  <si>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</si>
  <si>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</si>
  <si>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</si>
  <si>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</si>
  <si>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</si>
  <si>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</si>
  <si>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</si>
  <si>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</si>
  <si>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</si>
  <si>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</si>
  <si>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</si>
  <si>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</si>
  <si>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</si>
  <si>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</si>
  <si>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</si>
  <si>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</si>
  <si>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</si>
  <si>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</si>
  <si>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</si>
  <si>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</si>
  <si>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</si>
  <si>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</si>
  <si>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</si>
  <si>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</si>
  <si>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</si>
  <si>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</si>
  <si>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</si>
  <si>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</si>
  <si>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</si>
  <si>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</si>
  <si>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</si>
  <si>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</si>
  <si>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</si>
  <si>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</si>
  <si>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</si>
  <si>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</si>
  <si>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</si>
  <si>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</si>
  <si>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</si>
  <si>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</si>
  <si>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</si>
  <si>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</si>
  <si>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</si>
  <si>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</si>
  <si>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</si>
  <si>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</si>
  <si>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</si>
  <si>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</si>
  <si>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</si>
  <si>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</si>
  <si>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</si>
  <si>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</si>
  <si>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</si>
  <si>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</si>
  <si>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</si>
  <si>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</si>
  <si>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</si>
  <si>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</si>
  <si>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</si>
  <si>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 [OBS RECOMPUTED 2026-10-05 (author rule): Y=1 (years of data in this row's series) + T=1 + D=1 -&gt; Obs = 1; factors of 1 add nothing; supersedes any earlier Obs statement.]</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</si>
  <si>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</si>
  <si>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</si>
  <si>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</si>
  <si>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</si>
  <si>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</si>
  <si>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</si>
  <si>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</si>
  <si>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</si>
  <si>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</si>
  <si>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</si>
  <si>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</si>
  <si>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</si>
  <si>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</si>
  <si>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</si>
  <si>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</si>
  <si>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</si>
  <si>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</si>
  <si>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</si>
  <si>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</si>
  <si>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</si>
  <si>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</si>
  <si>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</si>
  <si>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</si>
  <si>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</si>
  <si>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</si>
  <si>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</si>
  <si>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</si>
  <si>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</si>
  <si>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</si>
  <si>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</si>
  <si>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</si>
  <si>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</si>
  <si>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</si>
  <si>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</si>
  <si>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</si>
  <si>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</si>
  <si>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</si>
  <si>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</si>
  <si>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</si>
  <si>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</si>
  <si>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</si>
  <si>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</si>
  <si>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</si>
  <si>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</si>
  <si>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</si>
  <si>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</si>
  <si>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</si>
  <si>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</si>
  <si>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</si>
  <si>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</si>
  <si>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</si>
  <si>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</si>
  <si>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</si>
  <si>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</si>
  <si>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</si>
  <si>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</si>
  <si>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</si>
  <si>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</si>
  <si>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</si>
  <si>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</si>
  <si>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</si>
  <si>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</si>
  <si>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</si>
  <si>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</si>
  <si>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</si>
  <si>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</si>
  <si>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</si>
  <si>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</si>
  <si>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</si>
  <si>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</si>
  <si>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</si>
  <si>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</si>
  <si>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</si>
  <si>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</si>
  <si>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</si>
  <si>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</si>
  <si>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dS/m (ratio not stated for treatment samples; initial EC/pH in 1:2 soil:water)</t>
  </si>
  <si>
    <t xml:space="preserve">ROW a. Table 2 (letters: T1 a, T2-T4 b, T5 ab, T6 b). Main effects: no residue 0.135, residue 0.126 dS/m. 15-30 cm not different (not printed). All treatments T1-T6: 0.146 / 0.124 / 0.127 / 0.127 / 0.134 / 0.128.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</si>
  <si>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EC method not stated (initial soil pH/EC in 1:2 soil:water)</t>
  </si>
  <si>
    <t xml:space="preserve">ROW b. Table 2 (letters: T1 a, T2-T4 b, T5 ab, T6 b). Main effects: no residue 0.135, residue 0.126 dS/m. 15-30 cm not different (not printed). All treatments T1-T6: 0.146 / 0.124 / 0.127 / 0.127 / 0.134 / 0.128.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</si>
  <si>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dS/m (ECe, saturated-paste equivalent: ECe = 2.02 x EC1:1 + 0.14)</t>
  </si>
  <si>
    <t xml:space="preserve">rows pair the establishment method: a: ZT = DSRB-R0, CA = DSRB-R50 ; b: ZT = DSRB-R0, CA = DSRB-R100 ; c: ZT = DSRF-R0, CA = DSRF-R50 ; d: ZT = DSRF-R0, CA = DSRF-R100 (permanent beds / flat, zero tillage in both crops). WSRF-SSW-FI / -AWD NOT ENTERED (author decision pending: conventional dry-tilled water-seeded rice + surface-seeded ZT wheat -&gt; pZT (rule 68) or ZT (rule 25)?)</t>
  </si>
  <si>
    <t xml:space="preserve">Wheat season 2008-09 (mean of 15 sampling dates; panel 'Wheat 2009')</t>
  </si>
  <si>
    <t xml:space="preserve">Rice Nukus-2 (140 kg/ha, drill-seeded 18-21 June), N-P2O5-K2O 257:120:80 (2008) / 250:120:80 (2009); wheat Krasnodar-99 (200 kg/ha, surface-seeded into standing rice), 124:100:70 (2008) / 233:140:70 (2009). Glyphosate pre-plant; azimsulfuron (rice), tribenuron (wheat). DSR on AWD at 20 kPa (1-5 d intervals); shallow saline groundwater (0.5-2 m); calcaric gleysol, silt loam topsoil.</t>
  </si>
  <si>
    <t xml:space="preserve">ROW b (R100 vs R0; R50 not plotted, so T = 2). Fig. 3 'Wheat 2009' panel DIGITISED exactly from the vector markers. WSRF-SSW-R0 2.19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D=1 -&gt; 2; factors of 1 add nothing.]</t>
  </si>
  <si>
    <t xml:space="preserve">Tube-auger samples at 0-10, 10-20, 20-30, 30-50, 50-80 cm before irrigation, 15 dates in wheat 2008/09, 5-12 replicates; beds sampled at bed top and furrow centre; EC of 1:1 water:soil paste (Forkutsa 2006) converted to ECe = 2.02 ECp + 0.14 (Akramkhanov et al. 2010)</t>
  </si>
  <si>
    <t xml:space="preserve">ROW d (R100 vs R0; R50 not plotted, so T = 2). Fig. 3 'Wheat 2009' panel DIGITISED exactly from the vector markers. WSRF-SSW-R0 2.19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D=1 -&gt; 2; factors of 1 add nothing.]</t>
  </si>
  <si>
    <t xml:space="preserve">ROW b (R100 vs R0; R50 not plotted, so T = 2). Fig. 3 'Wheat 2009' panel DIGITISED exactly from the vector markers. WSRF-SSW-R0 1.53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D=2 -&gt; 4; factors of 1 add nothing.]</t>
  </si>
  <si>
    <t xml:space="preserve">ROW d (R100 vs R0; R50 not plotted, so T = 2). Fig. 3 'Wheat 2009' panel DIGITISED exactly from the vector markers. WSRF-SSW-R0 1.53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D=2 -&gt; 4; factors of 1 add nothing.]</t>
  </si>
  <si>
    <t xml:space="preserve">ROW b (R100 vs R0; R50 not plotted, so T = 2). Fig. 3 'Wheat 2009' panel DIGITISED exactly from the vector markers. WSRF-SSW-R0 1.33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D=2 -&gt; 4; factors of 1 add nothing.]</t>
  </si>
  <si>
    <t xml:space="preserve">ROW d (R100 vs R0; R50 not plotted, so T = 2). Fig. 3 'Wheat 2009' panel DIGITISED exactly from the vector markers. WSRF-SSW-R0 1.33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D=2 -&gt; 4; factors of 1 add nothing.]</t>
  </si>
  <si>
    <t xml:space="preserve">ROW b (R100 vs R0; R50 not plotted, so T = 2). Fig. 3 'Wheat 2009' panel DIGITISED exactly from the vector markers. WSRF-SSW-R0 1.28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D=1 -&gt; 2; factors of 1 add nothing.]</t>
  </si>
  <si>
    <t xml:space="preserve">ROW d (R100 vs R0; R50 not plotted, so T = 2). Fig. 3 'Wheat 2009' panel DIGITISED exactly from the vector markers. WSRF-SSW-R0 1.28 dS/m (not entered, pending). ECe from EC 1:1 paste (flag: saturated-paste basis, saline soil).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D=1 -&gt; 2; factors of 1 add nothing.]</t>
  </si>
  <si>
    <t xml:space="preserve">&gt;60 CM</t>
  </si>
  <si>
    <t xml:space="preserve">50-80 cm</t>
  </si>
  <si>
    <t xml:space="preserve">ROW b (R100 vs R0; R50 not plotted, so T = 2). Fig. 3 'Wheat 2009' panel DIGITISED exactly from the vector markers. WSRF-SSW-R0 1.19 dS/m (not entered, pending).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D=1 -&gt; 2; factors of 1 add nothing.]</t>
  </si>
  <si>
    <t xml:space="preserve">ROW d (R100 vs R0; R50 not plotted, so T = 2). Fig. 3 'Wheat 2009' panel DIGITISED exactly from the vector markers. WSRF-SSW-R0 1.19 dS/m (not entered, pending).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Y=1 + T=2 + D=1 -&gt; 2; factors of 1 add nothing.]</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</si>
  <si>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</si>
  <si>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</si>
  <si>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</si>
  <si>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</si>
  <si>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</si>
  <si>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</si>
  <si>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</si>
  <si>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</si>
  <si>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</si>
  <si>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</si>
  <si>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</si>
  <si>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</si>
  <si>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</si>
  <si>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</si>
  <si>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</si>
  <si>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</si>
  <si>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</si>
  <si>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</si>
  <si>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</si>
  <si>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</si>
  <si>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</si>
  <si>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</si>
  <si>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</si>
  <si>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</si>
  <si>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</si>
  <si>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</si>
  <si>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</si>
  <si>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</si>
  <si>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</si>
  <si>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</si>
  <si>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</si>
  <si>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</si>
  <si>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</si>
  <si>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</si>
  <si>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</si>
  <si>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</si>
  <si>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</si>
  <si>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</si>
  <si>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</si>
  <si>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</si>
  <si>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</si>
  <si>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</si>
  <si>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</si>
  <si>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</si>
  <si>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</si>
  <si>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</si>
  <si>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</si>
  <si>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</si>
  <si>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</si>
  <si>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</si>
  <si>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</si>
  <si>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</si>
  <si>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</si>
  <si>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</si>
  <si>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</si>
  <si>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</si>
  <si>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</si>
  <si>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Alkaline KMnO4 (Subbiah &amp; Asija 1956)</t>
  </si>
  <si>
    <t xml:space="preserve">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</si>
  <si>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</si>
  <si>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</si>
  <si>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</si>
  <si>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</si>
  <si>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</si>
  <si>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</si>
  <si>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</si>
  <si>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</si>
  <si>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</si>
  <si>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</si>
  <si>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</si>
  <si>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</si>
  <si>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</si>
  <si>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</si>
  <si>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</si>
  <si>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</si>
  <si>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</si>
  <si>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</si>
  <si>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</si>
  <si>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</si>
  <si>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</si>
  <si>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</si>
  <si>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</si>
  <si>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</si>
  <si>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</si>
  <si>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</si>
  <si>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</si>
  <si>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</si>
  <si>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</si>
  <si>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</si>
  <si>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</si>
  <si>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</si>
  <si>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</si>
  <si>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</si>
  <si>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</si>
  <si>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</si>
  <si>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</si>
  <si>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</si>
  <si>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</si>
  <si>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</si>
  <si>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</si>
  <si>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</si>
  <si>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</si>
  <si>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</si>
  <si>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</si>
  <si>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</si>
  <si>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</si>
  <si>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</si>
  <si>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</si>
  <si>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</si>
  <si>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</si>
  <si>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</si>
  <si>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</si>
  <si>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</si>
  <si>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</si>
  <si>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</si>
  <si>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</si>
  <si>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</si>
  <si>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</si>
  <si>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</si>
  <si>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</si>
  <si>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</si>
  <si>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</si>
  <si>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</si>
  <si>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</si>
  <si>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0.5 M NaHCO3 (Olsen et al. 1954)</t>
  </si>
  <si>
    <t xml:space="preserve">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</si>
  <si>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</si>
  <si>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</si>
  <si>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</si>
  <si>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</si>
  <si>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</si>
  <si>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</si>
  <si>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</si>
  <si>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</si>
  <si>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</si>
  <si>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</si>
  <si>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</si>
  <si>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</si>
  <si>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</si>
  <si>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</si>
  <si>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</si>
  <si>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</si>
  <si>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</si>
  <si>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</si>
  <si>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</si>
  <si>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</si>
  <si>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</si>
  <si>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</si>
  <si>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</si>
  <si>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</si>
  <si>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</si>
  <si>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</si>
  <si>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</si>
  <si>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</si>
  <si>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</si>
  <si>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</si>
  <si>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</si>
  <si>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</si>
  <si>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</si>
  <si>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</si>
  <si>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</si>
  <si>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</si>
  <si>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</si>
  <si>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</si>
  <si>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</si>
  <si>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</si>
  <si>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</si>
  <si>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</si>
  <si>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</si>
  <si>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</si>
  <si>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</si>
  <si>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</si>
  <si>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</si>
  <si>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</si>
  <si>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</si>
  <si>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Neutral 1 N NH4OAc (Hanway &amp; Heidel 1952)</t>
  </si>
  <si>
    <t xml:space="preserve">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</si>
  <si>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</si>
  <si>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</si>
  <si>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</si>
  <si>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</si>
  <si>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</si>
  <si>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</si>
  <si>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</si>
  <si>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</si>
  <si>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</si>
  <si>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</si>
  <si>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Table 2 (residue plots a, no-residue b). Main effects: 110.4 vs 126.9 kg/ha. Olsen-P 14.7-14.9 kg/ha (0-15) and 10.4-11.6 (15-30) unchanged (data not shown - not entered); pH 7.72-7.80 unchanged. All treatments T1-T6: 110.5 / 126.2 / 111.3 / 125.4 / 109.4 / 129.2.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</si>
  <si>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1 N neutral NH4OAc-extractable K by flame emission spectrophotometry [ref. 30]</t>
  </si>
  <si>
    <t xml:space="preserve">ROW b. Table 2 (residue plots a, no-residue b). Main effects: 110.4 vs 126.9 kg/ha. Olsen-P 14.7-14.9 kg/ha (0-15) and 10.4-11.6 (15-30) unchanged (data not shown - not entered); pH 7.72-7.80 unchanged. All treatments T1-T6: 110.5 / 126.2 / 111.3 / 125.4 / 109.4 / 129.2. PARTIAL CODES: T1 pZT, T2 pCA (puddled rice + ZT wheat). Rows a/b pair the rice establishment of the ZT / CA treatments (a = dry-tilled DSR T3/T4, b = zero-till DSR T5/T6); pZT / pCA repeated in both rows (rule 20, T = 2). FLAG rule 25: T3/T4 rice phase is conventionally DRY-TILLED (unpuddled) - coded ZT / CA like 'CT-DDSR fb ZT'.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</si>
  <si>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</si>
  <si>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</si>
  <si>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</si>
  <si>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</si>
  <si>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</si>
  <si>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</si>
  <si>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</si>
  <si>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</si>
  <si>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</si>
  <si>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</si>
  <si>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</si>
  <si>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</si>
  <si>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</si>
  <si>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</si>
  <si>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</si>
  <si>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</si>
  <si>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</si>
  <si>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</si>
  <si>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</si>
  <si>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</si>
  <si>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</si>
  <si>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</si>
  <si>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</si>
  <si>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</si>
  <si>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</si>
  <si>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</si>
  <si>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</si>
  <si>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</si>
  <si>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</si>
  <si>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</si>
  <si>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</si>
  <si>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</si>
  <si>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</si>
  <si>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</si>
  <si>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</si>
  <si>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</si>
  <si>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</si>
  <si>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</si>
  <si>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</si>
  <si>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</si>
  <si>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</si>
  <si>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</si>
  <si>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</si>
  <si>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</si>
  <si>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</si>
  <si>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</si>
  <si>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</si>
  <si>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</si>
  <si>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</si>
  <si>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</si>
  <si>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</si>
  <si>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</si>
  <si>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</si>
  <si>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</si>
  <si>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</si>
  <si>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</si>
  <si>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</si>
  <si>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</si>
  <si>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</si>
  <si>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</si>
  <si>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</si>
  <si>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</si>
  <si>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</si>
  <si>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</si>
  <si>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</si>
  <si>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</si>
  <si>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</si>
  <si>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</si>
  <si>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</si>
  <si>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</si>
  <si>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</si>
  <si>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</si>
  <si>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</si>
  <si>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</si>
  <si>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</si>
  <si>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</si>
  <si>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</si>
  <si>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</si>
  <si>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</si>
  <si>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</si>
  <si>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</si>
  <si>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</si>
  <si>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</si>
  <si>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</si>
  <si>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</si>
  <si>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</si>
  <si>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</si>
  <si>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</si>
  <si>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</si>
  <si>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</si>
  <si>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</si>
  <si>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</si>
  <si>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</si>
  <si>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</si>
  <si>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</si>
  <si>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</si>
  <si>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</si>
  <si>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</si>
  <si>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</si>
  <si>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</si>
  <si>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</si>
  <si>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</si>
  <si>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</si>
  <si>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</si>
  <si>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</si>
  <si>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</si>
  <si>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</si>
  <si>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</si>
  <si>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</si>
  <si>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</si>
  <si>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</si>
  <si>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</si>
  <si>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</si>
  <si>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</si>
  <si>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</si>
  <si>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</si>
  <si>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</si>
  <si>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</si>
  <si>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</si>
  <si>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</si>
  <si>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</si>
  <si>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</si>
  <si>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</si>
  <si>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</si>
  <si>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</si>
  <si>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</si>
  <si>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</si>
  <si>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</si>
  <si>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</si>
  <si>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</si>
  <si>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</si>
  <si>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</si>
  <si>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</si>
  <si>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</si>
  <si>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</si>
  <si>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</si>
  <si>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</si>
  <si>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</si>
  <si>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</si>
  <si>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</si>
  <si>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</si>
  <si>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</si>
  <si>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</si>
  <si>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</si>
  <si>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</si>
  <si>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</si>
  <si>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</si>
  <si>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</si>
  <si>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</si>
  <si>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</si>
  <si>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</si>
  <si>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</si>
  <si>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</si>
  <si>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</si>
  <si>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</si>
  <si>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</si>
  <si>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</si>
  <si>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</si>
  <si>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</si>
  <si>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</si>
  <si>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</si>
  <si>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</si>
  <si>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</si>
  <si>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</si>
  <si>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</si>
  <si>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</si>
  <si>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</si>
  <si>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</si>
  <si>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</si>
  <si>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</si>
  <si>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</si>
  <si>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1971-2010 (39-season simulated mean)</t>
  </si>
  <si>
    <t xml:space="preserve">below the 80-cm profile</t>
  </si>
  <si>
    <t xml:space="preserve">kg N/ha per season (MODEL OUTPUT)</t>
  </si>
  <si>
    <t xml:space="preserve">Rice season - simulated</t>
  </si>
  <si>
    <t xml:space="preserve">MODEL OUTPUT - Table 7</t>
  </si>
  <si>
    <t xml:space="preserve">ROW a. Rice-season N LEACHED below 80 cm (DSSAT total N leached, NO3 dominant - flag). MODEL OUTPUT (DSSAT v4.6 CERES-Rice / CERES-Wheat, 1971-2010 weather, mean of 39 simulated seasons; rule 55 - filter on 'MODEL OUTPUT'). WSRF-R0-FI 34, WSRF-R0-AWD 83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</si>
  <si>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DSSAT v4.6 CERES-Rice and CERES-Wheat (cultivar coefficients calibrated on 2008, evaluated on 2009 data), long-term simulation 1971-2010 with measured soil profile (Table 2) and management; relay sowing of wheat replaced by sowing the day after rice harvest</t>
  </si>
  <si>
    <t xml:space="preserve">Wheat season - simulated</t>
  </si>
  <si>
    <t xml:space="preserve">ROW a. Wheat-season N LEACHED below 80 cm (DSSAT total N leached, NO3 dominant - flag). MODEL OUTPUT (DSSAT v4.6 CERES-Rice / CERES-Wheat, 1971-2010 weather, mean of 39 simulated seasons; rule 55 - filter on 'MODEL OUTPUT'). WSRF-R0-FI 49, WSRF-R0-AWD 20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</si>
  <si>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b. Rice-season N LEACHED below 80 cm (DSSAT total N leached, NO3 dominant - flag). MODEL OUTPUT (DSSAT v4.6 CERES-Rice / CERES-Wheat, 1971-2010 weather, mean of 39 simulated seasons; rule 55 - filter on 'MODEL OUTPUT'). WSRF-R0-FI 34, WSRF-R0-AWD 83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</si>
  <si>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b. Wheat-season N LEACHED below 80 cm (DSSAT total N leached, NO3 dominant - flag). MODEL OUTPUT (DSSAT v4.6 CERES-Rice / CERES-Wheat, 1971-2010 weather, mean of 39 simulated seasons; rule 55 - filter on 'MODEL OUTPUT'). WSRF-R0-FI 49, WSRF-R0-AWD 20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</si>
  <si>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c. Rice-season N LEACHED below 80 cm (DSSAT total N leached, NO3 dominant - flag). MODEL OUTPUT (DSSAT v4.6 CERES-Rice / CERES-Wheat, 1971-2010 weather, mean of 39 simulated seasons; rule 55 - filter on 'MODEL OUTPUT'). WSRF-R0-FI 34, WSRF-R0-AWD 83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</si>
  <si>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c. Wheat-season N LEACHED below 80 cm (DSSAT total N leached, NO3 dominant - flag). MODEL OUTPUT (DSSAT v4.6 CERES-Rice / CERES-Wheat, 1971-2010 weather, mean of 39 simulated seasons; rule 55 - filter on 'MODEL OUTPUT'). WSRF-R0-FI 49, WSRF-R0-AWD 20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</si>
  <si>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d. Rice-season N LEACHED below 80 cm (DSSAT total N leached, NO3 dominant - flag). MODEL OUTPUT (DSSAT v4.6 CERES-Rice / CERES-Wheat, 1971-2010 weather, mean of 39 simulated seasons; rule 55 - filter on 'MODEL OUTPUT'). WSRF-R0-FI 34, WSRF-R0-AWD 83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</si>
  <si>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d. Wheat-season N LEACHED below 80 cm (DSSAT total N leached, NO3 dominant - flag). MODEL OUTPUT (DSSAT v4.6 CERES-Rice / CERES-Wheat, 1971-2010 weather, mean of 39 simulated seasons; rule 55 - filter on 'MODEL OUTPUT'). WSRF-R0-FI 49, WSRF-R0-AWD 20 kg N/ha (not entered). Other simulated N losses (immobilised, NH3 volatilised, denitrified, mineralised) have no sheet.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</si>
  <si>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</si>
  <si>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</si>
  <si>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</si>
  <si>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</si>
  <si>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</si>
  <si>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</si>
  <si>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</si>
  <si>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</si>
  <si>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</si>
  <si>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</si>
  <si>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</si>
  <si>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</si>
  <si>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</si>
  <si>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</si>
  <si>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</si>
  <si>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</si>
  <si>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</si>
  <si>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</si>
  <si>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</si>
  <si>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</si>
  <si>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</si>
  <si>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</si>
  <si>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</si>
  <si>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</si>
  <si>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</si>
  <si>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</si>
  <si>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</si>
  <si>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</si>
  <si>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</si>
  <si>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</si>
  <si>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</si>
  <si>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</si>
  <si>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</si>
  <si>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</si>
  <si>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</si>
  <si>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</si>
  <si>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</si>
  <si>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</si>
  <si>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</si>
  <si>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</si>
  <si>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</si>
  <si>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</si>
  <si>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</si>
  <si>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</si>
  <si>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</si>
  <si>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</si>
  <si>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</si>
  <si>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</si>
  <si>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</si>
  <si>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</si>
  <si>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</si>
  <si>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</si>
  <si>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</si>
  <si>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</si>
  <si>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</si>
  <si>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</si>
  <si>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</si>
  <si>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</si>
  <si>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</si>
  <si>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</si>
  <si>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</si>
  <si>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</si>
  <si>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</si>
  <si>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</si>
  <si>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</si>
  <si>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</si>
  <si>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</si>
  <si>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</si>
  <si>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</si>
  <si>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</si>
  <si>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</si>
  <si>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</si>
  <si>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</si>
  <si>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</si>
  <si>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</si>
  <si>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</si>
  <si>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</si>
  <si>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</si>
  <si>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</si>
  <si>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</si>
  <si>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</si>
  <si>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</si>
  <si>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</si>
  <si>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</si>
  <si>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</si>
  <si>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</si>
  <si>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</si>
  <si>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</si>
  <si>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</si>
  <si>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</si>
  <si>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</si>
  <si>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</si>
  <si>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</si>
  <si>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</si>
  <si>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</si>
  <si>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</si>
  <si>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</si>
  <si>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</si>
  <si>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</si>
  <si>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</si>
  <si>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</si>
  <si>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</si>
  <si>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</si>
  <si>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</si>
  <si>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</si>
  <si>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</si>
  <si>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</si>
  <si>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</si>
  <si>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</si>
  <si>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</si>
  <si>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</si>
  <si>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</si>
  <si>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</si>
  <si>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</si>
  <si>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</si>
  <si>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</si>
  <si>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</si>
  <si>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</si>
  <si>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</si>
  <si>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</si>
  <si>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</si>
  <si>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</si>
  <si>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</si>
  <si>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</si>
  <si>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</si>
  <si>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</si>
  <si>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</si>
  <si>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</si>
  <si>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</si>
  <si>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</si>
  <si>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</si>
  <si>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</si>
  <si>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</si>
  <si>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 [OBS RECOMPUTED 2026-10-05 (author rule): Y=1 (years of data in this row's series) + T=1 + D=1 -&gt; Obs = 1; factors of 1 add nothing; supersedes any earlier Obs statement.]</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</si>
  <si>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</si>
  <si>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</si>
  <si>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</si>
  <si>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</si>
  <si>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</si>
  <si>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</si>
  <si>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</si>
  <si>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</si>
  <si>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</si>
  <si>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</si>
  <si>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</si>
  <si>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</si>
  <si>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</si>
  <si>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</si>
  <si>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</si>
  <si>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</si>
  <si>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</si>
  <si>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</si>
  <si>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</si>
  <si>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</si>
  <si>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</si>
  <si>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</si>
  <si>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</si>
  <si>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</si>
  <si>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</si>
  <si>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</si>
  <si>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</si>
  <si>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</si>
  <si>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</si>
  <si>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</si>
  <si>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</si>
  <si>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</si>
  <si>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</si>
  <si>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</si>
  <si>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</si>
  <si>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</si>
  <si>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</si>
  <si>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</si>
  <si>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</si>
  <si>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</si>
  <si>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</si>
  <si>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</si>
  <si>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</si>
  <si>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</si>
  <si>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</si>
  <si>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</si>
  <si>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</si>
  <si>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</si>
  <si>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</si>
  <si>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</si>
  <si>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</si>
  <si>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</si>
  <si>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</si>
  <si>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</si>
  <si>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</si>
  <si>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</si>
  <si>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</si>
  <si>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</si>
  <si>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</si>
  <si>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</si>
  <si>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</si>
  <si>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</si>
  <si>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</si>
  <si>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</si>
  <si>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</si>
  <si>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</si>
  <si>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</si>
  <si>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</si>
  <si>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</si>
  <si>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</si>
  <si>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</si>
  <si>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</si>
  <si>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</si>
  <si>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</si>
  <si>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</si>
  <si>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</si>
  <si>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</si>
  <si>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</si>
  <si>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</si>
  <si>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</si>
  <si>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</si>
  <si>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</si>
  <si>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</si>
  <si>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</si>
  <si>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</si>
  <si>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</si>
  <si>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</si>
  <si>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</si>
  <si>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</si>
  <si>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</si>
  <si>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</si>
  <si>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</si>
  <si>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</si>
  <si>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</si>
  <si>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</si>
  <si>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</si>
  <si>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</si>
  <si>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</si>
  <si>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</si>
  <si>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</si>
  <si>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</si>
  <si>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</si>
  <si>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</si>
  <si>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Casida et al. (1964), TPF colorimetric, 24 h</t>
  </si>
  <si>
    <t xml:space="preserve">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</si>
  <si>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</si>
  <si>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</si>
  <si>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</si>
  <si>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</si>
  <si>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</si>
  <si>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</si>
  <si>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</si>
  <si>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</si>
  <si>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</si>
  <si>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</si>
  <si>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</si>
  <si>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</si>
  <si>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</si>
  <si>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</si>
  <si>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</si>
  <si>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</si>
  <si>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</si>
  <si>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</si>
  <si>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</si>
  <si>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</si>
  <si>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</si>
  <si>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</si>
  <si>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</si>
  <si>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</si>
  <si>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</si>
  <si>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</si>
  <si>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</si>
  <si>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</si>
  <si>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</si>
  <si>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</si>
  <si>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</si>
  <si>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</si>
  <si>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</si>
  <si>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</si>
  <si>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</si>
  <si>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</si>
  <si>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</si>
  <si>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</si>
  <si>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</si>
  <si>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</si>
  <si>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</si>
  <si>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</si>
  <si>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</si>
  <si>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</si>
  <si>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</si>
  <si>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</si>
  <si>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</si>
  <si>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</si>
  <si>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</si>
  <si>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</si>
  <si>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</si>
  <si>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</si>
  <si>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</si>
  <si>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</si>
  <si>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</si>
  <si>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</si>
  <si>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</si>
  <si>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</si>
  <si>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</si>
  <si>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</si>
  <si>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</si>
  <si>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</si>
  <si>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PNP/g fresh soil/h</t>
  </si>
  <si>
    <t xml:space="preserve">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</si>
  <si>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Tabatabai &amp; Bremner (1969), fresh soil at rice flowering</t>
  </si>
  <si>
    <t xml:space="preserve">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</si>
  <si>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</si>
  <si>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</si>
  <si>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</si>
  <si>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</si>
  <si>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</si>
  <si>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</si>
  <si>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</si>
  <si>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</si>
  <si>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</si>
  <si>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</si>
  <si>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</si>
  <si>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</si>
  <si>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</si>
  <si>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</si>
  <si>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</si>
  <si>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</si>
  <si>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</si>
  <si>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</si>
  <si>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</si>
  <si>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</si>
  <si>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</si>
  <si>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</si>
  <si>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</si>
  <si>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</si>
  <si>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</si>
  <si>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</si>
  <si>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</si>
  <si>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</si>
  <si>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</si>
  <si>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</si>
  <si>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</si>
  <si>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</si>
  <si>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</si>
  <si>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</si>
  <si>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</si>
  <si>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</si>
  <si>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</si>
  <si>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</si>
  <si>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</si>
  <si>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</si>
  <si>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</si>
  <si>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</si>
  <si>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</si>
  <si>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</si>
  <si>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</si>
  <si>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</si>
  <si>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</si>
  <si>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</si>
  <si>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</si>
  <si>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</si>
  <si>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</si>
  <si>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</si>
  <si>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</si>
  <si>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</si>
  <si>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</si>
  <si>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</si>
  <si>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</si>
  <si>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</si>
  <si>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</si>
  <si>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</si>
  <si>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</si>
  <si>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</si>
  <si>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</si>
  <si>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</si>
  <si>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</si>
  <si>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</si>
  <si>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</si>
  <si>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</si>
  <si>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</si>
  <si>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</si>
  <si>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</si>
  <si>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</si>
  <si>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</si>
  <si>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</si>
  <si>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</si>
  <si>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</si>
  <si>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</si>
  <si>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</si>
  <si>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</si>
  <si>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</si>
  <si>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</si>
  <si>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</si>
  <si>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</si>
  <si>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</si>
  <si>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</si>
  <si>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</si>
  <si>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</si>
  <si>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</si>
  <si>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Urease (May &amp; Douglas 1976); NH4-N released converted to urea equivalent</t>
  </si>
  <si>
    <t xml:space="preserve">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</si>
  <si>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</si>
  <si>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</si>
  <si>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</si>
  <si>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</si>
  <si>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</si>
  <si>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</si>
  <si>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</si>
  <si>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</si>
  <si>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</si>
  <si>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</si>
  <si>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</si>
  <si>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</si>
  <si>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</si>
  <si>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</si>
  <si>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</si>
  <si>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</si>
  <si>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</si>
  <si>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</si>
  <si>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</si>
  <si>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</si>
  <si>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</si>
  <si>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</si>
  <si>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</si>
  <si>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</si>
  <si>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</si>
  <si>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</si>
  <si>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</si>
  <si>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</si>
  <si>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</si>
  <si>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</si>
  <si>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</si>
  <si>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</si>
  <si>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</si>
  <si>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</si>
  <si>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</si>
  <si>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</si>
  <si>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</si>
  <si>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</si>
  <si>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</si>
  <si>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</si>
  <si>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</si>
  <si>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</si>
  <si>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</si>
  <si>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</si>
  <si>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</si>
  <si>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</si>
  <si>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</si>
  <si>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</si>
  <si>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</si>
  <si>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</si>
  <si>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</si>
  <si>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</si>
  <si>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</si>
  <si>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</si>
  <si>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</si>
  <si>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</si>
  <si>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</si>
  <si>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</si>
  <si>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</si>
  <si>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</si>
  <si>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</si>
  <si>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</si>
  <si>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</si>
  <si>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</si>
  <si>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</si>
  <si>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</si>
  <si>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</si>
  <si>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</si>
  <si>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</si>
  <si>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</si>
  <si>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</si>
  <si>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</si>
  <si>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</si>
  <si>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</si>
  <si>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</si>
  <si>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</si>
  <si>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</si>
  <si>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</si>
  <si>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</si>
  <si>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</si>
  <si>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</si>
  <si>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</si>
  <si>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</si>
  <si>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</si>
  <si>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</si>
  <si>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</si>
  <si>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</si>
  <si>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</si>
  <si>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</si>
  <si>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</si>
  <si>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</si>
  <si>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</si>
  <si>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</si>
  <si>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</si>
  <si>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</si>
  <si>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</si>
  <si>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</si>
  <si>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</si>
  <si>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</si>
  <si>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</si>
  <si>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</si>
  <si>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</si>
  <si>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</si>
  <si>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</si>
  <si>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</si>
  <si>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</si>
  <si>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</si>
  <si>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</si>
  <si>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</si>
  <si>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</si>
  <si>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</si>
  <si>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</si>
  <si>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</si>
  <si>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</si>
  <si>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</si>
  <si>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</si>
  <si>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</si>
  <si>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</si>
  <si>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</si>
  <si>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</si>
  <si>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</si>
  <si>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</si>
  <si>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</si>
  <si>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</si>
  <si>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</si>
  <si>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</si>
  <si>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</si>
  <si>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</si>
  <si>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</si>
  <si>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</si>
  <si>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</si>
  <si>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</si>
  <si>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</si>
  <si>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</si>
  <si>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</si>
  <si>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</si>
  <si>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</si>
  <si>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</si>
  <si>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</si>
  <si>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</si>
  <si>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</si>
  <si>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</si>
  <si>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</si>
  <si>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</si>
  <si>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</si>
  <si>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</si>
  <si>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</si>
  <si>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</si>
  <si>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</si>
  <si>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</si>
  <si>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</si>
  <si>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</si>
  <si>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</si>
  <si>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</si>
  <si>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</si>
  <si>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</si>
  <si>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</si>
  <si>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</si>
  <si>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</si>
  <si>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</si>
  <si>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</si>
  <si>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</si>
  <si>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</si>
  <si>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</si>
  <si>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</si>
  <si>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</si>
  <si>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</si>
  <si>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</si>
  <si>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</si>
  <si>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</si>
  <si>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</si>
  <si>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</si>
  <si>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</si>
  <si>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</si>
  <si>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</si>
  <si>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</si>
  <si>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</si>
  <si>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</si>
  <si>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</si>
  <si>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</si>
  <si>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</si>
  <si>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</si>
  <si>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</si>
  <si>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</si>
  <si>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</si>
  <si>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</si>
  <si>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</si>
  <si>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</si>
  <si>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</si>
  <si>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</si>
  <si>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</si>
  <si>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</si>
  <si>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</si>
  <si>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</si>
  <si>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</si>
  <si>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</si>
  <si>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</si>
  <si>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</si>
  <si>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</si>
  <si>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</si>
  <si>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</si>
  <si>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</si>
  <si>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</si>
  <si>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</si>
  <si>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</si>
  <si>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</si>
  <si>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</si>
  <si>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</si>
  <si>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</si>
  <si>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</si>
  <si>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</si>
  <si>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</si>
  <si>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</si>
  <si>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</si>
  <si>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</si>
  <si>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</si>
  <si>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</si>
  <si>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</si>
  <si>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</si>
  <si>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</si>
  <si>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</si>
  <si>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</si>
  <si>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</si>
  <si>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</si>
  <si>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</si>
  <si>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</si>
  <si>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</si>
  <si>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</si>
  <si>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</si>
  <si>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</si>
  <si>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</si>
  <si>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</si>
  <si>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</si>
  <si>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</si>
  <si>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</si>
  <si>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</si>
  <si>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</si>
  <si>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</si>
  <si>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</si>
  <si>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</si>
  <si>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</si>
  <si>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</si>
  <si>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</si>
  <si>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</si>
  <si>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</si>
  <si>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</si>
  <si>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</si>
  <si>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</si>
  <si>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</si>
  <si>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</si>
  <si>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</si>
  <si>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</si>
  <si>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</si>
  <si>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</si>
  <si>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</si>
  <si>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</si>
  <si>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</si>
  <si>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</si>
  <si>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</si>
  <si>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</si>
  <si>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</si>
  <si>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</si>
  <si>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</si>
  <si>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</si>
  <si>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</si>
  <si>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</si>
  <si>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</si>
  <si>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</si>
  <si>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</si>
  <si>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</si>
  <si>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</si>
  <si>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</si>
  <si>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</si>
  <si>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</si>
  <si>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</si>
  <si>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</si>
  <si>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</si>
  <si>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</si>
  <si>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</si>
  <si>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</si>
  <si>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</si>
  <si>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</si>
  <si>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</si>
  <si>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</si>
  <si>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</si>
  <si>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</si>
  <si>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</si>
  <si>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</si>
  <si>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</si>
  <si>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</si>
  <si>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</si>
  <si>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</si>
  <si>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</si>
  <si>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</si>
  <si>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</si>
  <si>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</si>
  <si>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</si>
  <si>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</si>
  <si>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</si>
  <si>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</si>
  <si>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</si>
  <si>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</si>
  <si>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</si>
  <si>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</si>
  <si>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</si>
  <si>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</si>
  <si>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</si>
  <si>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</si>
  <si>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</si>
  <si>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</si>
  <si>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</si>
  <si>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</si>
  <si>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</si>
  <si>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</si>
  <si>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</si>
  <si>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</si>
  <si>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</si>
  <si>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</si>
  <si>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</si>
  <si>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</si>
  <si>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</si>
  <si>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</si>
  <si>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</si>
  <si>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</si>
  <si>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</si>
  <si>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</si>
  <si>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</si>
  <si>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</si>
  <si>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</si>
  <si>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</si>
  <si>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</si>
  <si>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</si>
  <si>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</si>
  <si>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</si>
  <si>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</si>
  <si>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</si>
  <si>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</si>
  <si>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</si>
  <si>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</si>
  <si>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</si>
  <si>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</si>
  <si>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</si>
  <si>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</si>
  <si>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</si>
  <si>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</si>
  <si>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</si>
  <si>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</si>
  <si>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</si>
  <si>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</si>
  <si>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</si>
  <si>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</si>
  <si>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</si>
  <si>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</si>
  <si>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</si>
  <si>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</si>
  <si>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</si>
  <si>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</si>
  <si>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</si>
  <si>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</si>
  <si>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</si>
  <si>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</si>
  <si>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</si>
  <si>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</si>
  <si>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</si>
  <si>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</si>
  <si>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</si>
  <si>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</si>
  <si>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</si>
  <si>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</si>
  <si>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</si>
  <si>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</si>
  <si>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</si>
  <si>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</si>
  <si>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</si>
  <si>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</si>
  <si>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</si>
  <si>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</si>
  <si>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</si>
  <si>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</si>
  <si>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</si>
  <si>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</si>
  <si>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</si>
  <si>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</si>
  <si>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</si>
  <si>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</si>
  <si>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</si>
  <si>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</si>
  <si>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</si>
  <si>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</si>
  <si>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</si>
  <si>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</si>
  <si>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</si>
  <si>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</si>
  <si>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</si>
  <si>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</si>
  <si>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</si>
  <si>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</si>
  <si>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</si>
  <si>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</si>
  <si>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</si>
  <si>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</si>
  <si>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</si>
  <si>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</si>
  <si>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</si>
  <si>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</si>
  <si>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</si>
  <si>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</si>
  <si>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</si>
  <si>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</si>
  <si>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</si>
  <si>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</si>
  <si>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</si>
  <si>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</si>
  <si>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</si>
  <si>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</si>
  <si>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</si>
  <si>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</si>
  <si>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</si>
  <si>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</si>
  <si>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</si>
  <si>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</si>
  <si>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</si>
  <si>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</si>
  <si>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</si>
  <si>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</si>
  <si>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</si>
  <si>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</si>
  <si>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</si>
  <si>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</si>
  <si>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</si>
  <si>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</si>
  <si>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</si>
  <si>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</si>
  <si>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</si>
  <si>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</si>
  <si>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</si>
  <si>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</si>
  <si>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</si>
  <si>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</si>
  <si>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</si>
  <si>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</si>
  <si>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</si>
  <si>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</si>
  <si>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</si>
  <si>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</si>
  <si>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</si>
  <si>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</si>
  <si>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</si>
  <si>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</si>
  <si>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</si>
  <si>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</si>
  <si>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</si>
  <si>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</si>
  <si>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</si>
  <si>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</si>
  <si>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</si>
  <si>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</si>
  <si>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</si>
  <si>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</si>
  <si>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</si>
  <si>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</si>
  <si>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</si>
  <si>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</si>
  <si>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</si>
  <si>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</si>
  <si>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</si>
  <si>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</si>
  <si>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</si>
  <si>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</si>
  <si>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</si>
  <si>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</si>
  <si>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</si>
  <si>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Y=12 (years of data in this row's series) + T=1 + D=1 -&gt; Obs = 12; factors of 1 add nothing; supersedes any earlier Obs statement.]</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</si>
  <si>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</si>
  <si>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</si>
  <si>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</si>
  <si>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</si>
  <si>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</si>
  <si>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</si>
  <si>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</si>
  <si>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</si>
  <si>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</si>
  <si>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</si>
  <si>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</si>
  <si>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</si>
  <si>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</si>
  <si>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</si>
  <si>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</si>
  <si>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</si>
  <si>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</si>
  <si>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</si>
  <si>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</si>
  <si>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</si>
  <si>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</si>
  <si>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</si>
  <si>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</si>
  <si>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</si>
  <si>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</si>
  <si>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</si>
  <si>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</si>
  <si>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</si>
  <si>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</si>
  <si>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</si>
  <si>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</si>
  <si>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</si>
  <si>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</si>
  <si>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</si>
  <si>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</si>
  <si>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</si>
  <si>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</si>
  <si>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</si>
  <si>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</si>
  <si>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</si>
  <si>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</si>
  <si>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</si>
  <si>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</si>
  <si>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</si>
  <si>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</si>
  <si>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</si>
  <si>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</si>
  <si>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</si>
  <si>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</si>
  <si>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</si>
  <si>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</si>
  <si>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</si>
  <si>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</si>
  <si>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</si>
  <si>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</si>
  <si>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</si>
  <si>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</si>
  <si>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</si>
  <si>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</si>
  <si>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</si>
  <si>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</si>
  <si>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</si>
  <si>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</si>
  <si>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</si>
  <si>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</si>
  <si>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</si>
  <si>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</si>
  <si>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</si>
  <si>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</si>
  <si>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</si>
  <si>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</si>
  <si>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</si>
  <si>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</si>
  <si>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</si>
  <si>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</si>
  <si>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</si>
  <si>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</si>
  <si>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</si>
  <si>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</si>
  <si>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</si>
  <si>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</si>
  <si>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</si>
  <si>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</si>
  <si>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</si>
  <si>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</si>
  <si>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</si>
  <si>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</si>
  <si>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</si>
  <si>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</si>
  <si>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</si>
  <si>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</si>
  <si>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</si>
  <si>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</si>
  <si>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</si>
  <si>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</si>
  <si>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</si>
  <si>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</si>
  <si>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</si>
  <si>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</si>
  <si>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</si>
  <si>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</si>
  <si>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c: CTR = rice-straw compost 20 Mg/ha + N. Year-wise (rule 37). DIGITISED by hand from the scanned Fig. 1 (+/-0.15 t/ha); compost (triangle) entered only for the 4 years where its marker is visible (1989, 1996, 2000, 2003).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Y=4 (years of data in this row's series) + T=3 (rows a/b/c (3 residue treatments under CTR)) + D=1 -&gt; Obs = 7; factors of 1 add nothing; supersedes any earlier Obs statement.]</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</si>
  <si>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</si>
  <si>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</si>
  <si>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</si>
  <si>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</si>
  <si>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</si>
  <si>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</si>
  <si>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</si>
  <si>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</si>
  <si>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</si>
  <si>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</si>
  <si>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</si>
  <si>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</si>
  <si>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</si>
  <si>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</si>
  <si>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</si>
  <si>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</si>
  <si>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</si>
  <si>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</si>
  <si>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</si>
  <si>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</si>
  <si>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</si>
  <si>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</si>
  <si>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</si>
  <si>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</si>
  <si>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</si>
  <si>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t/ha system WHEAT-EQUIVALENT yield (WEY)</t>
  </si>
  <si>
    <t xml:space="preserve">Rice-wheat system 2015-16</t>
  </si>
  <si>
    <t xml:space="preserve">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</si>
  <si>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18-m2 net plot harvest; WEY = Yw + (Yr x Pr) / Pw (Pooniya et al. 2021a)</t>
  </si>
  <si>
    <t xml:space="preserve">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</si>
  <si>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</si>
  <si>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</si>
  <si>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t>
  </si>
  <si>
    <t xml:space="preserve">Rice-wheat system 2016-17</t>
  </si>
  <si>
    <t xml:space="preserve">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</si>
  <si>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</si>
  <si>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</si>
  <si>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</si>
  <si>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2017-18</t>
  </si>
  <si>
    <t xml:space="preserve">Rice-wheat system 2017-18</t>
  </si>
  <si>
    <t xml:space="preserve">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</si>
  <si>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</si>
  <si>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</si>
  <si>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</si>
  <si>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2018-19</t>
  </si>
  <si>
    <t xml:space="preserve">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</si>
  <si>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</si>
  <si>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</si>
  <si>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</si>
  <si>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2019-20</t>
  </si>
  <si>
    <t xml:space="preserve">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</si>
  <si>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</si>
  <si>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</si>
  <si>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</si>
  <si>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2020-21</t>
  </si>
  <si>
    <t xml:space="preserve">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</si>
  <si>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</si>
  <si>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</si>
  <si>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</si>
  <si>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 &amp; 2017-18 (2-yr mean)</t>
  </si>
  <si>
    <t xml:space="preserve">t/ha grain (14 % moisture)</t>
  </si>
  <si>
    <t xml:space="preserve">TA (plough tillage, puddled, no residue) -&gt; CT ; CA (VMP strip / single tillage + 50 % anchored residue) -&gt; MTR (rule 16: strip tillage + residue = MTR even when called CA)</t>
  </si>
  <si>
    <t xml:space="preserve">Rice (aman) and wheat, 2016-17 &amp; 2017-18 (pooled)</t>
  </si>
  <si>
    <t xml:space="preserve">N-P-K-S-Zn kg/ha: rice 120-22-35-11-3, wheat 90-26-33-20-2, mungbean 20-20-15-10-1. Rice BRRI hybrid dhan6 (rainfed), wheat BARI Gom 26 (3 irrigations), mungbean BARI Mung 6. CA herbicides: glyphosate 3.7 L + pendimethalin 2.5 L; POH ethoxysulfuron-ethyl (rice), carfentrazone-ethyl + isoproturon (wheat). Sandy clay loam, pH 6.81.</t>
  </si>
  <si>
    <t xml:space="preserve">Tables 2-3</t>
  </si>
  <si>
    <t xml:space="preserve">Tables 2-3 (LSD 0.17 / 0.14).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T=2 + D=1 -&gt; 4; factors of 1 add nothing.]</t>
  </si>
  <si>
    <t xml:space="preserve">Three 3 x 1 m harvest areas per plot, grain yield at 14 % moisture; yield attributes from 10 random plants at 80 % maturity</t>
  </si>
  <si>
    <t xml:space="preserve">t/ha system rice-equivalent yield (REY)</t>
  </si>
  <si>
    <t xml:space="preserve">R-W system, 2016-17 &amp; 2017-18</t>
  </si>
  <si>
    <t xml:space="preserve">Table 5 cell means for the R-W system (rule 33: one row per cropping-system level). REY includes mungbean in R-W-M (rule 54 flag). LUE TA / CA 81.91 / 76.71 %, PE 33.14 / 45.57 kg/ha/day (no sheet).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T=1 + D=1 -&gt; 2; factors of 1 add nothing.]</t>
  </si>
  <si>
    <t xml:space="preserve">REY = sum of crop yields converted to rice equivalent at market prices (US$/t wheat 271.14, mungbean 589.71, rice 209.50)</t>
  </si>
  <si>
    <t xml:space="preserve">R-W-M system (MUNGBEAN third crop - flag), 2016-17 &amp; 2017-18</t>
  </si>
  <si>
    <t xml:space="preserve">Table 5 cell means for the R-W-M system (rule 33: one row per cropping-system level). REY includes mungbean in R-W-M (rule 54 flag). LUE TA / CA 99.45 / 92.05 %, PE 37.38 / 53.00 kg/ha/day (no sheet).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T=1 + D=1 -&gt; 2; factors of 1 add nothing.]</t>
  </si>
  <si>
    <t xml:space="preserve">t/ha grain (measured; printed kg/ha / 1000; moisture basis not stated)</t>
  </si>
  <si>
    <t xml:space="preserve">Rice 2008, wheat 2008-09 - at harvest</t>
  </si>
  <si>
    <t xml:space="preserve">Fig. 3A / Fig. 4A (digitised, vector - measured axis)</t>
  </si>
  <si>
    <t xml:space="preserve">ROW a. MEASURED grain yields read EXACTLY from the vector scatter of Fig. 3A (rice) / Fig. 4A (wheat) - y axis = measured, kg/ha / 1000. Check: the digitised means reproduce the printed measured means of Tables 4-5 (rice 2008 4916, wheat 2008 5366 kg/ha) within 3 kg/ha. Not entered (WSRF-R0-FI rice 6643, wheat 4886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</si>
  <si>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Grain yield measured by standard methods (Devkota et al. 2013c) in 4 replicate plots; used for DSSAT calibration (2008) and evaluation (2009)</t>
  </si>
  <si>
    <t xml:space="preserve">ROW b. MEASURED grain yields read EXACTLY from the vector scatter of Fig. 3A (rice) / Fig. 4A (wheat) - y axis = measured, kg/ha / 1000. Check: the digitised means reproduce the printed measured means of Tables 4-5 (rice 2008 4916, wheat 2008 5366 kg/ha) within 3 kg/ha. Not entered (WSRF-R0-FI rice 6643, wheat 4886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</si>
  <si>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ROW c. MEASURED grain yields read EXACTLY from the vector scatter of Fig. 3A (rice) / Fig. 4A (wheat) - y axis = measured, kg/ha / 1000. Check: the digitised means reproduce the printed measured means of Tables 4-5 (rice 2008 4916, wheat 2008 5366 kg/ha) within 3 kg/ha. Not entered (WSRF-R0-FI rice 6643, wheat 4886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</si>
  <si>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ROW d. MEASURED grain yields read EXACTLY from the vector scatter of Fig. 3A (rice) / Fig. 4A (wheat) - y axis = measured, kg/ha / 1000. Check: the digitised means reproduce the printed measured means of Tables 4-5 (rice 2008 4916, wheat 2008 5366 kg/ha) within 3 kg/ha. Not entered (WSRF-R0-FI rice 6643, wheat 4886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</si>
  <si>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Rice 2009, wheat 2009-10 - at harvest</t>
  </si>
  <si>
    <t xml:space="preserve">Fig. 3A / Fig. 4B (digitised, vector - measured axis)</t>
  </si>
  <si>
    <t xml:space="preserve">ROW a. MEASURED grain yields read EXACTLY from the vector scatter of Fig. 3A (rice) / Fig. 4B (wheat) - y axis = measured, kg/ha / 1000. Check: the digitised means reproduce the printed measured means of Tables 4-5 (rice 2009 3293, wheat 2009 5411 kg/ha) within 3 kg/ha. Not entered (WSRF-R0-FI rice 6207, wheat 6223 kg/ha; WSRF-R0-AWD rice 3779, wheat 5217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</si>
  <si>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ROW b. MEASURED grain yields read EXACTLY from the vector scatter of Fig. 3A (rice) / Fig. 4B (wheat) - y axis = measured, kg/ha / 1000. Check: the digitised means reproduce the printed measured means of Tables 4-5 (rice 2009 3293, wheat 2009 5411 kg/ha) within 3 kg/ha. Not entered (WSRF-R0-FI rice 6207, wheat 6223 kg/ha; WSRF-R0-AWD rice 3779, wheat 5217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</si>
  <si>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ROW c. MEASURED grain yields read EXACTLY from the vector scatter of Fig. 3A (rice) / Fig. 4B (wheat) - y axis = measured, kg/ha / 1000. Check: the digitised means reproduce the printed measured means of Tables 4-5 (rice 2009 3293, wheat 2009 5411 kg/ha) within 3 kg/ha. Not entered (WSRF-R0-FI rice 6207, wheat 6223 kg/ha; WSRF-R0-AWD rice 3779, wheat 5217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</si>
  <si>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ROW d. MEASURED grain yields read EXACTLY from the vector scatter of Fig. 3A (rice) / Fig. 4B (wheat) - y axis = measured, kg/ha / 1000. Check: the digitised means reproduce the printed measured means of Tables 4-5 (rice 2009 3293, wheat 2009 5411 kg/ha) within 3 kg/ha. Not entered (WSRF-R0-FI rice 6207, wheat 6223 kg/ha; WSRF-R0-AWD rice 3779, wheat 5217 kg/ha; pending).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Y=2 + T=4 + D=1 -&gt; 6; factors of 1 add nothing.]</t>
  </si>
  <si>
    <t xml:space="preserve">t/ha grain (MODEL OUTPUT; printed kg/ha / 1000)</t>
  </si>
  <si>
    <t xml:space="preserve">Rice and wheat - simulated</t>
  </si>
  <si>
    <t xml:space="preserve">MODEL OUTPUT - Table 6</t>
  </si>
  <si>
    <t xml:space="preserve">ROW a. MODEL OUTPUT (DSSAT v4.6 CERES-Rice / CERES-Wheat, 1971-2010 weather, mean of 39 simulated seasons; rule 55 - filter on 'MODEL OUTPUT'). Simulated scenarios not entered: WSRF-R0-FI rice/wheat (5617, 6859), WSRF-R0-AWD (3429, 5656) kg/ha; sensitivity runs 9-11 (WSRF puddled, CT-DSR, CT-DSR + deep urea) are hypothetical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</si>
  <si>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b. MODEL OUTPUT (DSSAT v4.6 CERES-Rice / CERES-Wheat, 1971-2010 weather, mean of 39 simulated seasons; rule 55 - filter on 'MODEL OUTPUT'). Simulated scenarios not entered: WSRF-R0-FI rice/wheat (5617, 6859), WSRF-R0-AWD (3429, 5656) kg/ha; sensitivity runs 9-11 (WSRF puddled, CT-DSR, CT-DSR + deep urea) are hypothetical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</si>
  <si>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c. MODEL OUTPUT (DSSAT v4.6 CERES-Rice / CERES-Wheat, 1971-2010 weather, mean of 39 simulated seasons; rule 55 - filter on 'MODEL OUTPUT'). Simulated scenarios not entered: WSRF-R0-FI rice/wheat (5617, 6859), WSRF-R0-AWD (3429, 5656) kg/ha; sensitivity runs 9-11 (WSRF puddled, CT-DSR, CT-DSR + deep urea) are hypothetical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</si>
  <si>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d. MODEL OUTPUT (DSSAT v4.6 CERES-Rice / CERES-Wheat, 1971-2010 weather, mean of 39 simulated seasons; rule 55 - filter on 'MODEL OUTPUT'). Simulated scenarios not entered: WSRF-R0-FI rice/wheat (5617, 6859), WSRF-R0-AWD (3429, 5656) kg/ha; sensitivity runs 9-11 (WSRF puddled, CT-DSR, CT-DSR + deep urea) are hypothetical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</si>
  <si>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2015 &amp; 2016 (2-yr mean)</t>
  </si>
  <si>
    <t xml:space="preserve">t/ha rice grain (moisture basis not stated)</t>
  </si>
  <si>
    <t xml:space="preserve">CTTPR+CTW -&gt; CT ; CTTPR+ZTW -&gt; pCA ; row a: CA = ZTDSR+ZTW ; row b: CA = UPTPR+ZTW (unpuddled = ZT, puddling rule) - residue retention taken from the companion SRFSI paper (old-master 115; rule 89, flag)</t>
  </si>
  <si>
    <t xml:space="preserve">Rice (out-scaling blocks), 2015 &amp; 2016</t>
  </si>
  <si>
    <t xml:space="preserve">Farmers' fields, SRFSI node trials (long-term trial plots n = 18 rice-wheat; out-scaling blocks 400 m2, n = 162 rice / 153 wheat). Inputs (seed, DAP, urea, MOP) varied by system (Fig. 2, not entered); herbicide weed control in ZT / DSR. Clay loam to silty clay loam (sandy loam at Kaptanjung).</t>
  </si>
  <si>
    <t xml:space="preserve">Table 1</t>
  </si>
  <si>
    <t xml:space="preserve">ROW a (CA = ZTDSR+ZTW). Table 1 out-scaling blocks (n = 162 rice plots across treatments), mean +/- SE: 3.02 +/- 0.05, 3.20 +/- 0.04, 3.21 +/- 0.04, 3.14 +/- 0.04 t/ha (SE kept here; per-treatment n not given, so the SD formula is kept). Wheat (n = 153) printed only as CT 3.15 +/- 0.04 vs ZT 3.06 +/- 0.04 t/ha - ZT pooled over the pCA and CA treatments -&gt; not entered.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Y=2 + T=2 + D=1 -&gt; 4; factors of 1 add nothing.]</t>
  </si>
  <si>
    <t xml:space="preserve">Farmers' out-scaling blocks (400 m2): grain yield recorded per plot; two-way ANOVA</t>
  </si>
  <si>
    <t xml:space="preserve">t/ha system grain yield (rice + wheat, as printed)</t>
  </si>
  <si>
    <t xml:space="preserve">Rice-wheat system 2015/2016 (long-term trial plots)</t>
  </si>
  <si>
    <t xml:space="preserve">ROW a (CA = ZTDSR+ZTW).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</si>
  <si>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t>
  </si>
  <si>
    <t xml:space="preserve">ROW b (CA = UPTPR+ZTW). Table 1 out-scaling blocks (n = 162 rice plots across treatments), mean +/- SE: 3.02 +/- 0.05, 3.20 +/- 0.04, 3.21 +/- 0.04, 3.14 +/- 0.04 t/ha (SE kept here; per-treatment n not given, so the SD formula is kept). Wheat (n = 153) printed only as CT 3.15 +/- 0.04 vs ZT 3.06 +/- 0.04 t/ha - ZT pooled over the pCA and CA treatments -&gt; not entered.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Y=2 + T=2 + D=1 -&gt; 4; factors of 1 add nothing.]</t>
  </si>
  <si>
    <t xml:space="preserve">ROW b (CA = UPTPR+ZTW).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</si>
  <si>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</si>
  <si>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</si>
  <si>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</si>
  <si>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</si>
  <si>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</si>
  <si>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</si>
  <si>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</si>
  <si>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</si>
  <si>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</si>
  <si>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</si>
  <si>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</si>
  <si>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</si>
  <si>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</si>
  <si>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t/ha system straw (DERIVED: biomass - grain)</t>
  </si>
  <si>
    <t xml:space="preserve">DERIVED from Table 3</t>
  </si>
  <si>
    <t xml:space="preserve">ROW a.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</si>
  <si>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straw = biomass - grain</t>
  </si>
  <si>
    <t xml:space="preserve">ROW b.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</si>
  <si>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</si>
  <si>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</si>
  <si>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</si>
  <si>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</si>
  <si>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</si>
  <si>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</si>
  <si>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</si>
  <si>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</si>
  <si>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</si>
  <si>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</si>
  <si>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</si>
  <si>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</si>
  <si>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</si>
  <si>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</si>
  <si>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</si>
  <si>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</si>
  <si>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</si>
  <si>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</si>
  <si>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</si>
  <si>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</si>
  <si>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</si>
  <si>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</si>
  <si>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</si>
  <si>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</si>
  <si>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</si>
  <si>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</si>
  <si>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</si>
  <si>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no. m-2 (wheat spikes; rice tillers)</t>
  </si>
  <si>
    <t xml:space="preserve">Wheat heads m-2 (Table 3) and rice TILLERS m-2 (Table 2 - effective panicles not printed; tillers entered, flag). Hills m-2 26 / 26, wheat plants m-2 164 / 167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T=2 + D=1 -&gt; 4; factors of 1 add nothing.]</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</si>
  <si>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</si>
  <si>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</si>
  <si>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</si>
  <si>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</si>
  <si>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</si>
  <si>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</si>
  <si>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</si>
  <si>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</si>
  <si>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</si>
  <si>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</si>
  <si>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</si>
  <si>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</si>
  <si>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</si>
  <si>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</si>
  <si>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</si>
  <si>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</si>
  <si>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</si>
  <si>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</si>
  <si>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</si>
  <si>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</si>
  <si>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</si>
  <si>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</si>
  <si>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</si>
  <si>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</si>
  <si>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</si>
  <si>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</si>
  <si>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Grains head-1 (wheat) and grains panicle-1 (rice). Sterile spikelets panicle-1 rice 35 / 26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T=2 + D=1 -&gt; 4; factors of 1 add nothing.]</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</si>
  <si>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</si>
  <si>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</si>
  <si>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</si>
  <si>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</si>
  <si>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</si>
  <si>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</si>
  <si>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</si>
  <si>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</si>
  <si>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</si>
  <si>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</si>
  <si>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</si>
  <si>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</si>
  <si>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</si>
  <si>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</si>
  <si>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</si>
  <si>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</si>
  <si>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</si>
  <si>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</si>
  <si>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</si>
  <si>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</si>
  <si>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</si>
  <si>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</si>
  <si>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</si>
  <si>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</si>
  <si>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</si>
  <si>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</si>
  <si>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1000-grain weight (not significant). Mungbean 1000-seed 40.6 / 41.3 g (no column).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T=2 + D=1 -&gt; 4; factors of 1 add nothing.]</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</si>
  <si>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</si>
  <si>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</si>
  <si>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</si>
  <si>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</si>
  <si>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</si>
  <si>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</si>
  <si>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</si>
  <si>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</si>
  <si>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</si>
  <si>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</si>
  <si>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</si>
  <si>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</si>
  <si>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</si>
  <si>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</si>
  <si>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</si>
  <si>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</si>
  <si>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</si>
  <si>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</si>
  <si>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</si>
  <si>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</si>
  <si>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</si>
  <si>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</si>
  <si>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</si>
  <si>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</si>
  <si>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</si>
  <si>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</si>
  <si>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</si>
  <si>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</si>
  <si>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</si>
  <si>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</si>
  <si>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</si>
  <si>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</si>
  <si>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</si>
  <si>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</si>
  <si>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</si>
  <si>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</si>
  <si>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</si>
  <si>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</si>
  <si>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</si>
  <si>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</si>
  <si>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</si>
  <si>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</si>
  <si>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</si>
  <si>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</si>
  <si>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</si>
  <si>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</si>
  <si>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</si>
  <si>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</si>
  <si>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</si>
  <si>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</si>
  <si>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</si>
  <si>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</si>
  <si>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</si>
  <si>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</si>
  <si>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</si>
  <si>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</si>
  <si>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</si>
  <si>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</si>
  <si>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</si>
  <si>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</si>
  <si>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</si>
  <si>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</si>
  <si>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</si>
  <si>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</si>
  <si>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</si>
  <si>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</si>
  <si>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</si>
  <si>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</si>
  <si>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</si>
  <si>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</si>
  <si>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</si>
  <si>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</si>
  <si>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days (crop growth duration, Table 5)</t>
  </si>
  <si>
    <t xml:space="preserve">Table 5 'growth duration (days)' per crop in the R-W system (sowing / transplanting to harvest - flag: definition of the start date not stated; TPR duration may exclude the nursery).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T=1 + D=1 -&gt; 2; factors of 1 add nothing.]</t>
  </si>
  <si>
    <t xml:space="preserve">Growth duration of each crop (days) recorded per plot</t>
  </si>
  <si>
    <t xml:space="preserve">R-W-M system, 2016-17 &amp; 2017-18</t>
  </si>
  <si>
    <t xml:space="preserve">Table 5 'growth duration (days)' per crop in the R-W-M system (sowing / transplanting to harvest - flag: definition of the start date not stated; TPR duration may exclude the nursery). Mungbean 60 / 54 d.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T=1 + D=1 -&gt; 2; factors of 1 add nothing.]</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</si>
  <si>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</si>
  <si>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</si>
  <si>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</si>
  <si>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</si>
  <si>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</si>
  <si>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</si>
  <si>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</si>
  <si>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</si>
  <si>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</si>
  <si>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</si>
  <si>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</si>
  <si>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</si>
  <si>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</si>
  <si>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</si>
  <si>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</si>
  <si>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</si>
  <si>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</si>
  <si>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</si>
  <si>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</si>
  <si>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</si>
  <si>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</si>
  <si>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</si>
  <si>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</si>
  <si>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</si>
  <si>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</si>
  <si>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</si>
  <si>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</si>
  <si>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</si>
  <si>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</si>
  <si>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</si>
  <si>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</si>
  <si>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</si>
  <si>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</si>
  <si>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</si>
  <si>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</si>
  <si>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</si>
  <si>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</si>
  <si>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</si>
  <si>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</si>
  <si>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</si>
  <si>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</si>
  <si>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</si>
  <si>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</si>
  <si>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</si>
  <si>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</si>
  <si>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</si>
  <si>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</si>
  <si>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</si>
  <si>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</si>
  <si>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</si>
  <si>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</si>
  <si>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</si>
  <si>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</si>
  <si>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</si>
  <si>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</si>
  <si>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</si>
  <si>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c: CTR = rice-straw compost 20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</si>
  <si>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 N/ha (MODEL OUTPUT)</t>
  </si>
  <si>
    <t xml:space="preserve">Rice - simulated</t>
  </si>
  <si>
    <t xml:space="preserve">ROW a. Rice N uptake. MODEL OUTPUT (DSSAT v4.6 CERES-Rice / CERES-Wheat, 1971-2010 weather, mean of 39 simulated seasons; rule 55 - filter on 'MODEL OUTPUT'). WSRF-R0-FI 166, WSRF-R0-AWD 116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</si>
  <si>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Wheat - simulated</t>
  </si>
  <si>
    <t xml:space="preserve">ROW a. Wheat N uptake. MODEL OUTPUT (DSSAT v4.6 CERES-Rice / CERES-Wheat, 1971-2010 weather, mean of 39 simulated seasons; rule 55 - filter on 'MODEL OUTPUT'). WSRF-R0-FI 265, WSRF-R0-AWD 189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</si>
  <si>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b. Rice N uptake. MODEL OUTPUT (DSSAT v4.6 CERES-Rice / CERES-Wheat, 1971-2010 weather, mean of 39 simulated seasons; rule 55 - filter on 'MODEL OUTPUT'). WSRF-R0-FI 166, WSRF-R0-AWD 116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</si>
  <si>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b. Wheat N uptake. MODEL OUTPUT (DSSAT v4.6 CERES-Rice / CERES-Wheat, 1971-2010 weather, mean of 39 simulated seasons; rule 55 - filter on 'MODEL OUTPUT'). WSRF-R0-FI 265, WSRF-R0-AWD 189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</si>
  <si>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c. Rice N uptake. MODEL OUTPUT (DSSAT v4.6 CERES-Rice / CERES-Wheat, 1971-2010 weather, mean of 39 simulated seasons; rule 55 - filter on 'MODEL OUTPUT'). WSRF-R0-FI 166, WSRF-R0-AWD 116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</si>
  <si>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c. Wheat N uptake. MODEL OUTPUT (DSSAT v4.6 CERES-Rice / CERES-Wheat, 1971-2010 weather, mean of 39 simulated seasons; rule 55 - filter on 'MODEL OUTPUT'). WSRF-R0-FI 265, WSRF-R0-AWD 189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</si>
  <si>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d. Rice N uptake. MODEL OUTPUT (DSSAT v4.6 CERES-Rice / CERES-Wheat, 1971-2010 weather, mean of 39 simulated seasons; rule 55 - filter on 'MODEL OUTPUT'). WSRF-R0-FI 166, WSRF-R0-AWD 116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</si>
  <si>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ROW d. Wheat N uptake. MODEL OUTPUT (DSSAT v4.6 CERES-Rice / CERES-Wheat, 1971-2010 weather, mean of 39 simulated seasons; rule 55 - filter on 'MODEL OUTPUT'). WSRF-R0-FI 265, WSRF-R0-AWD 189 kg N/ha (not entered). Measured N uptake: only the 2009 rice means across treatments (Table 5: grain N 51, TAGB N 96 kg/ha) - not entered. COMPANION of 176 (same Khorezm trial, 2008-2010; rule 5).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124_real.pdf. [OBS (rule 101): Y=39 + T=4 + D=1 -&gt; 43; factors of 1 add nothing.]</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</si>
  <si>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</si>
  <si>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</si>
  <si>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</si>
  <si>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</si>
  <si>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</si>
  <si>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</si>
  <si>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</si>
  <si>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</si>
  <si>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</si>
  <si>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</si>
  <si>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</si>
  <si>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</si>
  <si>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</si>
  <si>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</si>
  <si>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</si>
  <si>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</si>
  <si>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</si>
  <si>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</si>
  <si>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</si>
  <si>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</si>
  <si>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</si>
  <si>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</si>
  <si>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</si>
  <si>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</si>
  <si>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</si>
  <si>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</si>
  <si>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</si>
  <si>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</si>
  <si>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</si>
  <si>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</si>
  <si>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</si>
  <si>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</si>
  <si>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</si>
  <si>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</si>
  <si>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</si>
  <si>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</si>
  <si>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</si>
  <si>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</si>
  <si>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</si>
  <si>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</si>
  <si>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</si>
  <si>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</si>
  <si>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</si>
  <si>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</si>
  <si>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</si>
  <si>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</si>
  <si>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</si>
  <si>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</si>
  <si>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</si>
  <si>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</si>
  <si>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</si>
  <si>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</si>
  <si>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</si>
  <si>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</si>
  <si>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</si>
  <si>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</si>
  <si>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</si>
  <si>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</si>
  <si>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</si>
  <si>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</si>
  <si>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</si>
  <si>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</si>
  <si>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</si>
  <si>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</si>
  <si>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</si>
  <si>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</si>
  <si>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</si>
  <si>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</si>
  <si>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</si>
  <si>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</si>
  <si>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</si>
  <si>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</si>
  <si>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</si>
  <si>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</si>
  <si>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</si>
  <si>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</si>
  <si>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</si>
  <si>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</si>
  <si>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</si>
  <si>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</si>
  <si>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</si>
  <si>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</si>
  <si>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</si>
  <si>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</si>
  <si>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</si>
  <si>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</si>
  <si>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</si>
  <si>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</si>
  <si>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</si>
  <si>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</si>
  <si>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</si>
  <si>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</si>
  <si>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</si>
  <si>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</si>
  <si>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</si>
  <si>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</si>
  <si>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</si>
  <si>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</si>
  <si>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</si>
  <si>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</si>
  <si>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</si>
  <si>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</si>
  <si>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</si>
  <si>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</si>
  <si>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</si>
  <si>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</si>
  <si>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</si>
  <si>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</si>
  <si>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</si>
  <si>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</si>
  <si>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</si>
  <si>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</si>
  <si>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</si>
  <si>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</si>
  <si>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</si>
  <si>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</si>
  <si>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</si>
  <si>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</si>
  <si>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</si>
  <si>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</si>
  <si>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</si>
  <si>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</si>
  <si>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</si>
  <si>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</si>
  <si>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</si>
  <si>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</si>
  <si>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</si>
  <si>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</si>
  <si>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</si>
  <si>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</si>
  <si>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</si>
  <si>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</si>
  <si>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</si>
  <si>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</si>
  <si>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</si>
  <si>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</si>
  <si>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</si>
  <si>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</si>
  <si>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</si>
  <si>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</si>
  <si>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</si>
  <si>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</si>
  <si>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</si>
  <si>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</si>
  <si>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</si>
  <si>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</si>
  <si>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</si>
  <si>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</si>
  <si>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</si>
  <si>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</si>
  <si>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</si>
  <si>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</si>
  <si>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</si>
  <si>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</si>
  <si>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</si>
  <si>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</si>
  <si>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</si>
  <si>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</si>
  <si>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</si>
  <si>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</si>
  <si>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</si>
  <si>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</si>
  <si>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</si>
  <si>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</si>
  <si>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</si>
  <si>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</si>
  <si>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</si>
  <si>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</si>
  <si>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</si>
  <si>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</si>
  <si>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</si>
  <si>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</si>
  <si>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</si>
  <si>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</si>
  <si>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</si>
  <si>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</si>
  <si>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</si>
  <si>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</si>
  <si>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</si>
  <si>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</si>
  <si>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</si>
  <si>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</si>
  <si>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</si>
  <si>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</si>
  <si>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</si>
  <si>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</si>
  <si>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</si>
  <si>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</si>
  <si>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</si>
  <si>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</si>
  <si>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</si>
  <si>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</si>
  <si>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</si>
  <si>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</si>
  <si>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ratio (net return / cost; printed gross/cost BCR - 1)</t>
  </si>
  <si>
    <t xml:space="preserve">Tables 2-3 - converted</t>
  </si>
  <si>
    <t xml:space="preserve">Tables 2-3 printed BCR rice TA 1.07 / CA 1.33, wheat 1.12 / 1.52. CONVERTED to net/cost (printed - 1, rule 57): the paper does not define BCR, but gross/cost is implied - rice TA gross = 5.41 t x 209.5 US$/t = 1133 US$/ha, so BCR 1.07 as net/cost would give a total cost (547 US$) below the tillage + weeding costs printed in Table 6 alone (455 US$) plus fertiliser (flag).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(probably 1720 mm - entered as printed, flag). Supplementary: None found - web search 2026-10-05 (publisher pages not reachable from this environment). Source file 122_real.pdf. [OBS (rule 101): Y=2 + T=2 + D=1 -&gt; 4; factors of 1 add nothing.]</t>
  </si>
  <si>
    <t xml:space="preserve">Partial budgeting (gross return, gross margin, BCR); 1 US$ = 86.42 BDT</t>
  </si>
  <si>
    <t xml:space="preserve">ratio (gross margin / total variable cost)</t>
  </si>
  <si>
    <t xml:space="preserve">Rice 2008, wheat 2008-09, rice-wheat system 2008-09</t>
  </si>
  <si>
    <t xml:space="preserve">ROW a.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</si>
  <si>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Partial budget from plot records extrapolated to 1 ha: gross revenue (grain + straw x market price, Table 3) - total variable cost (seed, fertiliser, herbicide, machinery fuel and rental, labour, irrigation pumping at US$ 0.0038 m-3, residue retained valued as purchase cost); BCR = gross margin / total variable cost</t>
  </si>
  <si>
    <t xml:space="preserve">ROW b.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</si>
  <si>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c.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</si>
  <si>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d.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</si>
  <si>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Rice 2009, wheat 2009-10, rice-wheat system 2009-10</t>
  </si>
  <si>
    <t xml:space="preserve">ROW a.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</si>
  <si>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b.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</si>
  <si>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c.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</si>
  <si>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d.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</si>
  <si>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ratio (net profit / total variable cost; DERIVED from Table 3)</t>
  </si>
  <si>
    <t xml:space="preserve">ROW a.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</si>
  <si>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B:C = gross return / total variable cost (converted)</t>
  </si>
  <si>
    <t xml:space="preserve">ROW b.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</si>
  <si>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</si>
  <si>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</si>
  <si>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</si>
  <si>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</si>
  <si>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</si>
  <si>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</si>
  <si>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</si>
  <si>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</si>
  <si>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</si>
  <si>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</si>
  <si>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</si>
  <si>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</si>
  <si>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</si>
  <si>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</si>
  <si>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</si>
  <si>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</si>
  <si>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</si>
  <si>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</si>
  <si>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</si>
  <si>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</si>
  <si>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</si>
  <si>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</si>
  <si>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</si>
  <si>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</si>
  <si>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</si>
  <si>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</si>
  <si>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</si>
  <si>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</si>
  <si>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</si>
  <si>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</si>
  <si>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</si>
  <si>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</si>
  <si>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</si>
  <si>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</si>
  <si>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</si>
  <si>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</si>
  <si>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</si>
  <si>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</si>
  <si>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</si>
  <si>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</si>
  <si>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</si>
  <si>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</si>
  <si>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</si>
  <si>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</si>
  <si>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</si>
  <si>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</si>
  <si>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</si>
  <si>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</si>
  <si>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</si>
  <si>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</si>
  <si>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</si>
  <si>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</si>
  <si>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</si>
  <si>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</si>
  <si>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</si>
  <si>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</si>
  <si>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</si>
  <si>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</si>
  <si>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</si>
  <si>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</si>
  <si>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</si>
  <si>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US$/ha GROSS MARGIN (gross revenue - total variable cost)</t>
  </si>
  <si>
    <t xml:space="preserve">ROW a.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</si>
  <si>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b.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</si>
  <si>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c.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</si>
  <si>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d.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</si>
  <si>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a.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</si>
  <si>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b.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</si>
  <si>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c.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</si>
  <si>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ROW d.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Rows a-d (rule 20, T = 4 CA treatments; ZT bed / flat repeated). Permanent beds without / with residue -&gt; ZT / CA (rule 15). WSRF treatments left out pending the author (values in Notes). Arid irrigated drylands (&lt;100 mm rain). Supplementary: None found - web search 2026-10-05 (publisher pages not reachable from this environment). Source file 124.pdf. [OBS (rule 101): Y=2 + T=4 + D=1 -&gt; 6; factors of 1 add nothing.]</t>
  </si>
  <si>
    <t xml:space="preserve">NRs/ha (net profit = gross return - total variable cost)</t>
  </si>
  <si>
    <t xml:space="preserve">ROW a.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</si>
  <si>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ROW b.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Coding follows 115 with the partial code now available: CTTPR+ZTW -&gt; pCA (excluded in 115, rules 85/86); residue retention is NOT stated in this paper - taken from 115 (rule 89, flag). Rice-maize system excluded (rule 31). Supplementary: None found - web search 2026-10-05 (publisher pages not reachable from this environment). Source file 123_real.pdf. [OBS (rule 101): Y=1 + T=2 + D=1 -&gt; 2; factors of 1 add nothing.]</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</si>
  <si>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</si>
  <si>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</si>
  <si>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</si>
  <si>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</si>
  <si>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</si>
  <si>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</si>
  <si>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</si>
  <si>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</si>
  <si>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</si>
  <si>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</si>
  <si>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</si>
  <si>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</si>
  <si>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</si>
  <si>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</si>
  <si>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</si>
  <si>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</si>
  <si>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</si>
  <si>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</si>
  <si>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</si>
  <si>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</si>
  <si>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</si>
  <si>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</si>
  <si>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</si>
  <si>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</si>
  <si>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</si>
  <si>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</si>
  <si>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</si>
  <si>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</si>
  <si>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</si>
  <si>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</si>
  <si>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</si>
  <si>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</si>
  <si>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</si>
  <si>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</si>
  <si>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</si>
  <si>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</si>
  <si>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</si>
  <si>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</si>
  <si>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</si>
  <si>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</si>
  <si>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</si>
  <si>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</si>
  <si>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</si>
  <si>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</si>
  <si>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</si>
  <si>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</si>
  <si>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</si>
  <si>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</si>
  <si>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</si>
  <si>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</si>
  <si>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</si>
  <si>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</si>
  <si>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</si>
  <si>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unitless 0-1 (PCA minimum data set, linear scoring, Bastida et al. 2006 / Basak et al. 2016)</t>
  </si>
  <si>
    <t xml:space="preserve">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</si>
  <si>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PCA-MDS (eigenvalue &gt;= 1), linear 'more is better' / 'less is better' (PR) scoring, weighted sum</t>
  </si>
  <si>
    <t xml:space="preserve">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</si>
  <si>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</si>
  <si>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</si>
  <si>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</si>
  <si>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</si>
  <si>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</si>
  <si>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</si>
  <si>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</si>
  <si>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</si>
  <si>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</si>
  <si>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</si>
  <si>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</si>
  <si>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</si>
  <si>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</si>
  <si>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</si>
  <si>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</si>
  <si>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</si>
  <si>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</si>
  <si>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</si>
  <si>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</si>
  <si>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</si>
  <si>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</si>
  <si>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</si>
  <si>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</si>
  <si>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</si>
  <si>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</si>
  <si>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</si>
  <si>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</si>
  <si>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</si>
  <si>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</si>
  <si>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</si>
  <si>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</si>
  <si>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</si>
  <si>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</si>
  <si>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</si>
  <si>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</si>
  <si>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</si>
  <si>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</si>
  <si>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</si>
  <si>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</si>
  <si>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</si>
  <si>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</si>
  <si>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</si>
  <si>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</si>
  <si>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</si>
  <si>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</si>
  <si>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</si>
  <si>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</si>
  <si>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</si>
  <si>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</si>
  <si>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</si>
  <si>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</si>
  <si>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</si>
  <si>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</si>
  <si>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</si>
  <si>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</si>
  <si>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</si>
  <si>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</si>
  <si>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</si>
  <si>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</si>
  <si>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</si>
  <si>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</si>
  <si>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</si>
  <si>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</si>
  <si>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</si>
  <si>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</si>
  <si>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</si>
  <si>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</si>
  <si>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</si>
  <si>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</si>
  <si>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</si>
  <si>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</si>
  <si>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</si>
  <si>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</si>
  <si>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</si>
  <si>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</si>
  <si>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</si>
  <si>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</si>
  <si>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</si>
  <si>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</si>
  <si>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</si>
  <si>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</si>
  <si>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</si>
  <si>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</si>
  <si>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</si>
  <si>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</si>
  <si>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</si>
  <si>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</si>
  <si>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</si>
  <si>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</si>
  <si>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</si>
  <si>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</si>
  <si>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</si>
  <si>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</si>
  <si>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</si>
  <si>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</si>
  <si>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</si>
  <si>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</si>
  <si>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</si>
  <si>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</si>
  <si>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</si>
  <si>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</si>
  <si>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</si>
  <si>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</si>
  <si>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</si>
  <si>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</si>
  <si>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</si>
  <si>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</si>
  <si>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</si>
  <si>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</si>
  <si>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</si>
  <si>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</si>
  <si>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</si>
  <si>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</si>
  <si>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</si>
  <si>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</si>
  <si>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</si>
  <si>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</si>
  <si>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</si>
  <si>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</si>
  <si>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</si>
  <si>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</si>
  <si>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</si>
  <si>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</si>
  <si>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</si>
  <si>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</si>
  <si>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</si>
  <si>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</si>
  <si>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</si>
  <si>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</si>
  <si>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</si>
  <si>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</si>
  <si>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</si>
  <si>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</si>
  <si>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</si>
  <si>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</si>
  <si>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</si>
  <si>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</si>
  <si>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</si>
  <si>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</si>
  <si>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</si>
  <si>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</si>
  <si>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</si>
  <si>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</si>
  <si>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</si>
  <si>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</si>
  <si>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</si>
  <si>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</si>
  <si>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</si>
  <si>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</si>
  <si>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</si>
  <si>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</si>
  <si>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</si>
  <si>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</si>
  <si>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</si>
  <si>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</si>
  <si>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</si>
  <si>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</si>
  <si>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</si>
  <si>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</si>
  <si>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</si>
  <si>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</si>
  <si>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</si>
  <si>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</si>
  <si>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</si>
  <si>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</si>
  <si>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</si>
  <si>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</si>
  <si>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</si>
  <si>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</si>
  <si>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</si>
  <si>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</si>
  <si>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</si>
  <si>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</si>
  <si>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</si>
  <si>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</si>
  <si>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</si>
  <si>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</si>
  <si>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</si>
  <si>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</si>
  <si>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</si>
  <si>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</si>
  <si>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</si>
  <si>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</si>
  <si>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</si>
  <si>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</si>
  <si>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</si>
  <si>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</si>
  <si>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</si>
  <si>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</si>
  <si>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</si>
  <si>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</si>
  <si>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</si>
  <si>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</si>
  <si>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</si>
  <si>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</si>
  <si>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</si>
  <si>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</si>
  <si>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</si>
  <si>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</si>
  <si>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</si>
  <si>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</si>
  <si>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</si>
  <si>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</si>
  <si>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</si>
  <si>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</si>
  <si>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</si>
  <si>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</si>
  <si>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</si>
  <si>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</si>
  <si>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</si>
  <si>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</si>
  <si>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</si>
  <si>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</si>
  <si>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</si>
  <si>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</si>
  <si>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</si>
  <si>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</si>
  <si>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</si>
  <si>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</si>
  <si>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</si>
  <si>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</si>
  <si>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</si>
  <si>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</si>
  <si>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</si>
  <si>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</si>
  <si>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</si>
  <si>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</si>
  <si>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</si>
  <si>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</si>
  <si>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</si>
  <si>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</si>
  <si>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</si>
  <si>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</si>
  <si>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</si>
  <si>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</si>
  <si>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</si>
  <si>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</si>
  <si>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</si>
  <si>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</si>
  <si>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</si>
  <si>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</si>
  <si>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</si>
  <si>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Input-based carbon budget: farm inputs x emission coefficients (Table S2) + N2O = (N fertiliser + residue N) x 0.01 x 1.571; GWP = N2O x 265 + CO2; carbon output from biomass (Jat et al. 2019; Lal et al. 2020)</t>
  </si>
  <si>
    <t xml:space="preserve">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</si>
  <si>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</si>
  <si>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</si>
  <si>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</si>
  <si>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</si>
  <si>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</si>
  <si>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</si>
  <si>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</si>
  <si>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</si>
  <si>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</si>
  <si>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</si>
  <si>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</si>
  <si>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</si>
  <si>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</si>
  <si>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</si>
  <si>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</si>
  <si>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</si>
  <si>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</si>
  <si>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</si>
  <si>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</si>
  <si>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</si>
  <si>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</si>
  <si>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</si>
  <si>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</si>
  <si>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</si>
  <si>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</si>
  <si>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</si>
  <si>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</si>
  <si>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</si>
  <si>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</si>
  <si>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</si>
  <si>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</si>
  <si>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</si>
  <si>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</si>
  <si>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</si>
  <si>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</si>
  <si>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</si>
  <si>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</si>
  <si>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</si>
  <si>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</si>
  <si>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</si>
  <si>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</si>
  <si>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</si>
  <si>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</si>
  <si>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</si>
  <si>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</si>
  <si>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</si>
  <si>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</si>
  <si>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</si>
  <si>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</si>
  <si>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</si>
  <si>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</si>
  <si>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</si>
  <si>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</si>
  <si>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</si>
  <si>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</si>
  <si>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</si>
  <si>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</si>
  <si>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</si>
  <si>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</si>
  <si>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</si>
  <si>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</si>
  <si>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</si>
  <si>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</si>
  <si>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</si>
  <si>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</si>
  <si>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</si>
  <si>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</si>
  <si>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</si>
  <si>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</si>
  <si>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</si>
  <si>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</si>
  <si>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</si>
  <si>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</si>
  <si>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</si>
  <si>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</si>
  <si>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</si>
  <si>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</si>
  <si>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</si>
  <si>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</si>
  <si>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</si>
  <si>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</si>
  <si>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</si>
  <si>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</si>
  <si>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</si>
  <si>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</si>
  <si>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</si>
  <si>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</si>
  <si>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</si>
  <si>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</si>
  <si>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</si>
  <si>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</si>
  <si>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</si>
  <si>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</si>
  <si>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</si>
  <si>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</si>
  <si>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</si>
  <si>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</si>
  <si>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</si>
  <si>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</si>
  <si>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</si>
  <si>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</si>
  <si>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</si>
  <si>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</si>
  <si>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</si>
  <si>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</si>
  <si>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</si>
  <si>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</si>
  <si>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</si>
  <si>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</si>
  <si>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</si>
  <si>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</si>
  <si>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</si>
  <si>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Its values are in the Notes of each 172 row.</t>
  </si>
  <si>
    <t xml:space="preserve">R-R, R-M, R-MB, R-M-MB rotations (no wheat) not entered, as in old-master 124.</t>
  </si>
  <si>
    <t xml:space="preserve">WSRF-SSW-FI and WSRF-SSW-AWD NOT ENTERED pending the author (pZT or ZT?). Their gross margin / B:C (Table 5), ECe (Fig. 3) and measured / simulated values (176 companion) are written in the Notes of the 176 rows so they can be added once coded.</t>
  </si>
  <si>
    <t xml:space="preserve">Rice-maize system (rule 31): yields 11.75 / 11.07 / 11.06 / 13.1 t/ha, net profit 179510 / 177576 / 175320 / 237440 NRs/ha, B:C 2.69 / 2.88 / 2.84 / 3.47 (CTTPR+CTM / CTTPR+ZTM / ZTDSR+ZTM / UPTPR+ZTM); maize Table 1 6.49 / 5.81 / 5.86 / 6.86 t/ha.</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</si>
</sst>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4.xml.rels><?xml version="1.0" encoding="UTF-8"?>
<Relationships xmlns="http://schemas.openxmlformats.org/package/2006/relationships"><Relationship Id="rId1" Type="http://schemas.openxmlformats.org/officeDocument/2006/relationships/drawing" Target="../drawings/drawing26.xml"/>
</Relationships>
</file>

<file path=xl/worksheets/_rels/sheet35.xml.rels><?xml version="1.0" encoding="UTF-8"?>
<Relationships xmlns="http://schemas.openxmlformats.org/package/2006/relationships"><Relationship Id="rId1" Type="http://schemas.openxmlformats.org/officeDocument/2006/relationships/drawing" Target="../drawings/drawing27.xml"/>
</Relationships>
</file>

<file path=xl/worksheets/_rels/sheet36.xml.rels><?xml version="1.0" encoding="UTF-8"?>
<Relationships xmlns="http://schemas.openxmlformats.org/package/2006/relationships"><Relationship Id="rId1" Type="http://schemas.openxmlformats.org/officeDocument/2006/relationships/drawing" Target="../drawings/drawing28.xml"/>
</Relationships>
</file>

<file path=xl/worksheets/_rels/sheet37.xml.rels><?xml version="1.0" encoding="UTF-8"?>
<Relationships xmlns="http://schemas.openxmlformats.org/package/2006/relationships"><Relationship Id="rId1" Type="http://schemas.openxmlformats.org/officeDocument/2006/relationships/drawing" Target="../drawings/drawing29.xml"/>
</Relationships>
</file>

<file path=xl/worksheets/_rels/sheet38.xml.rels><?xml version="1.0" encoding="UTF-8"?>
<Relationships xmlns="http://schemas.openxmlformats.org/package/2006/relationships"><Relationship Id="rId1" Type="http://schemas.openxmlformats.org/officeDocument/2006/relationships/drawing" Target="../drawings/drawing30.xml"/>
</Relationships>
</file>

<file path=xl/worksheets/_rels/sheet39.xml.rels><?xml version="1.0" encoding="UTF-8"?>
<Relationships xmlns="http://schemas.openxmlformats.org/package/2006/relationships"><Relationship Id="rId1" Type="http://schemas.openxmlformats.org/officeDocument/2006/relationships/drawing" Target="../drawings/drawing31.xml"/>
</Relationships>
</file>

<file path=xl/worksheets/_rels/sheet40.xml.rels><?xml version="1.0" encoding="UTF-8"?>
<Relationships xmlns="http://schemas.openxmlformats.org/package/2006/relationships"><Relationship Id="rId1" Type="http://schemas.openxmlformats.org/officeDocument/2006/relationships/drawing" Target="../drawings/drawing32.xml"/>
</Relationships>
</file>

<file path=xl/worksheets/_rels/sheet41.xml.rels><?xml version="1.0" encoding="UTF-8"?>
<Relationships xmlns="http://schemas.openxmlformats.org/package/2006/relationships"><Relationship Id="rId1" Type="http://schemas.openxmlformats.org/officeDocument/2006/relationships/drawing" Target="../drawings/drawing33.xml"/>
</Relationships>
</file>

<file path=xl/worksheets/_rels/sheet42.xml.rels><?xml version="1.0" encoding="UTF-8"?>
<Relationships xmlns="http://schemas.openxmlformats.org/package/2006/relationships"><Relationship Id="rId1" Type="http://schemas.openxmlformats.org/officeDocument/2006/relationships/drawing" Target="../drawings/drawing34.xml"/>
</Relationships>
</file>

<file path=xl/worksheets/_rels/sheet43.xml.rels><?xml version="1.0" encoding="UTF-8"?>
<Relationships xmlns="http://schemas.openxmlformats.org/package/2006/relationships"><Relationship Id="rId1" Type="http://schemas.openxmlformats.org/officeDocument/2006/relationships/drawing" Target="../drawings/drawing35.xml"/>
</Relationships>
</file>

<file path=xl/worksheets/_rels/sheet44.xml.rels><?xml version="1.0" encoding="UTF-8"?>
<Relationships xmlns="http://schemas.openxmlformats.org/package/2006/relationships"><Relationship Id="rId1" Type="http://schemas.openxmlformats.org/officeDocument/2006/relationships/drawing" Target="../drawings/drawing36.xml"/>
</Relationships>
</file>

<file path=xl/worksheets/_rels/sheet45.xml.rels><?xml version="1.0" encoding="UTF-8"?>
<Relationships xmlns="http://schemas.openxmlformats.org/package/2006/relationships"><Relationship Id="rId1" Type="http://schemas.openxmlformats.org/officeDocument/2006/relationships/drawing" Target="../drawings/drawing37.xml"/>
</Relationships>
</file>

<file path=xl/worksheets/_rels/sheet46.xml.rels><?xml version="1.0" encoding="UTF-8"?>
<Relationships xmlns="http://schemas.openxmlformats.org/package/2006/relationships"><Relationship Id="rId1" Type="http://schemas.openxmlformats.org/officeDocument/2006/relationships/drawing" Target="../drawings/drawing38.xml"/>
</Relationships>
</file>

<file path=xl/worksheets/_rels/sheet47.xml.rels><?xml version="1.0" encoding="UTF-8"?>
<Relationships xmlns="http://schemas.openxmlformats.org/package/2006/relationships"><Relationship Id="rId1" Type="http://schemas.openxmlformats.org/officeDocument/2006/relationships/drawing" Target="../drawings/drawing39.xml"/>
</Relationships>
</file>

<file path=xl/worksheets/_rels/sheet48.xml.rels><?xml version="1.0" encoding="UTF-8"?>
<Relationships xmlns="http://schemas.openxmlformats.org/package/2006/relationships"><Relationship Id="rId1" Type="http://schemas.openxmlformats.org/officeDocument/2006/relationships/drawing" Target="../drawings/drawing40.xml"/>
</Relationships>
</file>

<file path=xl/worksheets/_rels/sheet49.xml.rels><?xml version="1.0" encoding="UTF-8"?>
<Relationships xmlns="http://schemas.openxmlformats.org/package/2006/relationships"><Relationship Id="rId1" Type="http://schemas.openxmlformats.org/officeDocument/2006/relationships/drawing" Target="../drawings/drawing41.xml"/>
</Relationships>
</file>

<file path=xl/worksheets/_rels/sheet50.xml.rels><?xml version="1.0" encoding="UTF-8"?>
<Relationships xmlns="http://schemas.openxmlformats.org/package/2006/relationships"><Relationship Id="rId1" Type="http://schemas.openxmlformats.org/officeDocument/2006/relationships/drawing" Target="../drawings/drawing42.xml"/>
</Relationships>
</file>

<file path=xl/worksheets/_rels/sheet51.xml.rels><?xml version="1.0" encoding="UTF-8"?>
<Relationships xmlns="http://schemas.openxmlformats.org/package/2006/relationships"><Relationship Id="rId1" Type="http://schemas.openxmlformats.org/officeDocument/2006/relationships/drawing" Target="../drawings/drawing43.xml"/>
</Relationships>
</file>

<file path=xl/worksheets/_rels/sheet52.xml.rels><?xml version="1.0" encoding="UTF-8"?>
<Relationships xmlns="http://schemas.openxmlformats.org/package/2006/relationships"><Relationship Id="rId1" Type="http://schemas.openxmlformats.org/officeDocument/2006/relationships/drawing" Target="../drawings/drawing44.xml"/>
</Relationships>
</file>

<file path=xl/worksheets/_rels/sheet53.xml.rels><?xml version="1.0" encoding="UTF-8"?>
<Relationships xmlns="http://schemas.openxmlformats.org/package/2006/relationships"><Relationship Id="rId1" Type="http://schemas.openxmlformats.org/officeDocument/2006/relationships/drawing" Target="../drawings/drawing45.xml"/>
</Relationships>
</file>

<file path=xl/worksheets/_rels/sheet54.xml.rels><?xml version="1.0" encoding="UTF-8"?>
<Relationships xmlns="http://schemas.openxmlformats.org/package/2006/relationships"><Relationship Id="rId1" Type="http://schemas.openxmlformats.org/officeDocument/2006/relationships/drawing" Target="../drawings/drawing46.xml"/>
</Relationships>
</file>

<file path=xl/worksheets/_rels/sheet55.xml.rels><?xml version="1.0" encoding="UTF-8"?>
<Relationships xmlns="http://schemas.openxmlformats.org/package/2006/relationships"><Relationship Id="rId1" Type="http://schemas.openxmlformats.org/officeDocument/2006/relationships/drawing" Target="../drawings/drawing47.xml"/>
</Relationships>
</file>

<file path=xl/worksheets/_rels/sheet56.xml.rels><?xml version="1.0" encoding="UTF-8"?>
<Relationships xmlns="http://schemas.openxmlformats.org/package/2006/relationships"><Relationship Id="rId1" Type="http://schemas.openxmlformats.org/officeDocument/2006/relationships/drawing" Target="../drawings/drawing48.xml"/>
</Relationships>
</file>

<file path=xl/worksheets/_rels/sheet57.xml.rels><?xml version="1.0" encoding="UTF-8"?>
<Relationships xmlns="http://schemas.openxmlformats.org/package/2006/relationships"><Relationship Id="rId1" Type="http://schemas.openxmlformats.org/officeDocument/2006/relationships/drawing" Target="../drawings/drawing49.xml"/>
</Relationships>
</file>

<file path=xl/worksheets/_rels/sheet58.xml.rels><?xml version="1.0" encoding="UTF-8"?>
<Relationships xmlns="http://schemas.openxmlformats.org/package/2006/relationships"><Relationship Id="rId1" Type="http://schemas.openxmlformats.org/officeDocument/2006/relationships/drawing" Target="../drawings/drawing50.xml"/>
</Relationships>
</file>

<file path=xl/worksheets/_rels/sheet59.xml.rels><?xml version="1.0" encoding="UTF-8"?>
<Relationships xmlns="http://schemas.openxmlformats.org/package/2006/relationships"><Relationship Id="rId1" Type="http://schemas.openxmlformats.org/officeDocument/2006/relationships/drawing" Target="../drawings/drawing51.xml"/>
</Relationships>
</file>

<file path=xl/worksheets/_rels/sheet60.xml.rels><?xml version="1.0" encoding="UTF-8"?>
<Relationships xmlns="http://schemas.openxmlformats.org/package/2006/relationships"><Relationship Id="rId1" Type="http://schemas.openxmlformats.org/officeDocument/2006/relationships/drawing" Target="../drawings/drawing52.xml"/>
</Relationships>
</file>

<file path=xl/worksheets/_rels/sheet61.xml.rels><?xml version="1.0" encoding="UTF-8"?>
<Relationships xmlns="http://schemas.openxmlformats.org/package/2006/relationships"><Relationship Id="rId1" Type="http://schemas.openxmlformats.org/officeDocument/2006/relationships/drawing" Target="../drawings/drawing53.xml"/>
</Relationships>
</file>

<file path=xl/worksheets/_rels/sheet62.xml.rels><?xml version="1.0" encoding="UTF-8"?>
<Relationships xmlns="http://schemas.openxmlformats.org/package/2006/relationships"><Relationship Id="rId1" Type="http://schemas.openxmlformats.org/officeDocument/2006/relationships/drawing" Target="../drawings/drawing54.xml"/>
</Relationships>
</file>

<file path=xl/worksheets/_rels/sheet63.xml.rels><?xml version="1.0" encoding="UTF-8"?>
<Relationships xmlns="http://schemas.openxmlformats.org/package/2006/relationships"><Relationship Id="rId1" Type="http://schemas.openxmlformats.org/officeDocument/2006/relationships/drawing" Target="../drawings/drawing55.xml"/>
</Relationships>
</file>

<file path=xl/worksheets/_rels/sheet64.xml.rels><?xml version="1.0" encoding="UTF-8"?>
<Relationships xmlns="http://schemas.openxmlformats.org/package/2006/relationships"><Relationship Id="rId1" Type="http://schemas.openxmlformats.org/officeDocument/2006/relationships/drawing" Target="../drawings/drawing56.xml"/>
</Relationships>
</file>

<file path=xl/worksheets/_rels/sheet65.xml.rels><?xml version="1.0" encoding="UTF-8"?>
<Relationships xmlns="http://schemas.openxmlformats.org/package/2006/relationships"><Relationship Id="rId1" Type="http://schemas.openxmlformats.org/officeDocument/2006/relationships/drawing" Target="../drawings/drawing57.xml"/>
</Relationships>
</file>

<file path=xl/worksheets/_rels/sheet66.xml.rels><?xml version="1.0" encoding="UTF-8"?>
<Relationships xmlns="http://schemas.openxmlformats.org/package/2006/relationships"><Relationship Id="rId1" Type="http://schemas.openxmlformats.org/officeDocument/2006/relationships/drawing" Target="../drawings/drawing58.xml"/>
</Relationships>
</file>

<file path=xl/worksheets/_rels/sheet67.xml.rels><?xml version="1.0" encoding="UTF-8"?>
<Relationships xmlns="http://schemas.openxmlformats.org/package/2006/relationships"><Relationship Id="rId1" Type="http://schemas.openxmlformats.org/officeDocument/2006/relationships/drawing" Target="../drawings/drawing59.xml"/>
</Relationships>
</file>

<file path=xl/worksheets/_rels/sheet68.xml.rels><?xml version="1.0" encoding="UTF-8"?>
<Relationships xmlns="http://schemas.openxmlformats.org/package/2006/relationships"><Relationship Id="rId1" Type="http://schemas.openxmlformats.org/officeDocument/2006/relationships/drawing" Target="../drawings/drawing60.xml"/>
</Relationships>
</file>

<file path=xl/worksheets/_rels/sheet69.xml.rels><?xml version="1.0" encoding="UTF-8"?>
<Relationships xmlns="http://schemas.openxmlformats.org/package/2006/relationships"><Relationship Id="rId1" Type="http://schemas.openxmlformats.org/officeDocument/2006/relationships/drawing" Target="../drawings/drawing61.xml"/>
</Relationships>
</file>

<file path=xl/worksheets/_rels/sheet70.xml.rels><?xml version="1.0" encoding="UTF-8"?>
<Relationships xmlns="http://schemas.openxmlformats.org/package/2006/relationships"><Relationship Id="rId1" Type="http://schemas.openxmlformats.org/officeDocument/2006/relationships/drawing" Target="../drawings/drawing62.xml"/>
</Relationships>
</file>

<file path=xl/worksheets/_rels/sheet71.xml.rels><?xml version="1.0" encoding="UTF-8"?>
<Relationships xmlns="http://schemas.openxmlformats.org/package/2006/relationships"><Relationship Id="rId1" Type="http://schemas.openxmlformats.org/officeDocument/2006/relationships/drawing" Target="../drawings/drawing63.xml"/>
</Relationships>
</file>

<file path=xl/worksheets/_rels/sheet72.xml.rels><?xml version="1.0" encoding="UTF-8"?>
<Relationships xmlns="http://schemas.openxmlformats.org/package/2006/relationships"><Relationship Id="rId1" Type="http://schemas.openxmlformats.org/officeDocument/2006/relationships/drawing" Target="../drawings/drawing64.xml"/>
</Relationships>
</file>

<file path=xl/worksheets/_rels/sheet73.xml.rels><?xml version="1.0" encoding="UTF-8"?>
<Relationships xmlns="http://schemas.openxmlformats.org/package/2006/relationships"><Relationship Id="rId1" Type="http://schemas.openxmlformats.org/officeDocument/2006/relationships/drawing" Target="../drawings/drawing65.xml"/>
</Relationships>
</file>

<file path=xl/worksheets/_rels/sheet74.xml.rels><?xml version="1.0" encoding="UTF-8"?>
<Relationships xmlns="http://schemas.openxmlformats.org/package/2006/relationships"><Relationship Id="rId1" Type="http://schemas.openxmlformats.org/officeDocument/2006/relationships/drawing" Target="../drawings/drawing66.xml"/>
</Relationships>
</file>

<file path=xl/worksheets/_rels/sheet75.xml.rels><?xml version="1.0" encoding="UTF-8"?>
<Relationships xmlns="http://schemas.openxmlformats.org/package/2006/relationships"><Relationship Id="rId1" Type="http://schemas.openxmlformats.org/officeDocument/2006/relationships/drawing" Target="../drawings/drawing67.xml"/>
</Relationships>
</file>

<file path=xl/worksheets/_rels/sheet76.xml.rels><?xml version="1.0" encoding="UTF-8"?>
<Relationships xmlns="http://schemas.openxmlformats.org/package/2006/relationships"><Relationship Id="rId1" Type="http://schemas.openxmlformats.org/officeDocument/2006/relationships/drawing" Target="../drawings/drawing68.xml"/>
</Relationships>
</file>

<file path=xl/worksheets/_rels/sheet77.xml.rels><?xml version="1.0" encoding="UTF-8"?>
<Relationships xmlns="http://schemas.openxmlformats.org/package/2006/relationships"><Relationship Id="rId1" Type="http://schemas.openxmlformats.org/officeDocument/2006/relationships/drawing" Target="../drawings/drawing69.xml"/>
</Relationships>
</file>

<file path=xl/worksheets/_rels/sheet78.xml.rels><?xml version="1.0" encoding="UTF-8"?>
<Relationships xmlns="http://schemas.openxmlformats.org/package/2006/relationships"><Relationship Id="rId1" Type="http://schemas.openxmlformats.org/officeDocument/2006/relationships/drawing" Target="../drawings/drawing70.xml"/>
</Relationships>
</file>

<file path=xl/worksheets/_rels/sheet79.xml.rels><?xml version="1.0" encoding="UTF-8"?>
<Relationships xmlns="http://schemas.openxmlformats.org/package/2006/relationships"><Relationship Id="rId1" Type="http://schemas.openxmlformats.org/officeDocument/2006/relationships/drawing" Target="../drawings/drawing71.xml"/>
</Relationships>
</file>

<file path=xl/worksheets/_rels/sheet80.xml.rels><?xml version="1.0" encoding="UTF-8"?>
<Relationships xmlns="http://schemas.openxmlformats.org/package/2006/relationships"><Relationship Id="rId1" Type="http://schemas.openxmlformats.org/officeDocument/2006/relationships/drawing" Target="../drawings/drawing72.xml"/>
</Relationships>
</file>

<file path=xl/worksheets/_rels/sheet81.xml.rels><?xml version="1.0" encoding="UTF-8"?>
<Relationships xmlns="http://schemas.openxmlformats.org/package/2006/relationships"><Relationship Id="rId1" Type="http://schemas.openxmlformats.org/officeDocument/2006/relationships/drawing" Target="../drawings/drawing73.xml"/>
</Relationships>
</file>

<file path=xl/worksheets/_rels/sheet82.xml.rels><?xml version="1.0" encoding="UTF-8"?>
<Relationships xmlns="http://schemas.openxmlformats.org/package/2006/relationships"><Relationship Id="rId1" Type="http://schemas.openxmlformats.org/officeDocument/2006/relationships/drawing" Target="../drawings/drawing74.xml"/>
</Relationships>
</file>

<file path=xl/worksheets/_rels/sheet83.xml.rels><?xml version="1.0" encoding="UTF-8"?>
<Relationships xmlns="http://schemas.openxmlformats.org/package/2006/relationships"><Relationship Id="rId1" Type="http://schemas.openxmlformats.org/officeDocument/2006/relationships/drawing" Target="../drawings/drawing75.xml"/>
</Relationships>
</file>

<file path=xl/worksheets/_rels/sheet84.xml.rels><?xml version="1.0" encoding="UTF-8"?>
<Relationships xmlns="http://schemas.openxmlformats.org/package/2006/relationships"><Relationship Id="rId1" Type="http://schemas.openxmlformats.org/officeDocument/2006/relationships/drawing" Target="../drawings/drawing76.xml"/>
</Relationships>
</file>

<file path=xl/worksheets/_rels/sheet85.xml.rels><?xml version="1.0" encoding="UTF-8"?>
<Relationships xmlns="http://schemas.openxmlformats.org/package/2006/relationships"><Relationship Id="rId1" Type="http://schemas.openxmlformats.org/officeDocument/2006/relationships/drawing" Target="../drawings/drawing77.xml"/>
</Relationships>
</file>

<file path=xl/worksheets/_rels/sheet86.xml.rels><?xml version="1.0" encoding="UTF-8"?>
<Relationships xmlns="http://schemas.openxmlformats.org/package/2006/relationships"><Relationship Id="rId1" Type="http://schemas.openxmlformats.org/officeDocument/2006/relationships/drawing" Target="../drawings/drawing78.xml"/>
</Relationships>
</file>

<file path=xl/worksheets/_rels/sheet87.xml.rels><?xml version="1.0" encoding="UTF-8"?>
<Relationships xmlns="http://schemas.openxmlformats.org/package/2006/relationships"><Relationship Id="rId1" Type="http://schemas.openxmlformats.org/officeDocument/2006/relationships/drawing" Target="../drawings/drawing79.xml"/>
</Relationships>
</file>

<file path=xl/worksheets/_rels/sheet88.xml.rels><?xml version="1.0" encoding="UTF-8"?>
<Relationships xmlns="http://schemas.openxmlformats.org/package/2006/relationships"><Relationship Id="rId1" Type="http://schemas.openxmlformats.org/officeDocument/2006/relationships/drawing" Target="../drawings/drawing80.xml"/>
</Relationships>
</file>

<file path=xl/worksheets/_rels/sheet89.xml.rels><?xml version="1.0" encoding="UTF-8"?>
<Relationships xmlns="http://schemas.openxmlformats.org/package/2006/relationships"><Relationship Id="rId1" Type="http://schemas.openxmlformats.org/officeDocument/2006/relationships/drawing" Target="../drawings/drawing81.xml"/>
</Relationships>
</file>

<file path=xl/worksheets/_rels/sheet90.xml.rels><?xml version="1.0" encoding="UTF-8"?>
<Relationships xmlns="http://schemas.openxmlformats.org/package/2006/relationships"><Relationship Id="rId1" Type="http://schemas.openxmlformats.org/officeDocument/2006/relationships/drawing" Target="../drawings/drawing82.xml"/>
</Relationships>
</file>

<file path=xl/worksheets/_rels/sheet91.xml.rels><?xml version="1.0" encoding="UTF-8"?>
<Relationships xmlns="http://schemas.openxmlformats.org/package/2006/relationships"><Relationship Id="rId1" Type="http://schemas.openxmlformats.org/officeDocument/2006/relationships/drawing" Target="../drawings/drawing83.xml"/>
</Relationships>
</file>

<file path=xl/worksheets/_rels/sheet92.xml.rels><?xml version="1.0" encoding="UTF-8"?>
<Relationships xmlns="http://schemas.openxmlformats.org/package/2006/relationships"><Relationship Id="rId1" Type="http://schemas.openxmlformats.org/officeDocument/2006/relationships/drawing" Target="../drawings/drawing84.xml"/>
</Relationships>
</file>

<file path=xl/worksheets/_rels/sheet93.xml.rels><?xml version="1.0" encoding="UTF-8"?>
<Relationships xmlns="http://schemas.openxmlformats.org/package/2006/relationships"><Relationship Id="rId1" Type="http://schemas.openxmlformats.org/officeDocument/2006/relationships/drawing" Target="../drawings/drawing85.xml"/>
</Relationships>
</file>

<file path=xl/worksheets/_rels/sheet94.xml.rels><?xml version="1.0" encoding="UTF-8"?>
<Relationships xmlns="http://schemas.openxmlformats.org/package/2006/relationships"><Relationship Id="rId1" Type="http://schemas.openxmlformats.org/officeDocument/2006/relationships/drawing" Target="../drawings/drawing86.xml"/>
</Relationships>
</file>

<file path=xl/worksheets/_rels/sheet95.xml.rels><?xml version="1.0" encoding="UTF-8"?>
<Relationships xmlns="http://schemas.openxmlformats.org/package/2006/relationships"><Relationship Id="rId1" Type="http://schemas.openxmlformats.org/officeDocument/2006/relationships/drawing" Target="../drawings/drawing87.xml"/>
</Relationships>
</file>

<file path=xl/worksheets/_rels/sheet96.xml.rels><?xml version="1.0" encoding="UTF-8"?>
<Relationships xmlns="http://schemas.openxmlformats.org/package/2006/relationships"><Relationship Id="rId1" Type="http://schemas.openxmlformats.org/officeDocument/2006/relationships/drawing" Target="../drawings/drawing88.xml"/>
</Relationships>
</file>

<file path=xl/worksheets/_rels/sheet97.xml.rels><?xml version="1.0" encoding="UTF-8"?>
<Relationships xmlns="http://schemas.openxmlformats.org/package/2006/relationships"><Relationship Id="rId1" Type="http://schemas.openxmlformats.org/officeDocument/2006/relationships/drawing" Target="../drawings/drawing89.xml"/>
</Relationships>
</file>

<file path=xl/worksheets/_rels/sheet98.xml.rels><?xml version="1.0" encoding="UTF-8"?>
<Relationships xmlns="http://schemas.openxmlformats.org/package/2006/relationships"><Relationship Id="rId1" Type="http://schemas.openxmlformats.org/officeDocument/2006/relationships/drawing" Target="../drawings/drawing90.xml"/>
</Relationships>
</file>

<file path=xl/worksheets/_rels/sheet99.xml.rels><?xml version="1.0" encoding="UTF-8"?>
<Relationships xmlns="http://schemas.openxmlformats.org/package/2006/relationships"><Relationship Id="rId1" Type="http://schemas.openxmlformats.org/officeDocument/2006/relationships/drawing" Target="../drawings/drawing91.xml"/>
</Relationships>
</file>

<file path=xl/worksheets/_rels/sheet100.xml.rels><?xml version="1.0" encoding="UTF-8"?>
<Relationships xmlns="http://schemas.openxmlformats.org/package/2006/relationships"><Relationship Id="rId1" Type="http://schemas.openxmlformats.org/officeDocument/2006/relationships/drawing" Target="../drawings/drawing92.xml"/>
</Relationships>
</file>

<file path=xl/worksheets/_rels/sheet101.xml.rels><?xml version="1.0" encoding="UTF-8"?>
<Relationships xmlns="http://schemas.openxmlformats.org/package/2006/relationships"><Relationship Id="rId1" Type="http://schemas.openxmlformats.org/officeDocument/2006/relationships/drawing" Target="../drawings/drawing93.xml"/>
</Relationships>
</file>

<file path=xl/worksheets/_rels/sheet102.xml.rels><?xml version="1.0" encoding="UTF-8"?>
<Relationships xmlns="http://schemas.openxmlformats.org/package/2006/relationships"><Relationship Id="rId1" Type="http://schemas.openxmlformats.org/officeDocument/2006/relationships/drawing" Target="../drawings/drawing94.xml"/>
</Relationships>
</file>

<file path=xl/worksheets/_rels/sheet103.xml.rels><?xml version="1.0" encoding="UTF-8"?>
<Relationships xmlns="http://schemas.openxmlformats.org/package/2006/relationships"><Relationship Id="rId1" Type="http://schemas.openxmlformats.org/officeDocument/2006/relationships/drawing" Target="../drawings/drawing95.xml"/>
</Relationships>
</file>

<file path=xl/worksheets/_rels/sheet104.xml.rels><?xml version="1.0" encoding="UTF-8"?>
<Relationships xmlns="http://schemas.openxmlformats.org/package/2006/relationships"><Relationship Id="rId1" Type="http://schemas.openxmlformats.org/officeDocument/2006/relationships/drawing" Target="../drawings/drawing96.xml"/>
</Relationships>
</file>

<file path=xl/worksheets/_rels/sheet105.xml.rels><?xml version="1.0" encoding="UTF-8"?>
<Relationships xmlns="http://schemas.openxmlformats.org/package/2006/relationships"><Relationship Id="rId1" Type="http://schemas.openxmlformats.org/officeDocument/2006/relationships/drawing" Target="../drawings/drawing97.xml"/>
</Relationships>
</file>

<file path=xl/worksheets/_rels/sheet106.xml.rels><?xml version="1.0" encoding="UTF-8"?>
<Relationships xmlns="http://schemas.openxmlformats.org/package/2006/relationships"><Relationship Id="rId1" Type="http://schemas.openxmlformats.org/officeDocument/2006/relationships/drawing" Target="../drawings/drawing98.xml"/>
</Relationships>
</file>

<file path=xl/worksheets/_rels/sheet107.xml.rels><?xml version="1.0" encoding="UTF-8"?>
<Relationships xmlns="http://schemas.openxmlformats.org/package/2006/relationships"><Relationship Id="rId1" Type="http://schemas.openxmlformats.org/officeDocument/2006/relationships/drawing" Target="../drawings/drawing99.xml"/>
</Relationships>
</file>

<file path=xl/worksheets/_rels/sheet108.xml.rels><?xml version="1.0" encoding="UTF-8"?>
<Relationships xmlns="http://schemas.openxmlformats.org/package/2006/relationships"><Relationship Id="rId1" Type="http://schemas.openxmlformats.org/officeDocument/2006/relationships/drawing" Target="../drawings/drawing100.xml"/>
</Relationships>
</file>

<file path=xl/worksheets/_rels/sheet109.xml.rels><?xml version="1.0" encoding="UTF-8"?>
<Relationships xmlns="http://schemas.openxmlformats.org/package/2006/relationships"><Relationship Id="rId1" Type="http://schemas.openxmlformats.org/officeDocument/2006/relationships/drawing" Target="../drawings/drawing101.xml"/>
</Relationships>
</file>

<file path=xl/worksheets/_rels/sheet110.xml.rels><?xml version="1.0" encoding="UTF-8"?>
<Relationships xmlns="http://schemas.openxmlformats.org/package/2006/relationships"><Relationship Id="rId1" Type="http://schemas.openxmlformats.org/officeDocument/2006/relationships/drawing" Target="../drawings/drawing102.xml"/>
</Relationships>
</file>

<file path=xl/worksheets/_rels/sheet111.xml.rels><?xml version="1.0" encoding="UTF-8"?>
<Relationships xmlns="http://schemas.openxmlformats.org/package/2006/relationships"><Relationship Id="rId1" Type="http://schemas.openxmlformats.org/officeDocument/2006/relationships/drawing" Target="../drawings/drawing103.xml"/>
</Relationships>
</file>

<file path=xl/worksheets/_rels/sheet112.xml.rels><?xml version="1.0" encoding="UTF-8"?>
<Relationships xmlns="http://schemas.openxmlformats.org/package/2006/relationships"><Relationship Id="rId1" Type="http://schemas.openxmlformats.org/officeDocument/2006/relationships/drawing" Target="../drawings/drawing104.xml"/>
</Relationships>
</file>

<file path=xl/worksheets/_rels/sheet113.xml.rels><?xml version="1.0" encoding="UTF-8"?>
<Relationships xmlns="http://schemas.openxmlformats.org/package/2006/relationships"><Relationship Id="rId1" Type="http://schemas.openxmlformats.org/officeDocument/2006/relationships/drawing" Target="../drawings/drawing105.xml"/>
</Relationships>
</file>

<file path=xl/worksheets/_rels/sheet114.xml.rels><?xml version="1.0" encoding="UTF-8"?>
<Relationships xmlns="http://schemas.openxmlformats.org/package/2006/relationships"><Relationship Id="rId1" Type="http://schemas.openxmlformats.org/officeDocument/2006/relationships/drawing" Target="../drawings/drawing106.xml"/>
</Relationships>
</file>

<file path=xl/worksheets/_rels/sheet115.xml.rels><?xml version="1.0" encoding="UTF-8"?>
<Relationships xmlns="http://schemas.openxmlformats.org/package/2006/relationships"><Relationship Id="rId1" Type="http://schemas.openxmlformats.org/officeDocument/2006/relationships/drawing" Target="../drawings/drawing107.xml"/>
</Relationships>
</file>

<file path=xl/worksheets/_rels/sheet116.xml.rels><?xml version="1.0" encoding="UTF-8"?>
<Relationships xmlns="http://schemas.openxmlformats.org/package/2006/relationships"><Relationship Id="rId1" Type="http://schemas.openxmlformats.org/officeDocument/2006/relationships/drawing" Target="../drawings/drawing108.xml"/>
</Relationships>
</file>

<file path=xl/worksheets/_rels/sheet117.xml.rels><?xml version="1.0" encoding="UTF-8"?>
<Relationships xmlns="http://schemas.openxmlformats.org/package/2006/relationships"><Relationship Id="rId1" Type="http://schemas.openxmlformats.org/officeDocument/2006/relationships/drawing" Target="../drawings/drawing109.xml"/>
</Relationships>
</file>

<file path=xl/worksheets/_rels/sheet118.xml.rels><?xml version="1.0" encoding="UTF-8"?>
<Relationships xmlns="http://schemas.openxmlformats.org/package/2006/relationships"><Relationship Id="rId1" Type="http://schemas.openxmlformats.org/officeDocument/2006/relationships/drawing" Target="../drawings/drawing110.xml"/>
</Relationships>
</file>

<file path=xl/worksheets/_rels/sheet119.xml.rels><?xml version="1.0" encoding="UTF-8"?>
<Relationships xmlns="http://schemas.openxmlformats.org/package/2006/relationships"><Relationship Id="rId1" Type="http://schemas.openxmlformats.org/officeDocument/2006/relationships/drawing" Target="../drawings/drawing111.xml"/>
</Relationships>
</file>

<file path=xl/worksheets/_rels/sheet120.xml.rels><?xml version="1.0" encoding="UTF-8"?>
<Relationships xmlns="http://schemas.openxmlformats.org/package/2006/relationships"><Relationship Id="rId1" Type="http://schemas.openxmlformats.org/officeDocument/2006/relationships/drawing" Target="../drawings/drawing112.xml"/>
</Relationships>
</file>

<file path=xl/worksheets/_rels/sheet121.xml.rels><?xml version="1.0" encoding="UTF-8"?>
<Relationships xmlns="http://schemas.openxmlformats.org/package/2006/relationships"><Relationship Id="rId1" Type="http://schemas.openxmlformats.org/officeDocument/2006/relationships/drawing" Target="../drawings/drawing113.xml"/>
</Relationships>
</file>

<file path=xl/worksheets/_rels/sheet122.xml.rels><?xml version="1.0" encoding="UTF-8"?>
<Relationships xmlns="http://schemas.openxmlformats.org/package/2006/relationships"><Relationship Id="rId1" Type="http://schemas.openxmlformats.org/officeDocument/2006/relationships/drawing" Target="../drawings/drawing114.xml"/>
</Relationships>
</file>

<file path=xl/worksheets/_rels/sheet123.xml.rels><?xml version="1.0" encoding="UTF-8"?>
<Relationships xmlns="http://schemas.openxmlformats.org/package/2006/relationships"><Relationship Id="rId1" Type="http://schemas.openxmlformats.org/officeDocument/2006/relationships/drawing" Target="../drawings/drawing115.xml"/>
</Relationships>
</file>

<file path=xl/worksheets/_rels/sheet124.xml.rels><?xml version="1.0" encoding="UTF-8"?>
<Relationships xmlns="http://schemas.openxmlformats.org/package/2006/relationships"><Relationship Id="rId1" Type="http://schemas.openxmlformats.org/officeDocument/2006/relationships/drawing" Target="../drawings/drawing116.xml"/>
</Relationships>
</file>

<file path=xl/worksheets/_rels/sheet125.xml.rels><?xml version="1.0" encoding="UTF-8"?>
<Relationships xmlns="http://schemas.openxmlformats.org/package/2006/relationships"><Relationship Id="rId1" Type="http://schemas.openxmlformats.org/officeDocument/2006/relationships/drawing" Target="../drawings/drawing117.xml"/>
</Relationships>
</file>

<file path=xl/worksheets/_rels/sheet126.xml.rels><?xml version="1.0" encoding="UTF-8"?>
<Relationships xmlns="http://schemas.openxmlformats.org/package/2006/relationships"><Relationship Id="rId1" Type="http://schemas.openxmlformats.org/officeDocument/2006/relationships/drawing" Target="../drawings/drawing118.xml"/>
</Relationships>
</file>

<file path=xl/worksheets/_rels/sheet127.xml.rels><?xml version="1.0" encoding="UTF-8"?>
<Relationships xmlns="http://schemas.openxmlformats.org/package/2006/relationships"><Relationship Id="rId1" Type="http://schemas.openxmlformats.org/officeDocument/2006/relationships/drawing" Target="../drawings/drawing119.xml"/>
</Relationships>
</file>

<file path=xl/worksheets/_rels/sheet128.xml.rels><?xml version="1.0" encoding="UTF-8"?>
<Relationships xmlns="http://schemas.openxmlformats.org/package/2006/relationships"><Relationship Id="rId1" Type="http://schemas.openxmlformats.org/officeDocument/2006/relationships/drawing" Target="../drawings/drawing120.xml"/>
</Relationships>
</file>

<file path=xl/worksheets/_rels/sheet129.xml.rels><?xml version="1.0" encoding="UTF-8"?>
<Relationships xmlns="http://schemas.openxmlformats.org/package/2006/relationships"><Relationship Id="rId1" Type="http://schemas.openxmlformats.org/officeDocument/2006/relationships/drawing" Target="../drawings/drawing121.xml"/>
</Relationships>
</file>

<file path=xl/worksheets/_rels/sheet130.xml.rels><?xml version="1.0" encoding="UTF-8"?>
<Relationships xmlns="http://schemas.openxmlformats.org/package/2006/relationships"><Relationship Id="rId1" Type="http://schemas.openxmlformats.org/officeDocument/2006/relationships/drawing" Target="../drawings/drawing122.xml"/>
</Relationships>
</file>

<file path=xl/worksheets/_rels/sheet131.xml.rels><?xml version="1.0" encoding="UTF-8"?>
<Relationships xmlns="http://schemas.openxmlformats.org/package/2006/relationships"><Relationship Id="rId1" Type="http://schemas.openxmlformats.org/officeDocument/2006/relationships/drawing" Target="../drawings/drawing123.xml"/>
</Relationships>
</file>

<file path=xl/worksheets/_rels/sheet132.xml.rels><?xml version="1.0" encoding="UTF-8"?>
<Relationships xmlns="http://schemas.openxmlformats.org/package/2006/relationships"><Relationship Id="rId1" Type="http://schemas.openxmlformats.org/officeDocument/2006/relationships/drawing" Target="../drawings/drawing124.xml"/>
</Relationships>
</file>

<file path=xl/worksheets/_rels/sheet133.xml.rels><?xml version="1.0" encoding="UTF-8"?>
<Relationships xmlns="http://schemas.openxmlformats.org/package/2006/relationships"><Relationship Id="rId1" Type="http://schemas.openxmlformats.org/officeDocument/2006/relationships/drawing" Target="../drawings/drawing125.xml"/>
</Relationships>
</file>

<file path=xl/worksheets/_rels/sheet134.xml.rels><?xml version="1.0" encoding="UTF-8"?>
<Relationships xmlns="http://schemas.openxmlformats.org/package/2006/relationships"><Relationship Id="rId1" Type="http://schemas.openxmlformats.org/officeDocument/2006/relationships/drawing" Target="../drawings/drawing126.xml"/>
</Relationships>
</file>

<file path=xl/worksheets/_rels/sheet135.xml.rels><?xml version="1.0" encoding="UTF-8"?>
<Relationships xmlns="http://schemas.openxmlformats.org/package/2006/relationships"><Relationship Id="rId1" Type="http://schemas.openxmlformats.org/officeDocument/2006/relationships/drawing" Target="../drawings/drawing127.xml"/>
</Relationships>
</file>

<file path=xl/worksheets/_rels/sheet136.xml.rels><?xml version="1.0" encoding="UTF-8"?>
<Relationships xmlns="http://schemas.openxmlformats.org/package/2006/relationships"><Relationship Id="rId1" Type="http://schemas.openxmlformats.org/officeDocument/2006/relationships/drawing" Target="../drawings/drawing128.xml"/>
</Relationships>
</file>

<file path=xl/worksheets/_rels/sheet137.xml.rels><?xml version="1.0" encoding="UTF-8"?>
<Relationships xmlns="http://schemas.openxmlformats.org/package/2006/relationships"><Relationship Id="rId1" Type="http://schemas.openxmlformats.org/officeDocument/2006/relationships/drawing" Target="../drawings/drawing129.xml"/>
</Relationships>
</file>

<file path=xl/worksheets/_rels/sheet138.xml.rels><?xml version="1.0" encoding="UTF-8"?>
<Relationships xmlns="http://schemas.openxmlformats.org/package/2006/relationships"><Relationship Id="rId1" Type="http://schemas.openxmlformats.org/officeDocument/2006/relationships/drawing" Target="../drawings/drawing130.xml"/>
</Relationships>
</file>

<file path=xl/worksheets/_rels/sheet139.xml.rels><?xml version="1.0" encoding="UTF-8"?>
<Relationships xmlns="http://schemas.openxmlformats.org/package/2006/relationships"><Relationship Id="rId1" Type="http://schemas.openxmlformats.org/officeDocument/2006/relationships/drawing" Target="../drawings/drawing131.xml"/>
</Relationships>
</file>

<file path=xl/worksheets/_rels/sheet140.xml.rels><?xml version="1.0" encoding="UTF-8"?>
<Relationships xmlns="http://schemas.openxmlformats.org/package/2006/relationships"><Relationship Id="rId1" Type="http://schemas.openxmlformats.org/officeDocument/2006/relationships/drawing" Target="../drawings/drawing132.xml"/>
</Relationships>
</file>

<file path=xl/worksheets/_rels/sheet141.xml.rels><?xml version="1.0" encoding="UTF-8"?>
<Relationships xmlns="http://schemas.openxmlformats.org/package/2006/relationships"><Relationship Id="rId1" Type="http://schemas.openxmlformats.org/officeDocument/2006/relationships/drawing" Target="../drawings/drawing133.xml"/>
</Relationships>
</file>

<file path=xl/worksheets/_rels/sheet142.xml.rels><?xml version="1.0" encoding="UTF-8"?>
<Relationships xmlns="http://schemas.openxmlformats.org/package/2006/relationships"><Relationship Id="rId1" Type="http://schemas.openxmlformats.org/officeDocument/2006/relationships/drawing" Target="../drawings/drawing134.xml"/>
</Relationships>
</file>

<file path=xl/worksheets/_rels/sheet143.xml.rels><?xml version="1.0" encoding="UTF-8"?>
<Relationships xmlns="http://schemas.openxmlformats.org/package/2006/relationships"><Relationship Id="rId1" Type="http://schemas.openxmlformats.org/officeDocument/2006/relationships/drawing" Target="../drawings/drawing135.xml"/>
</Relationships>
</file>

<file path=xl/worksheets/_rels/sheet144.xml.rels><?xml version="1.0" encoding="UTF-8"?>
<Relationships xmlns="http://schemas.openxmlformats.org/package/2006/relationships"><Relationship Id="rId1" Type="http://schemas.openxmlformats.org/officeDocument/2006/relationships/drawing" Target="../drawings/drawing136.xml"/>
</Relationships>
</file>

<file path=xl/worksheets/_rels/sheet145.xml.rels><?xml version="1.0" encoding="UTF-8"?>
<Relationships xmlns="http://schemas.openxmlformats.org/package/2006/relationships"><Relationship Id="rId1" Type="http://schemas.openxmlformats.org/officeDocument/2006/relationships/drawing" Target="../drawings/drawing137.xml"/>
</Relationships>
</file>

<file path=xl/worksheets/_rels/sheet146.xml.rels><?xml version="1.0" encoding="UTF-8"?>
<Relationships xmlns="http://schemas.openxmlformats.org/package/2006/relationships"><Relationship Id="rId1" Type="http://schemas.openxmlformats.org/officeDocument/2006/relationships/drawing" Target="../drawings/drawing138.xml"/>
</Relationships>
</file>

<file path=xl/worksheets/_rels/sheet147.xml.rels><?xml version="1.0" encoding="UTF-8"?>
<Relationships xmlns="http://schemas.openxmlformats.org/package/2006/relationships"><Relationship Id="rId1" Type="http://schemas.openxmlformats.org/officeDocument/2006/relationships/drawing" Target="../drawings/drawing139.xml"/>
</Relationships>
</file>

<file path=xl/worksheets/_rels/sheet148.xml.rels><?xml version="1.0" encoding="UTF-8"?>
<Relationships xmlns="http://schemas.openxmlformats.org/package/2006/relationships"><Relationship Id="rId1" Type="http://schemas.openxmlformats.org/officeDocument/2006/relationships/drawing" Target="../drawings/drawing140.xml"/>
</Relationships>
</file>

<file path=xl/worksheets/_rels/sheet149.xml.rels><?xml version="1.0" encoding="UTF-8"?>
<Relationships xmlns="http://schemas.openxmlformats.org/package/2006/relationships"><Relationship Id="rId1" Type="http://schemas.openxmlformats.org/officeDocument/2006/relationships/drawing" Target="../drawings/drawing141.xml"/>
</Relationships>
</file>

<file path=xl/worksheets/_rels/sheet150.xml.rels><?xml version="1.0" encoding="UTF-8"?>
<Relationships xmlns="http://schemas.openxmlformats.org/package/2006/relationships"><Relationship Id="rId1" Type="http://schemas.openxmlformats.org/officeDocument/2006/relationships/drawing" Target="../drawings/drawing142.xml"/>
</Relationships>
</file>

<file path=xl/worksheets/_rels/sheet151.xml.rels><?xml version="1.0" encoding="UTF-8"?>
<Relationships xmlns="http://schemas.openxmlformats.org/package/2006/relationships"><Relationship Id="rId1" Type="http://schemas.openxmlformats.org/officeDocument/2006/relationships/drawing" Target="../drawings/drawing143.xml"/>
</Relationships>
</file>

<file path=xl/worksheets/_rels/sheet152.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34.5" hidden="false" customHeight="true" outlineLevel="0" collapsed="false">
      <c r="A65" s="4" t="s">
        <v>140</v>
      </c>
      <c r="B65" s="3" t="s">
        <v>141</v>
      </c>
    </row>
    <row r="66" customFormat="false" ht="79.85" hidden="false" customHeight="false" outlineLevel="0" collapsed="false">
      <c r="A66" s="8" t="s">
        <v>142</v>
      </c>
      <c r="B66" s="3"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144</v>
      </c>
    </row>
    <row r="3" customFormat="false" ht="15" hidden="false" customHeight="true" outlineLevel="0" collapsed="false">
      <c r="A3" s="9" t="s">
        <v>55</v>
      </c>
      <c r="B3" s="9" t="s">
        <v>145</v>
      </c>
      <c r="C3" s="9" t="s">
        <v>146</v>
      </c>
      <c r="D3" s="9" t="s">
        <v>147</v>
      </c>
      <c r="E3" s="9" t="s">
        <v>148</v>
      </c>
      <c r="F3" s="9" t="s">
        <v>149</v>
      </c>
    </row>
    <row r="4" customFormat="false" ht="15" hidden="false" customHeight="true" outlineLevel="0" collapsed="false">
      <c r="A4" s="10" t="s">
        <v>150</v>
      </c>
      <c r="B4" s="11"/>
      <c r="C4" s="11"/>
      <c r="D4" s="11"/>
      <c r="E4" s="11"/>
      <c r="F4" s="11"/>
    </row>
    <row r="5" customFormat="false" ht="23.25" hidden="false" customHeight="true" outlineLevel="0" collapsed="false">
      <c r="A5" s="12" t="n">
        <v>1</v>
      </c>
      <c r="B5" s="12" t="s">
        <v>151</v>
      </c>
      <c r="C5" s="12" t="s">
        <v>152</v>
      </c>
      <c r="D5" s="12" t="s">
        <v>153</v>
      </c>
      <c r="E5" s="12" t="s">
        <v>154</v>
      </c>
      <c r="F5" s="12" t="s">
        <v>155</v>
      </c>
    </row>
    <row r="6" customFormat="false" ht="23.25" hidden="false" customHeight="true" outlineLevel="0" collapsed="false">
      <c r="A6" s="12" t="n">
        <v>2</v>
      </c>
      <c r="B6" s="12" t="s">
        <v>151</v>
      </c>
      <c r="C6" s="12" t="s">
        <v>156</v>
      </c>
      <c r="D6" s="12" t="s">
        <v>157</v>
      </c>
      <c r="E6" s="12" t="s">
        <v>158</v>
      </c>
      <c r="F6" s="12" t="s">
        <v>155</v>
      </c>
    </row>
    <row r="7" customFormat="false" ht="15" hidden="false" customHeight="true" outlineLevel="0" collapsed="false">
      <c r="A7" s="12" t="n">
        <v>3</v>
      </c>
      <c r="B7" s="12" t="s">
        <v>151</v>
      </c>
      <c r="C7" s="12" t="s">
        <v>159</v>
      </c>
      <c r="D7" s="12" t="s">
        <v>160</v>
      </c>
      <c r="E7" s="12" t="s">
        <v>161</v>
      </c>
      <c r="F7" s="12" t="s">
        <v>155</v>
      </c>
    </row>
    <row r="8" customFormat="false" ht="23.25" hidden="false" customHeight="true" outlineLevel="0" collapsed="false">
      <c r="A8" s="12" t="n">
        <v>4</v>
      </c>
      <c r="B8" s="12" t="s">
        <v>151</v>
      </c>
      <c r="C8" s="12" t="s">
        <v>162</v>
      </c>
      <c r="D8" s="12" t="s">
        <v>163</v>
      </c>
      <c r="E8" s="12" t="s">
        <v>158</v>
      </c>
      <c r="F8" s="12" t="s">
        <v>155</v>
      </c>
    </row>
    <row r="9" customFormat="false" ht="23.25" hidden="false" customHeight="true" outlineLevel="0" collapsed="false">
      <c r="A9" s="12" t="n">
        <v>5</v>
      </c>
      <c r="B9" s="12" t="s">
        <v>151</v>
      </c>
      <c r="C9" s="12" t="s">
        <v>164</v>
      </c>
      <c r="D9" s="12" t="s">
        <v>165</v>
      </c>
      <c r="E9" s="12" t="s">
        <v>166</v>
      </c>
      <c r="F9" s="12" t="s">
        <v>155</v>
      </c>
    </row>
    <row r="10" customFormat="false" ht="23.25" hidden="false" customHeight="true" outlineLevel="0" collapsed="false">
      <c r="A10" s="12" t="n">
        <v>6</v>
      </c>
      <c r="B10" s="12" t="s">
        <v>151</v>
      </c>
      <c r="C10" s="12" t="s">
        <v>167</v>
      </c>
      <c r="D10" s="12" t="s">
        <v>168</v>
      </c>
      <c r="E10" s="12" t="s">
        <v>169</v>
      </c>
      <c r="F10" s="12" t="s">
        <v>155</v>
      </c>
    </row>
    <row r="11" customFormat="false" ht="23.25" hidden="false" customHeight="true" outlineLevel="0" collapsed="false">
      <c r="A11" s="12" t="n">
        <v>7</v>
      </c>
      <c r="B11" s="12" t="s">
        <v>151</v>
      </c>
      <c r="C11" s="12" t="s">
        <v>170</v>
      </c>
      <c r="D11" s="12" t="s">
        <v>171</v>
      </c>
      <c r="E11" s="12" t="s">
        <v>154</v>
      </c>
      <c r="F11" s="12" t="s">
        <v>155</v>
      </c>
    </row>
    <row r="12" customFormat="false" ht="23.25" hidden="false" customHeight="true" outlineLevel="0" collapsed="false">
      <c r="A12" s="12" t="n">
        <v>8</v>
      </c>
      <c r="B12" s="12" t="s">
        <v>151</v>
      </c>
      <c r="C12" s="12" t="s">
        <v>172</v>
      </c>
      <c r="D12" s="12" t="s">
        <v>173</v>
      </c>
      <c r="E12" s="12" t="s">
        <v>154</v>
      </c>
      <c r="F12" s="12" t="s">
        <v>155</v>
      </c>
    </row>
    <row r="13" customFormat="false" ht="23.25" hidden="false" customHeight="true" outlineLevel="0" collapsed="false">
      <c r="A13" s="12" t="n">
        <v>9</v>
      </c>
      <c r="B13" s="12" t="s">
        <v>151</v>
      </c>
      <c r="C13" s="12" t="s">
        <v>174</v>
      </c>
      <c r="D13" s="12" t="s">
        <v>175</v>
      </c>
      <c r="E13" s="12" t="s">
        <v>176</v>
      </c>
      <c r="F13" s="12" t="s">
        <v>155</v>
      </c>
    </row>
    <row r="14" customFormat="false" ht="34.5" hidden="false" customHeight="true" outlineLevel="0" collapsed="false">
      <c r="A14" s="12" t="n">
        <v>10</v>
      </c>
      <c r="B14" s="12" t="s">
        <v>151</v>
      </c>
      <c r="C14" s="12" t="s">
        <v>177</v>
      </c>
      <c r="D14" s="12" t="s">
        <v>178</v>
      </c>
      <c r="E14" s="12" t="s">
        <v>179</v>
      </c>
      <c r="F14" s="12" t="s">
        <v>155</v>
      </c>
    </row>
    <row r="15" customFormat="false" ht="23.25" hidden="false" customHeight="true" outlineLevel="0" collapsed="false">
      <c r="A15" s="12" t="n">
        <v>11</v>
      </c>
      <c r="B15" s="12" t="s">
        <v>151</v>
      </c>
      <c r="C15" s="12" t="s">
        <v>180</v>
      </c>
      <c r="D15" s="12"/>
      <c r="E15" s="12" t="s">
        <v>15</v>
      </c>
      <c r="F15" s="12" t="s">
        <v>155</v>
      </c>
    </row>
    <row r="16" customFormat="false" ht="15" hidden="false" customHeight="true" outlineLevel="0" collapsed="false">
      <c r="A16" s="10" t="s">
        <v>181</v>
      </c>
      <c r="B16" s="11"/>
      <c r="C16" s="11"/>
      <c r="D16" s="11"/>
      <c r="E16" s="11"/>
      <c r="F16" s="11"/>
    </row>
    <row r="17" customFormat="false" ht="34.5" hidden="false" customHeight="true" outlineLevel="0" collapsed="false">
      <c r="A17" s="12" t="n">
        <v>12</v>
      </c>
      <c r="B17" s="12" t="s">
        <v>182</v>
      </c>
      <c r="C17" s="12" t="s">
        <v>183</v>
      </c>
      <c r="D17" s="12" t="s">
        <v>184</v>
      </c>
      <c r="E17" s="12" t="s">
        <v>15</v>
      </c>
      <c r="F17" s="12" t="s">
        <v>155</v>
      </c>
    </row>
    <row r="18" customFormat="false" ht="45.75" hidden="false" customHeight="true" outlineLevel="0" collapsed="false">
      <c r="A18" s="12" t="n">
        <v>13</v>
      </c>
      <c r="B18" s="12" t="s">
        <v>182</v>
      </c>
      <c r="C18" s="12" t="s">
        <v>185</v>
      </c>
      <c r="D18" s="12" t="s">
        <v>186</v>
      </c>
      <c r="E18" s="12" t="s">
        <v>179</v>
      </c>
      <c r="F18" s="12" t="s">
        <v>155</v>
      </c>
    </row>
    <row r="19" customFormat="false" ht="23.25" hidden="false" customHeight="true" outlineLevel="0" collapsed="false">
      <c r="A19" s="12" t="n">
        <v>14</v>
      </c>
      <c r="B19" s="12" t="s">
        <v>182</v>
      </c>
      <c r="C19" s="12" t="s">
        <v>187</v>
      </c>
      <c r="D19" s="12" t="s">
        <v>188</v>
      </c>
      <c r="E19" s="12" t="s">
        <v>154</v>
      </c>
      <c r="F19" s="12" t="s">
        <v>155</v>
      </c>
    </row>
    <row r="20" customFormat="false" ht="34.5" hidden="false" customHeight="true" outlineLevel="0" collapsed="false">
      <c r="A20" s="12" t="n">
        <v>15</v>
      </c>
      <c r="B20" s="12" t="s">
        <v>182</v>
      </c>
      <c r="C20" s="12" t="s">
        <v>189</v>
      </c>
      <c r="D20" s="12"/>
      <c r="E20" s="12" t="s">
        <v>190</v>
      </c>
      <c r="F20" s="12" t="s">
        <v>155</v>
      </c>
    </row>
    <row r="21" customFormat="false" ht="15" hidden="false" customHeight="true" outlineLevel="0" collapsed="false">
      <c r="A21" s="12" t="n">
        <v>16</v>
      </c>
      <c r="B21" s="12" t="s">
        <v>182</v>
      </c>
      <c r="C21" s="12" t="s">
        <v>191</v>
      </c>
      <c r="D21" s="12" t="s">
        <v>192</v>
      </c>
      <c r="E21" s="12" t="s">
        <v>176</v>
      </c>
      <c r="F21" s="12" t="s">
        <v>155</v>
      </c>
    </row>
    <row r="22" customFormat="false" ht="23.25" hidden="false" customHeight="true" outlineLevel="0" collapsed="false">
      <c r="A22" s="12" t="n">
        <v>17</v>
      </c>
      <c r="B22" s="12" t="s">
        <v>182</v>
      </c>
      <c r="C22" s="12" t="s">
        <v>193</v>
      </c>
      <c r="D22" s="12" t="s">
        <v>194</v>
      </c>
      <c r="E22" s="12" t="s">
        <v>195</v>
      </c>
      <c r="F22" s="12" t="s">
        <v>155</v>
      </c>
    </row>
    <row r="23" customFormat="false" ht="15" hidden="false" customHeight="true" outlineLevel="0" collapsed="false">
      <c r="A23" s="12" t="n">
        <v>18</v>
      </c>
      <c r="B23" s="12" t="s">
        <v>182</v>
      </c>
      <c r="C23" s="12" t="s">
        <v>196</v>
      </c>
      <c r="D23" s="12" t="s">
        <v>197</v>
      </c>
      <c r="E23" s="12" t="s">
        <v>198</v>
      </c>
      <c r="F23" s="12" t="s">
        <v>155</v>
      </c>
    </row>
    <row r="24" customFormat="false" ht="23.25" hidden="false" customHeight="true" outlineLevel="0" collapsed="false">
      <c r="A24" s="12" t="n">
        <v>19</v>
      </c>
      <c r="B24" s="12" t="s">
        <v>182</v>
      </c>
      <c r="C24" s="12" t="s">
        <v>199</v>
      </c>
      <c r="D24" s="12"/>
      <c r="E24" s="12" t="s">
        <v>195</v>
      </c>
      <c r="F24" s="12" t="s">
        <v>155</v>
      </c>
    </row>
    <row r="25" customFormat="false" ht="23.25" hidden="false" customHeight="true" outlineLevel="0" collapsed="false">
      <c r="A25" s="12" t="n">
        <v>20</v>
      </c>
      <c r="B25" s="12" t="s">
        <v>182</v>
      </c>
      <c r="C25" s="12" t="s">
        <v>200</v>
      </c>
      <c r="D25" s="12" t="s">
        <v>201</v>
      </c>
      <c r="E25" s="12" t="s">
        <v>154</v>
      </c>
      <c r="F25" s="12" t="s">
        <v>155</v>
      </c>
    </row>
    <row r="26" customFormat="false" ht="23.25" hidden="false" customHeight="true" outlineLevel="0" collapsed="false">
      <c r="A26" s="12" t="n">
        <v>21</v>
      </c>
      <c r="B26" s="12" t="s">
        <v>182</v>
      </c>
      <c r="C26" s="12" t="s">
        <v>202</v>
      </c>
      <c r="D26" s="12" t="s">
        <v>203</v>
      </c>
      <c r="E26" s="12" t="s">
        <v>204</v>
      </c>
      <c r="F26" s="12" t="s">
        <v>155</v>
      </c>
    </row>
    <row r="27" customFormat="false" ht="15" hidden="false" customHeight="true" outlineLevel="0" collapsed="false">
      <c r="A27" s="10" t="s">
        <v>205</v>
      </c>
      <c r="B27" s="11"/>
      <c r="C27" s="11"/>
      <c r="D27" s="11"/>
      <c r="E27" s="11"/>
      <c r="F27" s="11"/>
    </row>
    <row r="28" customFormat="false" ht="23.25" hidden="false" customHeight="true" outlineLevel="0" collapsed="false">
      <c r="A28" s="12" t="n">
        <v>22</v>
      </c>
      <c r="B28" s="12" t="s">
        <v>206</v>
      </c>
      <c r="C28" s="12" t="s">
        <v>207</v>
      </c>
      <c r="D28" s="12" t="s">
        <v>208</v>
      </c>
      <c r="E28" s="12" t="s">
        <v>209</v>
      </c>
      <c r="F28" s="12" t="s">
        <v>155</v>
      </c>
    </row>
    <row r="29" customFormat="false" ht="23.25" hidden="false" customHeight="true" outlineLevel="0" collapsed="false">
      <c r="A29" s="12" t="n">
        <v>23</v>
      </c>
      <c r="B29" s="12" t="s">
        <v>206</v>
      </c>
      <c r="C29" s="12" t="s">
        <v>210</v>
      </c>
      <c r="D29" s="12" t="s">
        <v>211</v>
      </c>
      <c r="E29" s="12" t="s">
        <v>212</v>
      </c>
      <c r="F29" s="12" t="s">
        <v>155</v>
      </c>
    </row>
    <row r="30" customFormat="false" ht="23.25" hidden="false" customHeight="true" outlineLevel="0" collapsed="false">
      <c r="A30" s="12" t="n">
        <v>24</v>
      </c>
      <c r="B30" s="12" t="s">
        <v>206</v>
      </c>
      <c r="C30" s="12" t="s">
        <v>213</v>
      </c>
      <c r="D30" s="12" t="s">
        <v>214</v>
      </c>
      <c r="E30" s="12" t="s">
        <v>176</v>
      </c>
      <c r="F30" s="12" t="s">
        <v>155</v>
      </c>
    </row>
    <row r="31" customFormat="false" ht="23.25" hidden="false" customHeight="true" outlineLevel="0" collapsed="false">
      <c r="A31" s="12" t="n">
        <v>25</v>
      </c>
      <c r="B31" s="12" t="s">
        <v>206</v>
      </c>
      <c r="C31" s="12" t="s">
        <v>215</v>
      </c>
      <c r="D31" s="12" t="s">
        <v>216</v>
      </c>
      <c r="E31" s="12" t="s">
        <v>176</v>
      </c>
      <c r="F31" s="12" t="s">
        <v>155</v>
      </c>
    </row>
    <row r="32" customFormat="false" ht="23.25" hidden="false" customHeight="true" outlineLevel="0" collapsed="false">
      <c r="A32" s="12" t="n">
        <v>26</v>
      </c>
      <c r="B32" s="12" t="s">
        <v>206</v>
      </c>
      <c r="C32" s="12" t="s">
        <v>217</v>
      </c>
      <c r="D32" s="12" t="s">
        <v>218</v>
      </c>
      <c r="E32" s="12" t="s">
        <v>176</v>
      </c>
      <c r="F32" s="12" t="s">
        <v>155</v>
      </c>
    </row>
    <row r="33" customFormat="false" ht="23.25" hidden="false" customHeight="true" outlineLevel="0" collapsed="false">
      <c r="A33" s="13" t="n">
        <v>27</v>
      </c>
      <c r="B33" s="13" t="s">
        <v>206</v>
      </c>
      <c r="C33" s="13" t="s">
        <v>219</v>
      </c>
      <c r="D33" s="13" t="s">
        <v>220</v>
      </c>
      <c r="E33" s="13" t="s">
        <v>154</v>
      </c>
      <c r="F33" s="13" t="s">
        <v>221</v>
      </c>
    </row>
    <row r="34" customFormat="false" ht="34.5" hidden="false" customHeight="true" outlineLevel="0" collapsed="false">
      <c r="A34" s="12" t="n">
        <v>28</v>
      </c>
      <c r="B34" s="12" t="s">
        <v>206</v>
      </c>
      <c r="C34" s="12" t="s">
        <v>222</v>
      </c>
      <c r="D34" s="12"/>
      <c r="E34" s="12" t="s">
        <v>176</v>
      </c>
      <c r="F34" s="12" t="s">
        <v>155</v>
      </c>
    </row>
    <row r="35" customFormat="false" ht="23.25" hidden="false" customHeight="true" outlineLevel="0" collapsed="false">
      <c r="A35" s="12" t="n">
        <v>29</v>
      </c>
      <c r="B35" s="12" t="s">
        <v>206</v>
      </c>
      <c r="C35" s="12" t="s">
        <v>223</v>
      </c>
      <c r="D35" s="12" t="s">
        <v>224</v>
      </c>
      <c r="E35" s="12" t="s">
        <v>198</v>
      </c>
      <c r="F35" s="12" t="s">
        <v>155</v>
      </c>
    </row>
    <row r="36" customFormat="false" ht="15" hidden="false" customHeight="true" outlineLevel="0" collapsed="false">
      <c r="A36" s="10" t="s">
        <v>225</v>
      </c>
      <c r="B36" s="11"/>
      <c r="C36" s="11"/>
      <c r="D36" s="11"/>
      <c r="E36" s="11"/>
      <c r="F36" s="11"/>
    </row>
    <row r="37" customFormat="false" ht="23.25" hidden="false" customHeight="true" outlineLevel="0" collapsed="false">
      <c r="A37" s="12" t="n">
        <v>30</v>
      </c>
      <c r="B37" s="12" t="s">
        <v>226</v>
      </c>
      <c r="C37" s="12" t="s">
        <v>227</v>
      </c>
      <c r="D37" s="12" t="s">
        <v>228</v>
      </c>
      <c r="E37" s="12" t="s">
        <v>190</v>
      </c>
      <c r="F37" s="12" t="s">
        <v>155</v>
      </c>
    </row>
    <row r="38" customFormat="false" ht="23.25" hidden="false" customHeight="true" outlineLevel="0" collapsed="false">
      <c r="A38" s="12" t="n">
        <v>31</v>
      </c>
      <c r="B38" s="12" t="s">
        <v>226</v>
      </c>
      <c r="C38" s="12" t="s">
        <v>229</v>
      </c>
      <c r="D38" s="12" t="s">
        <v>230</v>
      </c>
      <c r="E38" s="12" t="s">
        <v>169</v>
      </c>
      <c r="F38" s="12" t="s">
        <v>155</v>
      </c>
    </row>
    <row r="39" customFormat="false" ht="23.25" hidden="false" customHeight="true" outlineLevel="0" collapsed="false">
      <c r="A39" s="12" t="n">
        <v>32</v>
      </c>
      <c r="B39" s="12" t="s">
        <v>226</v>
      </c>
      <c r="C39" s="12" t="s">
        <v>231</v>
      </c>
      <c r="D39" s="12" t="s">
        <v>232</v>
      </c>
      <c r="E39" s="12" t="s">
        <v>15</v>
      </c>
      <c r="F39" s="12" t="s">
        <v>155</v>
      </c>
    </row>
    <row r="40" customFormat="false" ht="34.5" hidden="false" customHeight="true" outlineLevel="0" collapsed="false">
      <c r="A40" s="12" t="n">
        <v>33</v>
      </c>
      <c r="B40" s="12" t="s">
        <v>226</v>
      </c>
      <c r="C40" s="12" t="s">
        <v>233</v>
      </c>
      <c r="D40" s="12" t="s">
        <v>234</v>
      </c>
      <c r="E40" s="12" t="s">
        <v>176</v>
      </c>
      <c r="F40" s="12" t="s">
        <v>155</v>
      </c>
    </row>
    <row r="41" customFormat="false" ht="34.5" hidden="false" customHeight="true" outlineLevel="0" collapsed="false">
      <c r="A41" s="12" t="n">
        <v>34</v>
      </c>
      <c r="B41" s="12" t="s">
        <v>226</v>
      </c>
      <c r="C41" s="12" t="s">
        <v>235</v>
      </c>
      <c r="D41" s="12" t="s">
        <v>236</v>
      </c>
      <c r="E41" s="12" t="s">
        <v>169</v>
      </c>
      <c r="F41" s="12" t="s">
        <v>155</v>
      </c>
    </row>
    <row r="42" customFormat="false" ht="15" hidden="false" customHeight="true" outlineLevel="0" collapsed="false">
      <c r="A42" s="10" t="s">
        <v>237</v>
      </c>
      <c r="B42" s="11"/>
      <c r="C42" s="11"/>
      <c r="D42" s="11"/>
      <c r="E42" s="11"/>
      <c r="F42" s="11"/>
    </row>
    <row r="43" customFormat="false" ht="15" hidden="false" customHeight="true" outlineLevel="0" collapsed="false">
      <c r="A43" s="12" t="n">
        <v>35</v>
      </c>
      <c r="B43" s="12" t="s">
        <v>238</v>
      </c>
      <c r="C43" s="12" t="s">
        <v>239</v>
      </c>
      <c r="D43" s="12" t="s">
        <v>240</v>
      </c>
      <c r="E43" s="12" t="s">
        <v>15</v>
      </c>
      <c r="F43" s="12" t="s">
        <v>155</v>
      </c>
    </row>
    <row r="44" customFormat="false" ht="23.25" hidden="false" customHeight="true" outlineLevel="0" collapsed="false">
      <c r="A44" s="12" t="n">
        <v>36</v>
      </c>
      <c r="B44" s="12" t="s">
        <v>238</v>
      </c>
      <c r="C44" s="12" t="s">
        <v>241</v>
      </c>
      <c r="D44" s="12" t="s">
        <v>242</v>
      </c>
      <c r="E44" s="12" t="s">
        <v>243</v>
      </c>
      <c r="F44" s="12" t="s">
        <v>155</v>
      </c>
    </row>
    <row r="45" customFormat="false" ht="23.25" hidden="false" customHeight="true" outlineLevel="0" collapsed="false">
      <c r="A45" s="12" t="n">
        <v>37</v>
      </c>
      <c r="B45" s="12" t="s">
        <v>238</v>
      </c>
      <c r="C45" s="12" t="s">
        <v>244</v>
      </c>
      <c r="D45" s="12" t="s">
        <v>245</v>
      </c>
      <c r="E45" s="12" t="s">
        <v>154</v>
      </c>
      <c r="F45" s="12" t="s">
        <v>155</v>
      </c>
    </row>
    <row r="46" customFormat="false" ht="23.25" hidden="false" customHeight="true" outlineLevel="0" collapsed="false">
      <c r="A46" s="12" t="n">
        <v>38</v>
      </c>
      <c r="B46" s="12" t="s">
        <v>238</v>
      </c>
      <c r="C46" s="12" t="s">
        <v>246</v>
      </c>
      <c r="D46" s="12"/>
      <c r="E46" s="12" t="s">
        <v>154</v>
      </c>
      <c r="F46" s="12" t="s">
        <v>247</v>
      </c>
    </row>
    <row r="47" customFormat="false" ht="23.25" hidden="false" customHeight="true" outlineLevel="0" collapsed="false">
      <c r="A47" s="12" t="n">
        <v>39</v>
      </c>
      <c r="B47" s="12" t="s">
        <v>238</v>
      </c>
      <c r="C47" s="12" t="s">
        <v>248</v>
      </c>
      <c r="D47" s="12" t="s">
        <v>249</v>
      </c>
      <c r="E47" s="12" t="s">
        <v>154</v>
      </c>
      <c r="F47" s="12" t="s">
        <v>155</v>
      </c>
    </row>
    <row r="48" customFormat="false" ht="15" hidden="false" customHeight="true" outlineLevel="0" collapsed="false">
      <c r="A48" s="10" t="s">
        <v>250</v>
      </c>
      <c r="B48" s="11"/>
      <c r="C48" s="11"/>
      <c r="D48" s="11"/>
      <c r="E48" s="11"/>
      <c r="F48" s="11"/>
    </row>
    <row r="49" customFormat="false" ht="15" hidden="false" customHeight="true" outlineLevel="0" collapsed="false">
      <c r="A49" s="12" t="n">
        <v>40</v>
      </c>
      <c r="B49" s="12" t="s">
        <v>251</v>
      </c>
      <c r="C49" s="12" t="s">
        <v>252</v>
      </c>
      <c r="D49" s="12" t="s">
        <v>253</v>
      </c>
      <c r="E49" s="12" t="s">
        <v>15</v>
      </c>
      <c r="F49" s="12" t="s">
        <v>155</v>
      </c>
    </row>
    <row r="50" customFormat="false" ht="23.25" hidden="false" customHeight="true" outlineLevel="0" collapsed="false">
      <c r="A50" s="12" t="n">
        <v>41</v>
      </c>
      <c r="B50" s="12" t="s">
        <v>251</v>
      </c>
      <c r="C50" s="12" t="s">
        <v>254</v>
      </c>
      <c r="D50" s="12" t="s">
        <v>255</v>
      </c>
      <c r="E50" s="12" t="s">
        <v>15</v>
      </c>
      <c r="F50" s="12" t="s">
        <v>155</v>
      </c>
    </row>
    <row r="51" customFormat="false" ht="15" hidden="false" customHeight="true" outlineLevel="0" collapsed="false">
      <c r="A51" s="12" t="n">
        <v>42</v>
      </c>
      <c r="B51" s="12" t="s">
        <v>251</v>
      </c>
      <c r="C51" s="12" t="s">
        <v>256</v>
      </c>
      <c r="D51" s="12"/>
      <c r="E51" s="12" t="s">
        <v>15</v>
      </c>
      <c r="F51" s="12" t="s">
        <v>155</v>
      </c>
    </row>
    <row r="52" customFormat="false" ht="34.5" hidden="false" customHeight="true" outlineLevel="0" collapsed="false">
      <c r="A52" s="12" t="n">
        <v>43</v>
      </c>
      <c r="B52" s="12" t="s">
        <v>251</v>
      </c>
      <c r="C52" s="12" t="s">
        <v>257</v>
      </c>
      <c r="D52" s="12" t="s">
        <v>258</v>
      </c>
      <c r="E52" s="12" t="s">
        <v>259</v>
      </c>
      <c r="F52" s="12" t="s">
        <v>155</v>
      </c>
    </row>
    <row r="53" customFormat="false" ht="15" hidden="false" customHeight="true" outlineLevel="0" collapsed="false">
      <c r="A53" s="10" t="s">
        <v>260</v>
      </c>
      <c r="B53" s="11"/>
      <c r="C53" s="11"/>
      <c r="D53" s="11"/>
      <c r="E53" s="11"/>
      <c r="F53" s="11"/>
    </row>
    <row r="54" customFormat="false" ht="15" hidden="false" customHeight="true" outlineLevel="0" collapsed="false">
      <c r="A54" s="12" t="n">
        <v>44</v>
      </c>
      <c r="B54" s="12" t="s">
        <v>261</v>
      </c>
      <c r="C54" s="12" t="s">
        <v>262</v>
      </c>
      <c r="D54" s="12"/>
      <c r="E54" s="12" t="s">
        <v>15</v>
      </c>
      <c r="F54" s="12" t="s">
        <v>155</v>
      </c>
    </row>
    <row r="55" customFormat="false" ht="34.5" hidden="false" customHeight="true" outlineLevel="0" collapsed="false">
      <c r="A55" s="12" t="n">
        <v>45</v>
      </c>
      <c r="B55" s="12" t="s">
        <v>261</v>
      </c>
      <c r="C55" s="12" t="s">
        <v>263</v>
      </c>
      <c r="D55" s="12" t="s">
        <v>264</v>
      </c>
      <c r="E55" s="12" t="s">
        <v>154</v>
      </c>
      <c r="F55" s="12" t="s">
        <v>265</v>
      </c>
    </row>
    <row r="56" customFormat="false" ht="23.25" hidden="false" customHeight="true" outlineLevel="0" collapsed="false">
      <c r="A56" s="12" t="n">
        <v>46</v>
      </c>
      <c r="B56" s="12" t="s">
        <v>261</v>
      </c>
      <c r="C56" s="12" t="s">
        <v>266</v>
      </c>
      <c r="D56" s="12" t="s">
        <v>267</v>
      </c>
      <c r="E56" s="12" t="s">
        <v>259</v>
      </c>
      <c r="F56" s="12" t="s">
        <v>155</v>
      </c>
    </row>
    <row r="57" customFormat="false" ht="15" hidden="false" customHeight="true" outlineLevel="0" collapsed="false">
      <c r="A57" s="10" t="s">
        <v>268</v>
      </c>
      <c r="B57" s="11"/>
      <c r="C57" s="11"/>
      <c r="D57" s="11"/>
      <c r="E57" s="11"/>
      <c r="F57" s="11"/>
    </row>
    <row r="58" customFormat="false" ht="23.25" hidden="false" customHeight="true" outlineLevel="0" collapsed="false">
      <c r="A58" s="12" t="n">
        <v>47</v>
      </c>
      <c r="B58" s="12" t="s">
        <v>269</v>
      </c>
      <c r="C58" s="12" t="s">
        <v>270</v>
      </c>
      <c r="D58" s="12" t="s">
        <v>271</v>
      </c>
      <c r="E58" s="12" t="s">
        <v>154</v>
      </c>
      <c r="F58" s="12" t="s">
        <v>155</v>
      </c>
    </row>
    <row r="59" customFormat="false" ht="34.5" hidden="false" customHeight="true" outlineLevel="0" collapsed="false">
      <c r="A59" s="12" t="n">
        <v>48</v>
      </c>
      <c r="B59" s="12" t="s">
        <v>269</v>
      </c>
      <c r="C59" s="12" t="s">
        <v>272</v>
      </c>
      <c r="D59" s="12" t="s">
        <v>273</v>
      </c>
      <c r="E59" s="12" t="s">
        <v>154</v>
      </c>
      <c r="F59" s="12" t="s">
        <v>155</v>
      </c>
    </row>
    <row r="60" customFormat="false" ht="45.75" hidden="false" customHeight="true" outlineLevel="0" collapsed="false">
      <c r="A60" s="12" t="n">
        <v>49</v>
      </c>
      <c r="B60" s="12" t="s">
        <v>269</v>
      </c>
      <c r="C60" s="12" t="s">
        <v>274</v>
      </c>
      <c r="D60" s="12" t="s">
        <v>275</v>
      </c>
      <c r="E60" s="12" t="s">
        <v>195</v>
      </c>
      <c r="F60" s="12" t="s">
        <v>155</v>
      </c>
    </row>
    <row r="61" customFormat="false" ht="23.25" hidden="false" customHeight="true" outlineLevel="0" collapsed="false">
      <c r="A61" s="12" t="n">
        <v>50</v>
      </c>
      <c r="B61" s="12" t="s">
        <v>269</v>
      </c>
      <c r="C61" s="12" t="s">
        <v>276</v>
      </c>
      <c r="D61" s="12"/>
      <c r="E61" s="12" t="s">
        <v>154</v>
      </c>
      <c r="F61" s="12" t="s">
        <v>155</v>
      </c>
    </row>
    <row r="62" customFormat="false" ht="34.5" hidden="false" customHeight="true" outlineLevel="0" collapsed="false">
      <c r="A62" s="12" t="n">
        <v>51</v>
      </c>
      <c r="B62" s="12" t="s">
        <v>269</v>
      </c>
      <c r="C62" s="12" t="s">
        <v>277</v>
      </c>
      <c r="D62" s="12"/>
      <c r="E62" s="12" t="s">
        <v>154</v>
      </c>
      <c r="F62" s="12" t="s">
        <v>155</v>
      </c>
    </row>
    <row r="63" customFormat="false" ht="34.5" hidden="false" customHeight="true" outlineLevel="0" collapsed="false">
      <c r="A63" s="12" t="n">
        <v>52</v>
      </c>
      <c r="B63" s="12" t="s">
        <v>269</v>
      </c>
      <c r="C63" s="12" t="s">
        <v>278</v>
      </c>
      <c r="D63" s="12" t="s">
        <v>279</v>
      </c>
      <c r="E63" s="12" t="s">
        <v>198</v>
      </c>
      <c r="F63" s="12" t="s">
        <v>155</v>
      </c>
    </row>
    <row r="64" customFormat="false" ht="23.25" hidden="false" customHeight="true" outlineLevel="0" collapsed="false">
      <c r="A64" s="12" t="n">
        <v>53</v>
      </c>
      <c r="B64" s="12" t="s">
        <v>269</v>
      </c>
      <c r="C64" s="12" t="s">
        <v>280</v>
      </c>
      <c r="D64" s="12" t="s">
        <v>281</v>
      </c>
      <c r="E64" s="12" t="s">
        <v>282</v>
      </c>
      <c r="F64" s="12" t="s">
        <v>155</v>
      </c>
    </row>
    <row r="65" customFormat="false" ht="23.25" hidden="false" customHeight="true" outlineLevel="0" collapsed="false">
      <c r="A65" s="12" t="n">
        <v>54</v>
      </c>
      <c r="B65" s="12" t="s">
        <v>269</v>
      </c>
      <c r="C65" s="12" t="s">
        <v>283</v>
      </c>
      <c r="D65" s="12" t="s">
        <v>284</v>
      </c>
      <c r="E65" s="12" t="s">
        <v>154</v>
      </c>
      <c r="F65" s="12" t="s">
        <v>155</v>
      </c>
    </row>
    <row r="66" customFormat="false" ht="23.25" hidden="false" customHeight="true" outlineLevel="0" collapsed="false">
      <c r="A66" s="12" t="n">
        <v>55</v>
      </c>
      <c r="B66" s="12" t="s">
        <v>269</v>
      </c>
      <c r="C66" s="12" t="s">
        <v>285</v>
      </c>
      <c r="D66" s="12" t="s">
        <v>286</v>
      </c>
      <c r="E66" s="12" t="s">
        <v>169</v>
      </c>
      <c r="F66" s="12" t="s">
        <v>155</v>
      </c>
    </row>
    <row r="67" customFormat="false" ht="23.25" hidden="false" customHeight="true" outlineLevel="0" collapsed="false">
      <c r="A67" s="13" t="n">
        <v>56</v>
      </c>
      <c r="B67" s="13" t="s">
        <v>269</v>
      </c>
      <c r="C67" s="13" t="s">
        <v>287</v>
      </c>
      <c r="D67" s="13" t="s">
        <v>288</v>
      </c>
      <c r="E67" s="13" t="s">
        <v>289</v>
      </c>
      <c r="F67" s="13" t="s">
        <v>290</v>
      </c>
    </row>
    <row r="68" customFormat="false" ht="23.25" hidden="false" customHeight="true" outlineLevel="0" collapsed="false">
      <c r="A68" s="12" t="n">
        <v>57</v>
      </c>
      <c r="B68" s="12" t="s">
        <v>269</v>
      </c>
      <c r="C68" s="12" t="s">
        <v>291</v>
      </c>
      <c r="D68" s="12"/>
      <c r="E68" s="12" t="s">
        <v>176</v>
      </c>
      <c r="F68" s="12" t="s">
        <v>155</v>
      </c>
    </row>
    <row r="69" customFormat="false" ht="34.5" hidden="false" customHeight="true" outlineLevel="0" collapsed="false">
      <c r="A69" s="12" t="n">
        <v>58</v>
      </c>
      <c r="B69" s="12" t="s">
        <v>269</v>
      </c>
      <c r="C69" s="12" t="s">
        <v>292</v>
      </c>
      <c r="D69" s="12" t="s">
        <v>293</v>
      </c>
      <c r="E69" s="12" t="s">
        <v>294</v>
      </c>
      <c r="F69" s="12" t="s">
        <v>155</v>
      </c>
    </row>
    <row r="70" customFormat="false" ht="23.25" hidden="false" customHeight="true" outlineLevel="0" collapsed="false">
      <c r="A70" s="12" t="n">
        <v>59</v>
      </c>
      <c r="B70" s="12" t="s">
        <v>269</v>
      </c>
      <c r="C70" s="12" t="s">
        <v>295</v>
      </c>
      <c r="D70" s="12"/>
      <c r="E70" s="12" t="s">
        <v>169</v>
      </c>
      <c r="F70" s="12" t="s">
        <v>155</v>
      </c>
    </row>
    <row r="71" customFormat="false" ht="15" hidden="false" customHeight="true" outlineLevel="0" collapsed="false">
      <c r="A71" s="10" t="s">
        <v>296</v>
      </c>
      <c r="B71" s="11"/>
      <c r="C71" s="11"/>
      <c r="D71" s="11"/>
      <c r="E71" s="11"/>
      <c r="F71" s="11"/>
    </row>
    <row r="72" customFormat="false" ht="34.5" hidden="false" customHeight="true" outlineLevel="0" collapsed="false">
      <c r="A72" s="12" t="n">
        <v>60</v>
      </c>
      <c r="B72" s="12" t="s">
        <v>297</v>
      </c>
      <c r="C72" s="12" t="s">
        <v>298</v>
      </c>
      <c r="D72" s="12" t="s">
        <v>299</v>
      </c>
      <c r="E72" s="12" t="s">
        <v>158</v>
      </c>
      <c r="F72" s="12" t="s">
        <v>155</v>
      </c>
    </row>
    <row r="73" customFormat="false" ht="34.5" hidden="false" customHeight="true" outlineLevel="0" collapsed="false">
      <c r="A73" s="12" t="n">
        <v>61</v>
      </c>
      <c r="B73" s="12" t="s">
        <v>297</v>
      </c>
      <c r="C73" s="12" t="s">
        <v>300</v>
      </c>
      <c r="D73" s="12" t="s">
        <v>301</v>
      </c>
      <c r="E73" s="12" t="s">
        <v>158</v>
      </c>
      <c r="F73" s="12" t="s">
        <v>155</v>
      </c>
    </row>
    <row r="74" customFormat="false" ht="23.25" hidden="false" customHeight="true" outlineLevel="0" collapsed="false">
      <c r="A74" s="12" t="n">
        <v>62</v>
      </c>
      <c r="B74" s="12" t="s">
        <v>226</v>
      </c>
      <c r="C74" s="12" t="s">
        <v>302</v>
      </c>
      <c r="D74" s="12" t="s">
        <v>303</v>
      </c>
      <c r="E74" s="12" t="s">
        <v>179</v>
      </c>
      <c r="F74" s="12" t="s">
        <v>155</v>
      </c>
    </row>
    <row r="75" customFormat="false" ht="34.5" hidden="false" customHeight="true" outlineLevel="0" collapsed="false">
      <c r="A75" s="12" t="n">
        <v>63</v>
      </c>
      <c r="B75" s="12" t="s">
        <v>269</v>
      </c>
      <c r="C75" s="12" t="s">
        <v>304</v>
      </c>
      <c r="D75" s="12" t="s">
        <v>305</v>
      </c>
      <c r="E75" s="12" t="s">
        <v>179</v>
      </c>
      <c r="F75" s="12" t="s">
        <v>155</v>
      </c>
    </row>
    <row r="76" customFormat="false" ht="23.25" hidden="false" customHeight="true" outlineLevel="0" collapsed="false">
      <c r="A76" s="12" t="n">
        <v>64</v>
      </c>
      <c r="B76" s="12" t="s">
        <v>306</v>
      </c>
      <c r="C76" s="12" t="s">
        <v>307</v>
      </c>
      <c r="D76" s="12" t="s">
        <v>308</v>
      </c>
      <c r="E76" s="12" t="s">
        <v>179</v>
      </c>
      <c r="F76" s="12" t="s">
        <v>155</v>
      </c>
    </row>
    <row r="77" customFormat="false" ht="23.25" hidden="false" customHeight="true" outlineLevel="0" collapsed="false">
      <c r="A77" s="12" t="n">
        <v>65</v>
      </c>
      <c r="B77" s="12" t="s">
        <v>309</v>
      </c>
      <c r="C77" s="12" t="s">
        <v>310</v>
      </c>
      <c r="D77" s="12" t="s">
        <v>311</v>
      </c>
      <c r="E77" s="12" t="s">
        <v>179</v>
      </c>
      <c r="F77" s="12" t="s">
        <v>155</v>
      </c>
    </row>
    <row r="78" customFormat="false" ht="23.25" hidden="false" customHeight="true" outlineLevel="0" collapsed="false">
      <c r="A78" s="12" t="n">
        <v>66</v>
      </c>
      <c r="B78" s="12" t="s">
        <v>269</v>
      </c>
      <c r="C78" s="12" t="s">
        <v>312</v>
      </c>
      <c r="D78" s="12" t="s">
        <v>313</v>
      </c>
      <c r="E78" s="12" t="s">
        <v>179</v>
      </c>
      <c r="F78" s="12" t="s">
        <v>155</v>
      </c>
    </row>
    <row r="79" customFormat="false" ht="15" hidden="false" customHeight="true" outlineLevel="0" collapsed="false">
      <c r="A79" s="10" t="s">
        <v>314</v>
      </c>
      <c r="B79" s="11"/>
      <c r="C79" s="11"/>
      <c r="D79" s="11"/>
      <c r="E79" s="11"/>
      <c r="F79" s="11"/>
    </row>
    <row r="80" customFormat="false" ht="45.75" hidden="false" customHeight="true" outlineLevel="0" collapsed="false">
      <c r="A80" s="12" t="n">
        <v>67</v>
      </c>
      <c r="B80" s="12" t="s">
        <v>151</v>
      </c>
      <c r="C80" s="12" t="s">
        <v>315</v>
      </c>
      <c r="D80" s="12" t="s">
        <v>316</v>
      </c>
      <c r="E80" s="12" t="s">
        <v>179</v>
      </c>
      <c r="F80" s="12" t="s">
        <v>155</v>
      </c>
    </row>
    <row r="81" customFormat="false" ht="45.75" hidden="false" customHeight="true" outlineLevel="0" collapsed="false">
      <c r="A81" s="12" t="n">
        <v>68</v>
      </c>
      <c r="B81" s="12" t="s">
        <v>182</v>
      </c>
      <c r="C81" s="12" t="s">
        <v>317</v>
      </c>
      <c r="D81" s="12" t="s">
        <v>318</v>
      </c>
      <c r="E81" s="12" t="s">
        <v>179</v>
      </c>
      <c r="F81" s="12" t="s">
        <v>155</v>
      </c>
    </row>
    <row r="82" customFormat="false" ht="34.5" hidden="false" customHeight="true" outlineLevel="0" collapsed="false">
      <c r="A82" s="12" t="n">
        <v>69</v>
      </c>
      <c r="B82" s="12" t="s">
        <v>182</v>
      </c>
      <c r="C82" s="12" t="s">
        <v>319</v>
      </c>
      <c r="D82" s="12" t="s">
        <v>320</v>
      </c>
      <c r="E82" s="12" t="s">
        <v>179</v>
      </c>
      <c r="F82" s="12" t="s">
        <v>155</v>
      </c>
    </row>
    <row r="83" customFormat="false" ht="23.25" hidden="false" customHeight="true" outlineLevel="0" collapsed="false">
      <c r="A83" s="12" t="n">
        <v>70</v>
      </c>
      <c r="B83" s="12" t="s">
        <v>182</v>
      </c>
      <c r="C83" s="12" t="s">
        <v>321</v>
      </c>
      <c r="D83" s="12" t="s">
        <v>322</v>
      </c>
      <c r="E83" s="12" t="s">
        <v>179</v>
      </c>
      <c r="F83" s="12" t="s">
        <v>155</v>
      </c>
    </row>
    <row r="84" customFormat="false" ht="34.5" hidden="false" customHeight="true" outlineLevel="0" collapsed="false">
      <c r="A84" s="12" t="n">
        <v>71</v>
      </c>
      <c r="B84" s="12" t="s">
        <v>226</v>
      </c>
      <c r="C84" s="12" t="s">
        <v>323</v>
      </c>
      <c r="D84" s="12" t="s">
        <v>324</v>
      </c>
      <c r="E84" s="12" t="s">
        <v>179</v>
      </c>
      <c r="F84" s="12" t="s">
        <v>155</v>
      </c>
    </row>
    <row r="85" customFormat="false" ht="23.25" hidden="false" customHeight="true" outlineLevel="0" collapsed="false">
      <c r="A85" s="12" t="n">
        <v>72</v>
      </c>
      <c r="B85" s="12" t="s">
        <v>226</v>
      </c>
      <c r="C85" s="12" t="s">
        <v>325</v>
      </c>
      <c r="D85" s="12" t="s">
        <v>326</v>
      </c>
      <c r="E85" s="12" t="s">
        <v>179</v>
      </c>
      <c r="F85" s="12" t="s">
        <v>155</v>
      </c>
    </row>
    <row r="86" customFormat="false" ht="23.25" hidden="false" customHeight="true" outlineLevel="0" collapsed="false">
      <c r="A86" s="12" t="n">
        <v>73</v>
      </c>
      <c r="B86" s="12" t="s">
        <v>269</v>
      </c>
      <c r="C86" s="12" t="s">
        <v>327</v>
      </c>
      <c r="D86" s="12" t="s">
        <v>328</v>
      </c>
      <c r="E86" s="12" t="s">
        <v>179</v>
      </c>
      <c r="F86" s="12" t="s">
        <v>155</v>
      </c>
    </row>
    <row r="87" customFormat="false" ht="34.5" hidden="false" customHeight="true" outlineLevel="0" collapsed="false">
      <c r="A87" s="12" t="n">
        <v>74</v>
      </c>
      <c r="B87" s="12" t="s">
        <v>269</v>
      </c>
      <c r="C87" s="12" t="s">
        <v>329</v>
      </c>
      <c r="D87" s="12" t="s">
        <v>330</v>
      </c>
      <c r="E87" s="12" t="s">
        <v>179</v>
      </c>
      <c r="F87" s="12" t="s">
        <v>155</v>
      </c>
    </row>
    <row r="88" customFormat="false" ht="23.25" hidden="false" customHeight="true" outlineLevel="0" collapsed="false">
      <c r="A88" s="12" t="n">
        <v>75</v>
      </c>
      <c r="B88" s="12" t="s">
        <v>269</v>
      </c>
      <c r="C88" s="12" t="s">
        <v>331</v>
      </c>
      <c r="D88" s="12" t="s">
        <v>332</v>
      </c>
      <c r="E88" s="12" t="s">
        <v>179</v>
      </c>
      <c r="F88" s="12" t="s">
        <v>155</v>
      </c>
    </row>
    <row r="89" customFormat="false" ht="34.5" hidden="false" customHeight="true" outlineLevel="0" collapsed="false">
      <c r="A89" s="12" t="n">
        <v>76</v>
      </c>
      <c r="B89" s="12" t="s">
        <v>269</v>
      </c>
      <c r="C89" s="12" t="s">
        <v>333</v>
      </c>
      <c r="D89" s="12" t="s">
        <v>334</v>
      </c>
      <c r="E89" s="12" t="s">
        <v>179</v>
      </c>
      <c r="F89" s="12" t="s">
        <v>155</v>
      </c>
    </row>
    <row r="90" customFormat="false" ht="34.5" hidden="false" customHeight="true" outlineLevel="0" collapsed="false">
      <c r="A90" s="12" t="n">
        <v>77</v>
      </c>
      <c r="B90" s="12" t="s">
        <v>269</v>
      </c>
      <c r="C90" s="12" t="s">
        <v>335</v>
      </c>
      <c r="D90" s="12" t="s">
        <v>336</v>
      </c>
      <c r="E90" s="12" t="s">
        <v>179</v>
      </c>
      <c r="F90" s="12" t="s">
        <v>155</v>
      </c>
    </row>
    <row r="91" customFormat="false" ht="23.25" hidden="false" customHeight="true" outlineLevel="0" collapsed="false">
      <c r="A91" s="12" t="n">
        <v>78</v>
      </c>
      <c r="B91" s="12" t="s">
        <v>182</v>
      </c>
      <c r="C91" s="12" t="s">
        <v>337</v>
      </c>
      <c r="D91" s="12" t="s">
        <v>338</v>
      </c>
      <c r="E91" s="12" t="s">
        <v>339</v>
      </c>
      <c r="F91" s="12" t="s">
        <v>340</v>
      </c>
    </row>
    <row r="92" customFormat="false" ht="15" hidden="false" customHeight="true" outlineLevel="0" collapsed="false">
      <c r="A92" s="12" t="n">
        <v>79</v>
      </c>
      <c r="B92" s="12" t="s">
        <v>238</v>
      </c>
      <c r="C92" s="12" t="s">
        <v>341</v>
      </c>
      <c r="D92" s="12" t="s">
        <v>342</v>
      </c>
      <c r="E92" s="12" t="s">
        <v>339</v>
      </c>
      <c r="F92" s="12" t="s">
        <v>343</v>
      </c>
    </row>
    <row r="93" customFormat="false" ht="34.5" hidden="false" customHeight="true" outlineLevel="0" collapsed="false">
      <c r="A93" s="12" t="n">
        <v>80</v>
      </c>
      <c r="B93" s="12" t="s">
        <v>269</v>
      </c>
      <c r="C93" s="12" t="s">
        <v>344</v>
      </c>
      <c r="D93" s="12" t="s">
        <v>345</v>
      </c>
      <c r="E93" s="12" t="s">
        <v>346</v>
      </c>
      <c r="F93" s="12" t="s">
        <v>340</v>
      </c>
    </row>
    <row r="94" customFormat="false" ht="23.25" hidden="false" customHeight="true" outlineLevel="0" collapsed="false">
      <c r="A94" s="12" t="n">
        <v>81</v>
      </c>
      <c r="B94" s="12" t="s">
        <v>269</v>
      </c>
      <c r="C94" s="12" t="s">
        <v>347</v>
      </c>
      <c r="D94" s="12" t="s">
        <v>348</v>
      </c>
      <c r="E94" s="12" t="s">
        <v>349</v>
      </c>
      <c r="F94" s="12" t="s">
        <v>350</v>
      </c>
    </row>
    <row r="95" customFormat="false" ht="23.25" hidden="false" customHeight="true" outlineLevel="0" collapsed="false">
      <c r="A95" s="12" t="n">
        <v>82</v>
      </c>
      <c r="B95" s="12" t="s">
        <v>269</v>
      </c>
      <c r="C95" s="12" t="s">
        <v>351</v>
      </c>
      <c r="D95" s="12" t="s">
        <v>352</v>
      </c>
      <c r="E95" s="12" t="s">
        <v>339</v>
      </c>
      <c r="F95" s="12" t="s">
        <v>340</v>
      </c>
    </row>
    <row r="96" customFormat="false" ht="34.5" hidden="false" customHeight="true" outlineLevel="0" collapsed="false">
      <c r="A96" s="12" t="n">
        <v>83</v>
      </c>
      <c r="B96" s="12" t="s">
        <v>238</v>
      </c>
      <c r="C96" s="12" t="s">
        <v>353</v>
      </c>
      <c r="D96" s="12" t="s">
        <v>354</v>
      </c>
      <c r="E96" s="12" t="s">
        <v>355</v>
      </c>
      <c r="F96" s="12" t="s">
        <v>155</v>
      </c>
    </row>
    <row r="97" customFormat="false" ht="23.25" hidden="false" customHeight="true" outlineLevel="0" collapsed="false">
      <c r="A97" s="12" t="n">
        <v>84</v>
      </c>
      <c r="B97" s="12" t="s">
        <v>269</v>
      </c>
      <c r="C97" s="12" t="s">
        <v>356</v>
      </c>
      <c r="D97" s="12" t="s">
        <v>357</v>
      </c>
      <c r="E97" s="12" t="s">
        <v>179</v>
      </c>
      <c r="F97" s="12" t="s">
        <v>155</v>
      </c>
    </row>
    <row r="98" customFormat="false" ht="23.25" hidden="false" customHeight="true" outlineLevel="0" collapsed="false">
      <c r="A98" s="12" t="n">
        <v>85</v>
      </c>
      <c r="B98" s="12" t="s">
        <v>151</v>
      </c>
      <c r="C98" s="12" t="s">
        <v>358</v>
      </c>
      <c r="D98" s="12" t="s">
        <v>359</v>
      </c>
      <c r="E98" s="12" t="s">
        <v>360</v>
      </c>
      <c r="F98" s="12" t="s">
        <v>340</v>
      </c>
    </row>
    <row r="99" customFormat="false" ht="23.25" hidden="false" customHeight="true" outlineLevel="0" collapsed="false">
      <c r="A99" s="12" t="n">
        <v>86</v>
      </c>
      <c r="B99" s="12" t="s">
        <v>182</v>
      </c>
      <c r="C99" s="12" t="s">
        <v>361</v>
      </c>
      <c r="D99" s="12" t="s">
        <v>362</v>
      </c>
      <c r="E99" s="12" t="s">
        <v>363</v>
      </c>
      <c r="F99" s="12" t="s">
        <v>340</v>
      </c>
    </row>
    <row r="100" customFormat="false" ht="23.25" hidden="false" customHeight="true" outlineLevel="0" collapsed="false">
      <c r="A100" s="12" t="n">
        <v>87</v>
      </c>
      <c r="B100" s="12" t="s">
        <v>269</v>
      </c>
      <c r="C100" s="12" t="s">
        <v>364</v>
      </c>
      <c r="D100" s="12" t="s">
        <v>365</v>
      </c>
      <c r="E100" s="12" t="s">
        <v>366</v>
      </c>
      <c r="F100" s="12" t="s">
        <v>367</v>
      </c>
    </row>
    <row r="101" customFormat="false" ht="23.25" hidden="false" customHeight="true" outlineLevel="0" collapsed="false">
      <c r="A101" s="12" t="n">
        <v>88</v>
      </c>
      <c r="B101" s="12" t="s">
        <v>269</v>
      </c>
      <c r="C101" s="12" t="s">
        <v>368</v>
      </c>
      <c r="D101" s="12" t="s">
        <v>369</v>
      </c>
      <c r="E101" s="12" t="s">
        <v>339</v>
      </c>
      <c r="F101" s="12" t="s">
        <v>340</v>
      </c>
    </row>
    <row r="102" customFormat="false" ht="34.5" hidden="false" customHeight="true" outlineLevel="0" collapsed="false">
      <c r="A102" s="12" t="n">
        <v>89</v>
      </c>
      <c r="B102" s="12" t="s">
        <v>226</v>
      </c>
      <c r="C102" s="12" t="s">
        <v>370</v>
      </c>
      <c r="D102" s="12" t="s">
        <v>371</v>
      </c>
      <c r="E102" s="12" t="s">
        <v>372</v>
      </c>
      <c r="F102" s="12" t="s">
        <v>340</v>
      </c>
    </row>
    <row r="103" customFormat="false" ht="45.75" hidden="false" customHeight="true" outlineLevel="0" collapsed="false">
      <c r="A103" s="12" t="n">
        <v>90</v>
      </c>
      <c r="B103" s="12" t="s">
        <v>238</v>
      </c>
      <c r="C103" s="12" t="s">
        <v>373</v>
      </c>
      <c r="D103" s="12" t="s">
        <v>374</v>
      </c>
      <c r="E103" s="12" t="s">
        <v>179</v>
      </c>
      <c r="F103" s="12" t="s">
        <v>155</v>
      </c>
    </row>
    <row r="104" customFormat="false" ht="45.75" hidden="false" customHeight="true" outlineLevel="0" collapsed="false">
      <c r="A104" s="12" t="n">
        <v>91</v>
      </c>
      <c r="B104" s="12" t="s">
        <v>151</v>
      </c>
      <c r="C104" s="12" t="s">
        <v>375</v>
      </c>
      <c r="D104" s="12" t="s">
        <v>376</v>
      </c>
      <c r="E104" s="12" t="s">
        <v>179</v>
      </c>
      <c r="F104" s="12" t="s">
        <v>155</v>
      </c>
    </row>
    <row r="105" customFormat="false" ht="34.5" hidden="false" customHeight="true" outlineLevel="0" collapsed="false">
      <c r="A105" s="12" t="n">
        <v>92</v>
      </c>
      <c r="B105" s="12" t="s">
        <v>182</v>
      </c>
      <c r="C105" s="12" t="s">
        <v>377</v>
      </c>
      <c r="D105" s="12" t="s">
        <v>378</v>
      </c>
      <c r="E105" s="12" t="s">
        <v>179</v>
      </c>
      <c r="F105" s="12" t="s">
        <v>155</v>
      </c>
    </row>
    <row r="106" customFormat="false" ht="45.75" hidden="false" customHeight="true" outlineLevel="0" collapsed="false">
      <c r="A106" s="12" t="n">
        <v>93</v>
      </c>
      <c r="B106" s="12" t="s">
        <v>182</v>
      </c>
      <c r="C106" s="12" t="s">
        <v>379</v>
      </c>
      <c r="D106" s="12" t="s">
        <v>380</v>
      </c>
      <c r="E106" s="12" t="s">
        <v>179</v>
      </c>
      <c r="F106" s="12" t="s">
        <v>155</v>
      </c>
    </row>
    <row r="107" customFormat="false" ht="45.75" hidden="false" customHeight="true" outlineLevel="0" collapsed="false">
      <c r="A107" s="12" t="n">
        <v>94</v>
      </c>
      <c r="B107" s="12" t="s">
        <v>309</v>
      </c>
      <c r="C107" s="12" t="s">
        <v>381</v>
      </c>
      <c r="D107" s="12" t="s">
        <v>382</v>
      </c>
      <c r="E107" s="12" t="s">
        <v>179</v>
      </c>
      <c r="F107" s="12" t="s">
        <v>383</v>
      </c>
    </row>
    <row r="108" customFormat="false" ht="23.25" hidden="false" customHeight="true" outlineLevel="0" collapsed="false">
      <c r="A108" s="12" t="n">
        <v>95</v>
      </c>
      <c r="B108" s="12" t="s">
        <v>151</v>
      </c>
      <c r="C108" s="12" t="s">
        <v>384</v>
      </c>
      <c r="D108" s="12" t="s">
        <v>385</v>
      </c>
      <c r="E108" s="12" t="s">
        <v>179</v>
      </c>
      <c r="F108" s="12" t="s">
        <v>386</v>
      </c>
    </row>
    <row r="109" customFormat="false" ht="45.75" hidden="false" customHeight="true" outlineLevel="0" collapsed="false">
      <c r="A109" s="12" t="n">
        <v>96</v>
      </c>
      <c r="B109" s="12" t="s">
        <v>151</v>
      </c>
      <c r="C109" s="12" t="s">
        <v>387</v>
      </c>
      <c r="D109" s="12" t="s">
        <v>388</v>
      </c>
      <c r="E109" s="12" t="s">
        <v>179</v>
      </c>
      <c r="F109" s="12" t="s">
        <v>383</v>
      </c>
    </row>
    <row r="110" customFormat="false" ht="45.75" hidden="false" customHeight="true" outlineLevel="0" collapsed="false">
      <c r="A110" s="12" t="n">
        <v>97</v>
      </c>
      <c r="B110" s="12" t="s">
        <v>182</v>
      </c>
      <c r="C110" s="12" t="s">
        <v>389</v>
      </c>
      <c r="D110" s="12" t="s">
        <v>390</v>
      </c>
      <c r="E110" s="12" t="s">
        <v>179</v>
      </c>
      <c r="F110" s="12" t="s">
        <v>383</v>
      </c>
    </row>
    <row r="111" customFormat="false" ht="45.75" hidden="false" customHeight="true" outlineLevel="0" collapsed="false">
      <c r="A111" s="12" t="n">
        <v>98</v>
      </c>
      <c r="B111" s="12" t="s">
        <v>182</v>
      </c>
      <c r="C111" s="12" t="s">
        <v>391</v>
      </c>
      <c r="D111" s="12" t="s">
        <v>392</v>
      </c>
      <c r="E111" s="12" t="s">
        <v>179</v>
      </c>
      <c r="F111" s="12" t="s">
        <v>383</v>
      </c>
    </row>
    <row r="112" customFormat="false" ht="23.25" hidden="false" customHeight="true" outlineLevel="0" collapsed="false">
      <c r="A112" s="12" t="n">
        <v>99</v>
      </c>
      <c r="B112" s="12" t="s">
        <v>151</v>
      </c>
      <c r="C112" s="12" t="s">
        <v>393</v>
      </c>
      <c r="D112" s="12" t="s">
        <v>394</v>
      </c>
      <c r="E112" s="12" t="s">
        <v>395</v>
      </c>
      <c r="F112" s="12" t="s">
        <v>155</v>
      </c>
    </row>
    <row r="113" customFormat="false" ht="45.75" hidden="false" customHeight="true" outlineLevel="0" collapsed="false">
      <c r="A113" s="12" t="n">
        <v>100</v>
      </c>
      <c r="B113" s="12" t="s">
        <v>269</v>
      </c>
      <c r="C113" s="12" t="s">
        <v>396</v>
      </c>
      <c r="D113" s="12" t="s">
        <v>397</v>
      </c>
      <c r="E113" s="12" t="s">
        <v>339</v>
      </c>
      <c r="F113" s="12" t="s">
        <v>155</v>
      </c>
    </row>
    <row r="114" customFormat="false" ht="68.25" hidden="false" customHeight="true" outlineLevel="0" collapsed="false">
      <c r="A114" s="12" t="n">
        <v>101</v>
      </c>
      <c r="B114" s="12" t="s">
        <v>261</v>
      </c>
      <c r="C114" s="12" t="s">
        <v>398</v>
      </c>
      <c r="D114" s="12" t="s">
        <v>399</v>
      </c>
      <c r="E114" s="12" t="s">
        <v>179</v>
      </c>
      <c r="F114" s="12" t="s">
        <v>155</v>
      </c>
    </row>
    <row r="115" customFormat="false" ht="34.5" hidden="false" customHeight="true" outlineLevel="0" collapsed="false">
      <c r="A115" s="12" t="n">
        <v>102</v>
      </c>
      <c r="B115" s="12" t="s">
        <v>269</v>
      </c>
      <c r="C115" s="12" t="s">
        <v>400</v>
      </c>
      <c r="D115" s="12" t="s">
        <v>401</v>
      </c>
      <c r="E115" s="12" t="s">
        <v>179</v>
      </c>
      <c r="F115" s="12" t="s">
        <v>155</v>
      </c>
    </row>
    <row r="116" customFormat="false" ht="35.05" hidden="false" customHeight="false" outlineLevel="0" collapsed="false">
      <c r="A116" s="12" t="n">
        <v>103</v>
      </c>
      <c r="B116" s="12" t="s">
        <v>182</v>
      </c>
      <c r="C116" s="12" t="s">
        <v>402</v>
      </c>
      <c r="D116" s="12" t="s">
        <v>403</v>
      </c>
      <c r="E116" s="12" t="s">
        <v>339</v>
      </c>
      <c r="F116" s="12" t="s">
        <v>404</v>
      </c>
    </row>
    <row r="117" customFormat="false" ht="46.25" hidden="false" customHeight="false" outlineLevel="0" collapsed="false">
      <c r="A117" s="12" t="n">
        <v>104</v>
      </c>
      <c r="B117" s="12" t="s">
        <v>151</v>
      </c>
      <c r="C117" s="12" t="s">
        <v>405</v>
      </c>
      <c r="D117" s="12" t="s">
        <v>406</v>
      </c>
      <c r="E117" s="12" t="s">
        <v>407</v>
      </c>
      <c r="F117" s="12" t="s">
        <v>408</v>
      </c>
    </row>
    <row r="118" customFormat="false" ht="35.05" hidden="false" customHeight="false" outlineLevel="0" collapsed="false">
      <c r="A118" s="12" t="n">
        <v>105</v>
      </c>
      <c r="B118" s="12" t="s">
        <v>269</v>
      </c>
      <c r="C118" s="12" t="s">
        <v>409</v>
      </c>
      <c r="D118" s="12" t="s">
        <v>410</v>
      </c>
      <c r="E118" s="12" t="s">
        <v>339</v>
      </c>
      <c r="F118" s="12" t="s">
        <v>404</v>
      </c>
    </row>
    <row r="119" customFormat="false" ht="57.45" hidden="false" customHeight="false" outlineLevel="0" collapsed="false">
      <c r="A119" s="12" t="n">
        <v>106</v>
      </c>
      <c r="B119" s="12" t="s">
        <v>269</v>
      </c>
      <c r="C119" s="12" t="s">
        <v>411</v>
      </c>
      <c r="D119" s="12" t="s">
        <v>412</v>
      </c>
      <c r="E119" s="12" t="s">
        <v>339</v>
      </c>
      <c r="F119" s="12"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181</v>
      </c>
      <c r="B1" s="14"/>
      <c r="C1" s="14"/>
    </row>
    <row r="2" customFormat="false" ht="15" hidden="false" customHeight="true" outlineLevel="0" collapsed="false">
      <c r="A2" s="14" t="s">
        <v>413</v>
      </c>
      <c r="B2" s="14" t="s">
        <v>414</v>
      </c>
      <c r="C2" s="14" t="s">
        <v>415</v>
      </c>
    </row>
    <row r="3" customFormat="false" ht="15" hidden="false" customHeight="true" outlineLevel="0" collapsed="false">
      <c r="A3" s="3" t="s">
        <v>416</v>
      </c>
      <c r="B3" s="3" t="s">
        <v>417</v>
      </c>
      <c r="C3" s="3" t="s">
        <v>418</v>
      </c>
    </row>
    <row r="4" customFormat="false" ht="23.25" hidden="false" customHeight="true" outlineLevel="0" collapsed="false">
      <c r="A4" s="3" t="s">
        <v>419</v>
      </c>
      <c r="B4" s="3" t="s">
        <v>420</v>
      </c>
      <c r="C4" s="3" t="s">
        <v>421</v>
      </c>
    </row>
    <row r="5" customFormat="false" ht="15" hidden="false" customHeight="true" outlineLevel="0" collapsed="false">
      <c r="A5" s="3" t="s">
        <v>422</v>
      </c>
      <c r="B5" s="3" t="s">
        <v>423</v>
      </c>
      <c r="C5" s="3" t="s">
        <v>424</v>
      </c>
    </row>
    <row r="6" customFormat="false" ht="15" hidden="false" customHeight="true" outlineLevel="0" collapsed="false">
      <c r="A6" s="3" t="s">
        <v>425</v>
      </c>
      <c r="B6" s="3" t="s">
        <v>426</v>
      </c>
      <c r="C6" s="3" t="s">
        <v>427</v>
      </c>
    </row>
    <row r="7" customFormat="false" ht="23.25" hidden="false" customHeight="true" outlineLevel="0" collapsed="false">
      <c r="A7" s="3" t="s">
        <v>428</v>
      </c>
      <c r="B7" s="3" t="s">
        <v>429</v>
      </c>
      <c r="C7" s="3" t="s">
        <v>430</v>
      </c>
    </row>
    <row r="8" customFormat="false" ht="23.25" hidden="false" customHeight="true" outlineLevel="0" collapsed="false">
      <c r="A8" s="3" t="s">
        <v>431</v>
      </c>
      <c r="B8" s="3" t="s">
        <v>432</v>
      </c>
      <c r="C8" s="3" t="s">
        <v>433</v>
      </c>
    </row>
    <row r="9" customFormat="false" ht="15" hidden="false" customHeight="true" outlineLevel="0" collapsed="false">
      <c r="A9" s="3" t="s">
        <v>434</v>
      </c>
      <c r="B9" s="3" t="s">
        <v>435</v>
      </c>
      <c r="C9" s="3" t="s">
        <v>436</v>
      </c>
    </row>
    <row r="10" customFormat="false" ht="15" hidden="false" customHeight="true" outlineLevel="0" collapsed="false">
      <c r="A10" s="3" t="s">
        <v>437</v>
      </c>
      <c r="B10" s="3" t="s">
        <v>438</v>
      </c>
      <c r="C10" s="3" t="s">
        <v>439</v>
      </c>
    </row>
    <row r="11" customFormat="false" ht="15" hidden="false" customHeight="true" outlineLevel="0" collapsed="false">
      <c r="A11" s="14" t="s">
        <v>440</v>
      </c>
      <c r="B11" s="3" t="s">
        <v>441</v>
      </c>
      <c r="C11" s="3" t="s">
        <v>442</v>
      </c>
    </row>
    <row r="12" customFormat="false" ht="34.5" hidden="false" customHeight="true" outlineLevel="0" collapsed="false">
      <c r="A12" s="14" t="s">
        <v>443</v>
      </c>
      <c r="B12" s="3" t="s">
        <v>444</v>
      </c>
      <c r="C12" s="3" t="s">
        <v>445</v>
      </c>
    </row>
    <row r="13" customFormat="false" ht="23.25" hidden="false" customHeight="true" outlineLevel="0" collapsed="false">
      <c r="A13" s="14" t="s">
        <v>446</v>
      </c>
      <c r="B13" s="3" t="s">
        <v>447</v>
      </c>
      <c r="C13" s="3" t="s">
        <v>448</v>
      </c>
    </row>
    <row r="14" customFormat="false" ht="15" hidden="false" customHeight="true" outlineLevel="0" collapsed="false">
      <c r="A14" s="14" t="s">
        <v>449</v>
      </c>
      <c r="B14" s="3" t="s">
        <v>450</v>
      </c>
      <c r="C14" s="3" t="s">
        <v>451</v>
      </c>
    </row>
    <row r="15" customFormat="false" ht="15" hidden="false" customHeight="true" outlineLevel="0" collapsed="false">
      <c r="A15" s="3"/>
      <c r="B15" s="3"/>
      <c r="C15" s="3"/>
    </row>
    <row r="16" customFormat="false" ht="23.25" hidden="false" customHeight="true" outlineLevel="0" collapsed="false">
      <c r="A16" s="3" t="s">
        <v>452</v>
      </c>
      <c r="B16" s="3" t="s">
        <v>453</v>
      </c>
      <c r="C16" s="3" t="s">
        <v>454</v>
      </c>
    </row>
    <row r="17" customFormat="false" ht="15" hidden="false" customHeight="true" outlineLevel="0" collapsed="false">
      <c r="A17" s="3" t="s">
        <v>452</v>
      </c>
      <c r="B17" s="3" t="s">
        <v>455</v>
      </c>
      <c r="C17" s="3" t="s">
        <v>456</v>
      </c>
    </row>
    <row r="18" customFormat="false" ht="15" hidden="false" customHeight="true" outlineLevel="0" collapsed="false">
      <c r="A18" s="3" t="s">
        <v>452</v>
      </c>
      <c r="B18" s="3" t="s">
        <v>457</v>
      </c>
      <c r="C18" s="3" t="s">
        <v>458</v>
      </c>
    </row>
    <row r="19" customFormat="false" ht="23.25" hidden="false" customHeight="true" outlineLevel="0" collapsed="false">
      <c r="A19" s="3"/>
      <c r="B19" s="3"/>
      <c r="C19" s="3"/>
    </row>
    <row r="20" customFormat="false" ht="15" hidden="false" customHeight="true" outlineLevel="0" collapsed="false">
      <c r="A20" s="14" t="s">
        <v>459</v>
      </c>
      <c r="B20" s="14"/>
      <c r="C20" s="14"/>
    </row>
    <row r="21" customFormat="false" ht="15" hidden="false" customHeight="true" outlineLevel="0" collapsed="false">
      <c r="A21" s="3" t="s">
        <v>460</v>
      </c>
      <c r="B21" s="3" t="s">
        <v>461</v>
      </c>
      <c r="C21" s="3" t="s">
        <v>462</v>
      </c>
    </row>
    <row r="22" customFormat="false" ht="23.25" hidden="false" customHeight="true" outlineLevel="0" collapsed="false">
      <c r="A22" s="3" t="s">
        <v>460</v>
      </c>
      <c r="B22" s="3" t="s">
        <v>463</v>
      </c>
      <c r="C22" s="3"/>
    </row>
    <row r="23" customFormat="false" ht="15" hidden="false" customHeight="true" outlineLevel="0" collapsed="false">
      <c r="A23" s="3" t="s">
        <v>464</v>
      </c>
      <c r="B23" s="3" t="s">
        <v>465</v>
      </c>
      <c r="C23" s="3" t="s">
        <v>466</v>
      </c>
    </row>
    <row r="24" customFormat="false" ht="45.75" hidden="false" customHeight="true" outlineLevel="0" collapsed="false">
      <c r="A24" s="3" t="s">
        <v>464</v>
      </c>
      <c r="B24" s="3" t="s">
        <v>467</v>
      </c>
      <c r="C24" s="3"/>
    </row>
    <row r="25" customFormat="false" ht="15" hidden="false" customHeight="true" outlineLevel="0" collapsed="false">
      <c r="A25" s="3" t="s">
        <v>464</v>
      </c>
      <c r="B25" s="3" t="s">
        <v>468</v>
      </c>
      <c r="C25" s="3"/>
    </row>
    <row r="26" customFormat="false" ht="23.25" hidden="false" customHeight="true" outlineLevel="0" collapsed="false">
      <c r="A26" s="3" t="s">
        <v>464</v>
      </c>
      <c r="B26" s="3" t="s">
        <v>469</v>
      </c>
      <c r="C26" s="3"/>
    </row>
    <row r="27" customFormat="false" ht="15" hidden="false" customHeight="true" outlineLevel="0" collapsed="false">
      <c r="A27" s="3" t="s">
        <v>470</v>
      </c>
      <c r="B27" s="3" t="s">
        <v>471</v>
      </c>
      <c r="C27" s="3" t="s">
        <v>472</v>
      </c>
    </row>
    <row r="28" customFormat="false" ht="23.25" hidden="false" customHeight="true" outlineLevel="0" collapsed="false">
      <c r="A28" s="3" t="s">
        <v>473</v>
      </c>
      <c r="B28" s="3" t="s">
        <v>474</v>
      </c>
      <c r="C28" s="3" t="s">
        <v>475</v>
      </c>
    </row>
    <row r="29" customFormat="false" ht="14.25" hidden="false" customHeight="true" outlineLevel="0" collapsed="false">
      <c r="A29" s="3" t="s">
        <v>476</v>
      </c>
      <c r="B29" s="3" t="s">
        <v>477</v>
      </c>
      <c r="C29" s="3" t="s">
        <v>478</v>
      </c>
    </row>
    <row r="30" customFormat="false" ht="34.5" hidden="false" customHeight="true" outlineLevel="0" collapsed="false">
      <c r="A30" s="3" t="s">
        <v>479</v>
      </c>
      <c r="B30" s="3" t="s">
        <v>480</v>
      </c>
      <c r="C30" s="3" t="s">
        <v>481</v>
      </c>
    </row>
    <row r="31" customFormat="false" ht="23.25" hidden="false" customHeight="true" outlineLevel="0" collapsed="false">
      <c r="A31" s="3"/>
      <c r="B31" s="3"/>
      <c r="C31" s="3"/>
    </row>
    <row r="32" customFormat="false" ht="23.25" hidden="false" customHeight="true" outlineLevel="0" collapsed="false">
      <c r="A32" s="14" t="s">
        <v>482</v>
      </c>
      <c r="B32" s="14" t="s">
        <v>483</v>
      </c>
      <c r="C32" s="14"/>
    </row>
    <row r="33" customFormat="false" ht="15" hidden="false" customHeight="true" outlineLevel="0" collapsed="false"/>
    <row r="34" customFormat="false" ht="15" hidden="false" customHeight="true" outlineLevel="0" collapsed="false">
      <c r="A34" s="14" t="s">
        <v>484</v>
      </c>
      <c r="B34" s="14"/>
      <c r="C34" s="14"/>
    </row>
    <row r="35" customFormat="false" ht="23.25" hidden="false" customHeight="true" outlineLevel="0" collapsed="false">
      <c r="A35" s="3" t="s">
        <v>485</v>
      </c>
      <c r="B35" s="3" t="s">
        <v>486</v>
      </c>
      <c r="C35" s="3" t="s">
        <v>487</v>
      </c>
    </row>
    <row r="36" customFormat="false" ht="34.5" hidden="false" customHeight="true" outlineLevel="0" collapsed="false">
      <c r="A36" s="3" t="s">
        <v>37</v>
      </c>
      <c r="B36" s="3" t="s">
        <v>488</v>
      </c>
      <c r="C36" s="3" t="s">
        <v>489</v>
      </c>
    </row>
    <row r="37" customFormat="false" ht="34.5" hidden="false" customHeight="true" outlineLevel="0" collapsed="false">
      <c r="A37" s="3" t="s">
        <v>33</v>
      </c>
      <c r="B37" s="3" t="s">
        <v>490</v>
      </c>
      <c r="C37" s="3" t="s">
        <v>491</v>
      </c>
    </row>
    <row r="38" customFormat="false" ht="15" hidden="false" customHeight="true" outlineLevel="0" collapsed="false">
      <c r="A38" s="3" t="s">
        <v>39</v>
      </c>
      <c r="B38" s="3" t="s">
        <v>492</v>
      </c>
      <c r="C38" s="3" t="s">
        <v>493</v>
      </c>
    </row>
    <row r="39" customFormat="false" ht="34.5" hidden="false" customHeight="true" outlineLevel="0" collapsed="false"/>
    <row r="40" customFormat="false" ht="23.25" hidden="false" customHeight="true" outlineLevel="0" collapsed="false">
      <c r="A40" s="14" t="s">
        <v>494</v>
      </c>
      <c r="B40" s="14"/>
      <c r="C40" s="14"/>
    </row>
    <row r="41" customFormat="false" ht="45.75" hidden="false" customHeight="true" outlineLevel="0" collapsed="false">
      <c r="A41" s="3" t="s">
        <v>146</v>
      </c>
      <c r="B41" s="3" t="s">
        <v>495</v>
      </c>
      <c r="C41" s="3" t="s">
        <v>496</v>
      </c>
    </row>
    <row r="42" customFormat="false" ht="34.5" hidden="false" customHeight="true" outlineLevel="0" collapsed="false">
      <c r="A42" s="3" t="s">
        <v>497</v>
      </c>
      <c r="B42" s="3" t="s">
        <v>498</v>
      </c>
      <c r="C42" s="3" t="s">
        <v>499</v>
      </c>
    </row>
    <row r="43" customFormat="false" ht="34.5" hidden="false" customHeight="true" outlineLevel="0" collapsed="false">
      <c r="A43" s="3" t="s">
        <v>500</v>
      </c>
      <c r="B43" s="3" t="s">
        <v>501</v>
      </c>
      <c r="C43" s="3" t="s">
        <v>502</v>
      </c>
    </row>
    <row r="44" customFormat="false" ht="34.5" hidden="false" customHeight="true" outlineLevel="0" collapsed="false"/>
    <row r="45" customFormat="false" ht="34.5" hidden="false" customHeight="true" outlineLevel="0" collapsed="false">
      <c r="A45" s="15" t="s">
        <v>503</v>
      </c>
      <c r="B45" s="14"/>
      <c r="C45" s="14"/>
    </row>
    <row r="46" customFormat="false" ht="45.75" hidden="false" customHeight="true" outlineLevel="0" collapsed="false">
      <c r="A46" s="3" t="s">
        <v>504</v>
      </c>
      <c r="B46" s="3" t="s">
        <v>505</v>
      </c>
      <c r="C46" s="3" t="s">
        <v>506</v>
      </c>
    </row>
    <row r="47" customFormat="false" ht="34.5" hidden="false" customHeight="true" outlineLevel="0" collapsed="false">
      <c r="A47" s="3" t="s">
        <v>155</v>
      </c>
      <c r="B47" s="3" t="s">
        <v>507</v>
      </c>
      <c r="C47" s="3" t="s">
        <v>508</v>
      </c>
    </row>
    <row r="48" customFormat="false" ht="23.25" hidden="false" customHeight="true" outlineLevel="0" collapsed="false">
      <c r="A48" s="3" t="s">
        <v>509</v>
      </c>
      <c r="B48" s="3" t="s">
        <v>510</v>
      </c>
      <c r="C48" s="3" t="s">
        <v>511</v>
      </c>
    </row>
    <row r="49" customFormat="false" ht="34.5" hidden="false" customHeight="true" outlineLevel="0" collapsed="false"/>
    <row r="50" customFormat="false" ht="34.5" hidden="false" customHeight="true" outlineLevel="0" collapsed="false">
      <c r="A50" s="14" t="s">
        <v>512</v>
      </c>
      <c r="B50" s="14"/>
      <c r="C50" s="14"/>
    </row>
    <row r="51" customFormat="false" ht="23.25" hidden="false" customHeight="true" outlineLevel="0" collapsed="false">
      <c r="A51" s="3" t="s">
        <v>513</v>
      </c>
      <c r="B51" s="3" t="s">
        <v>514</v>
      </c>
      <c r="C51" s="3" t="s">
        <v>515</v>
      </c>
    </row>
    <row r="52" customFormat="false" ht="23.25" hidden="false" customHeight="true" outlineLevel="0" collapsed="false">
      <c r="A52" s="3" t="s">
        <v>516</v>
      </c>
      <c r="B52" s="3" t="s">
        <v>517</v>
      </c>
      <c r="C52" s="3" t="s">
        <v>518</v>
      </c>
    </row>
    <row r="53" customFormat="false" ht="23.25" hidden="false" customHeight="true" outlineLevel="0" collapsed="false">
      <c r="A53" s="3" t="s">
        <v>519</v>
      </c>
      <c r="B53" s="3" t="s">
        <v>520</v>
      </c>
      <c r="C53" s="3" t="s">
        <v>521</v>
      </c>
    </row>
    <row r="54" customFormat="false" ht="34.5" hidden="false" customHeight="true" outlineLevel="0" collapsed="false"/>
    <row r="55" customFormat="false" ht="23.25" hidden="false" customHeight="true" outlineLevel="0" collapsed="false">
      <c r="A55" s="14" t="s">
        <v>522</v>
      </c>
      <c r="B55" s="14"/>
      <c r="C55" s="14"/>
    </row>
    <row r="56" customFormat="false" ht="45.75" hidden="false" customHeight="true" outlineLevel="0" collapsed="false">
      <c r="A56" s="3" t="s">
        <v>523</v>
      </c>
      <c r="B56" s="3" t="s">
        <v>524</v>
      </c>
      <c r="C56" s="3" t="s">
        <v>525</v>
      </c>
    </row>
    <row r="57" customFormat="false" ht="34.5" hidden="false" customHeight="true" outlineLevel="0" collapsed="false">
      <c r="A57" s="3" t="s">
        <v>526</v>
      </c>
      <c r="B57" s="3" t="s">
        <v>527</v>
      </c>
      <c r="C57" s="3" t="s">
        <v>528</v>
      </c>
    </row>
    <row r="58" customFormat="false" ht="23.25" hidden="false" customHeight="true" outlineLevel="0" collapsed="false">
      <c r="A58" s="3" t="s">
        <v>529</v>
      </c>
      <c r="B58" s="3" t="s">
        <v>530</v>
      </c>
      <c r="C58" s="3" t="s">
        <v>531</v>
      </c>
    </row>
    <row r="59" customFormat="false" ht="45.75" hidden="false" customHeight="true" outlineLevel="0" collapsed="false"/>
    <row r="60" customFormat="false" ht="34.5" hidden="false" customHeight="true" outlineLevel="0" collapsed="false">
      <c r="A60" s="14" t="s">
        <v>532</v>
      </c>
      <c r="B60" s="14"/>
      <c r="C60" s="14"/>
    </row>
    <row r="61" customFormat="false" ht="34.5" hidden="false" customHeight="true" outlineLevel="0" collapsed="false">
      <c r="A61" s="3" t="s">
        <v>533</v>
      </c>
      <c r="B61" s="3" t="s">
        <v>534</v>
      </c>
      <c r="C61" s="3" t="s">
        <v>535</v>
      </c>
    </row>
    <row r="62" customFormat="false" ht="45.75" hidden="false" customHeight="true" outlineLevel="0" collapsed="false">
      <c r="A62" s="3" t="s">
        <v>536</v>
      </c>
      <c r="B62" s="3" t="s">
        <v>537</v>
      </c>
      <c r="C62" s="3" t="s">
        <v>538</v>
      </c>
    </row>
    <row r="63" customFormat="false" ht="57" hidden="false" customHeight="true" outlineLevel="0" collapsed="false">
      <c r="A63" s="3" t="s">
        <v>539</v>
      </c>
      <c r="B63" s="3" t="s">
        <v>540</v>
      </c>
      <c r="C63" s="3" t="s">
        <v>541</v>
      </c>
    </row>
    <row r="65" customFormat="false" ht="15" hidden="false" customHeight="true" outlineLevel="0" collapsed="false">
      <c r="A65" s="14" t="s">
        <v>542</v>
      </c>
      <c r="B65" s="14"/>
      <c r="C65" s="14"/>
    </row>
    <row r="66" customFormat="false" ht="15" hidden="false" customHeight="true" outlineLevel="0" collapsed="false">
      <c r="A66" s="3" t="s">
        <v>543</v>
      </c>
      <c r="B66" s="3" t="s">
        <v>544</v>
      </c>
      <c r="C66" s="3" t="s">
        <v>545</v>
      </c>
    </row>
    <row r="67" customFormat="false" ht="15" hidden="false" customHeight="true" outlineLevel="0" collapsed="false">
      <c r="A67" s="3" t="s">
        <v>546</v>
      </c>
      <c r="B67" s="3" t="s">
        <v>547</v>
      </c>
      <c r="C67" s="3" t="s">
        <v>548</v>
      </c>
    </row>
    <row r="69" customFormat="false" ht="15" hidden="false" customHeight="true" outlineLevel="0" collapsed="false">
      <c r="A69" s="16" t="s">
        <v>549</v>
      </c>
    </row>
    <row r="70" customFormat="false" ht="15" hidden="false" customHeight="true" outlineLevel="0" collapsed="false">
      <c r="A70" s="4" t="s">
        <v>550</v>
      </c>
      <c r="B70" s="5" t="s">
        <v>551</v>
      </c>
      <c r="C70" s="5" t="s">
        <v>552</v>
      </c>
    </row>
    <row r="71" customFormat="false" ht="15" hidden="false" customHeight="true" outlineLevel="0" collapsed="false">
      <c r="A71" s="4" t="s">
        <v>553</v>
      </c>
      <c r="B71" s="5" t="s">
        <v>554</v>
      </c>
      <c r="C71" s="5" t="s">
        <v>555</v>
      </c>
    </row>
    <row r="73" customFormat="false" ht="15" hidden="false" customHeight="true" outlineLevel="0" collapsed="false">
      <c r="A73" s="16" t="s">
        <v>556</v>
      </c>
    </row>
    <row r="74" customFormat="false" ht="15" hidden="false" customHeight="true" outlineLevel="0" collapsed="false">
      <c r="A74" s="4" t="s">
        <v>557</v>
      </c>
      <c r="B74" s="5" t="s">
        <v>558</v>
      </c>
      <c r="C74" s="5" t="s">
        <v>559</v>
      </c>
    </row>
    <row r="75" customFormat="false" ht="15" hidden="false" customHeight="true" outlineLevel="0" collapsed="false">
      <c r="A75" s="4" t="s">
        <v>560</v>
      </c>
      <c r="B75" s="5" t="s">
        <v>561</v>
      </c>
      <c r="C75" s="5" t="s">
        <v>562</v>
      </c>
    </row>
    <row r="76" customFormat="false" ht="15" hidden="false" customHeight="true" outlineLevel="0" collapsed="false"/>
    <row r="77" customFormat="false" ht="14.25" hidden="false" customHeight="true" outlineLevel="0" collapsed="false">
      <c r="A77" s="17" t="s">
        <v>563</v>
      </c>
      <c r="B77" s="17"/>
      <c r="C77" s="17"/>
    </row>
    <row r="78" customFormat="false" ht="14.25" hidden="false" customHeight="true" outlineLevel="0" collapsed="false">
      <c r="A78" s="18" t="s">
        <v>146</v>
      </c>
      <c r="B78" s="5" t="s">
        <v>564</v>
      </c>
      <c r="C78" s="5" t="s">
        <v>565</v>
      </c>
    </row>
    <row r="79" customFormat="false" ht="14.25" hidden="false" customHeight="true" outlineLevel="0" collapsed="false">
      <c r="A79" s="18" t="s">
        <v>566</v>
      </c>
      <c r="B79" s="5" t="s">
        <v>567</v>
      </c>
      <c r="C79" s="5" t="s">
        <v>568</v>
      </c>
    </row>
    <row r="80" customFormat="false" ht="14.25" hidden="false" customHeight="true" outlineLevel="0" collapsed="false">
      <c r="A80" s="18" t="s">
        <v>569</v>
      </c>
      <c r="B80" s="5" t="s">
        <v>570</v>
      </c>
      <c r="C80" s="5" t="s">
        <v>571</v>
      </c>
    </row>
    <row r="82" customFormat="false" ht="14.25" hidden="false" customHeight="true" outlineLevel="0" collapsed="false">
      <c r="A82" s="17" t="s">
        <v>572</v>
      </c>
      <c r="B82" s="17"/>
      <c r="C82" s="17"/>
    </row>
    <row r="83" customFormat="false" ht="14.25" hidden="false" customHeight="true" outlineLevel="0" collapsed="false">
      <c r="A83" s="18" t="s">
        <v>573</v>
      </c>
      <c r="B83" s="5" t="s">
        <v>574</v>
      </c>
      <c r="C83" s="5" t="s">
        <v>575</v>
      </c>
    </row>
    <row r="84" customFormat="false" ht="14.25" hidden="false" customHeight="true" outlineLevel="0" collapsed="false">
      <c r="A84" s="18" t="s">
        <v>576</v>
      </c>
      <c r="B84" s="5" t="s">
        <v>577</v>
      </c>
      <c r="C84" s="5" t="s">
        <v>578</v>
      </c>
    </row>
    <row r="85" customFormat="false" ht="14.25" hidden="false" customHeight="true" outlineLevel="0" collapsed="false">
      <c r="A85" s="18" t="s">
        <v>579</v>
      </c>
      <c r="B85" s="5" t="s">
        <v>580</v>
      </c>
      <c r="C85" s="5" t="s">
        <v>581</v>
      </c>
    </row>
    <row r="86" customFormat="false" ht="14.25" hidden="false" customHeight="true" outlineLevel="0" collapsed="false">
      <c r="A86" s="18" t="s">
        <v>582</v>
      </c>
      <c r="B86" s="5" t="s">
        <v>583</v>
      </c>
      <c r="C86" s="5" t="s">
        <v>584</v>
      </c>
    </row>
    <row r="87" customFormat="false" ht="14.25" hidden="false" customHeight="true" outlineLevel="0" collapsed="false">
      <c r="A87" s="18" t="s">
        <v>585</v>
      </c>
      <c r="B87" s="5" t="s">
        <v>586</v>
      </c>
      <c r="C87" s="5" t="s">
        <v>587</v>
      </c>
    </row>
    <row r="88" customFormat="false" ht="14.25" hidden="false" customHeight="true" outlineLevel="0" collapsed="false">
      <c r="A88" s="18" t="s">
        <v>588</v>
      </c>
      <c r="B88" s="5" t="s">
        <v>589</v>
      </c>
      <c r="C88" s="5" t="s">
        <v>590</v>
      </c>
    </row>
    <row r="89" customFormat="false" ht="14.25" hidden="false" customHeight="true" outlineLevel="0" collapsed="false">
      <c r="A89" s="18" t="s">
        <v>591</v>
      </c>
      <c r="B89" s="5" t="s">
        <v>592</v>
      </c>
      <c r="C89" s="5"/>
    </row>
    <row r="90" customFormat="false" ht="14.25" hidden="false" customHeight="true" outlineLevel="0" collapsed="false">
      <c r="A90" s="18" t="s">
        <v>593</v>
      </c>
      <c r="B90" s="5" t="s">
        <v>594</v>
      </c>
      <c r="C90" s="5" t="s">
        <v>595</v>
      </c>
    </row>
    <row r="91" customFormat="false" ht="14.25" hidden="false" customHeight="true" outlineLevel="0" collapsed="false">
      <c r="A91" s="18" t="s">
        <v>596</v>
      </c>
      <c r="B91" s="5" t="s">
        <v>597</v>
      </c>
      <c r="C91" s="5" t="s">
        <v>598</v>
      </c>
    </row>
    <row r="92" customFormat="false" ht="14.25" hidden="false" customHeight="true" outlineLevel="0" collapsed="false">
      <c r="A92" s="18" t="s">
        <v>599</v>
      </c>
      <c r="B92" s="5" t="s">
        <v>600</v>
      </c>
      <c r="C92" s="5" t="s">
        <v>601</v>
      </c>
    </row>
    <row r="93" customFormat="false" ht="14.25" hidden="false" customHeight="true" outlineLevel="0" collapsed="false">
      <c r="A93" s="18" t="s">
        <v>602</v>
      </c>
      <c r="B93" s="5" t="s">
        <v>603</v>
      </c>
      <c r="C93" s="5" t="s">
        <v>604</v>
      </c>
    </row>
    <row r="94" customFormat="false" ht="14.25" hidden="false" customHeight="true" outlineLevel="0" collapsed="false">
      <c r="A94" s="18" t="s">
        <v>605</v>
      </c>
      <c r="B94" s="5" t="s">
        <v>606</v>
      </c>
      <c r="C94" s="5" t="s">
        <v>607</v>
      </c>
    </row>
    <row r="95" customFormat="false" ht="14.25" hidden="false" customHeight="true" outlineLevel="0" collapsed="false">
      <c r="A95" s="18" t="s">
        <v>608</v>
      </c>
      <c r="B95" s="5" t="s">
        <v>609</v>
      </c>
      <c r="C95" s="5"/>
    </row>
    <row r="96" customFormat="false" ht="14.25" hidden="false" customHeight="true" outlineLevel="0" collapsed="false">
      <c r="A96" s="18" t="s">
        <v>610</v>
      </c>
      <c r="B96" s="5" t="s">
        <v>611</v>
      </c>
      <c r="C96" s="5" t="s">
        <v>612</v>
      </c>
    </row>
    <row r="97" customFormat="false" ht="14.25" hidden="false" customHeight="true" outlineLevel="0" collapsed="false">
      <c r="A97" s="18" t="s">
        <v>613</v>
      </c>
      <c r="B97" s="5" t="s">
        <v>614</v>
      </c>
      <c r="C97" s="5" t="s">
        <v>615</v>
      </c>
    </row>
    <row r="98" customFormat="false" ht="14.25" hidden="false" customHeight="true" outlineLevel="0" collapsed="false">
      <c r="A98" s="18" t="s">
        <v>616</v>
      </c>
      <c r="B98" s="5" t="s">
        <v>617</v>
      </c>
      <c r="C98" s="5"/>
    </row>
    <row r="99" customFormat="false" ht="14.25" hidden="false" customHeight="true" outlineLevel="0" collapsed="false">
      <c r="A99" s="18" t="s">
        <v>618</v>
      </c>
      <c r="B99" s="5" t="s">
        <v>619</v>
      </c>
      <c r="C99" s="5" t="s">
        <v>620</v>
      </c>
    </row>
    <row r="100" customFormat="false" ht="14.25" hidden="false" customHeight="true" outlineLevel="0" collapsed="false">
      <c r="A100" s="18" t="s">
        <v>621</v>
      </c>
      <c r="B100" s="5" t="s">
        <v>622</v>
      </c>
      <c r="C100" s="5"/>
    </row>
    <row r="101" customFormat="false" ht="14.25" hidden="false" customHeight="true" outlineLevel="0" collapsed="false">
      <c r="A101" s="18" t="s">
        <v>623</v>
      </c>
      <c r="B101" s="5" t="s">
        <v>624</v>
      </c>
      <c r="C101" s="5" t="s">
        <v>625</v>
      </c>
    </row>
    <row r="102" customFormat="false" ht="14.25" hidden="false" customHeight="true" outlineLevel="0" collapsed="false">
      <c r="A102" s="18" t="s">
        <v>626</v>
      </c>
      <c r="B102" s="5" t="s">
        <v>627</v>
      </c>
      <c r="C102" s="5"/>
    </row>
    <row r="103" customFormat="false" ht="14.25" hidden="false" customHeight="true" outlineLevel="0" collapsed="false">
      <c r="A103" s="18" t="s">
        <v>628</v>
      </c>
      <c r="B103" s="5" t="s">
        <v>629</v>
      </c>
      <c r="C103" s="5" t="s">
        <v>630</v>
      </c>
    </row>
    <row r="104" customFormat="false" ht="14.25" hidden="false" customHeight="true" outlineLevel="0" collapsed="false">
      <c r="A104" s="18" t="s">
        <v>631</v>
      </c>
      <c r="B104" s="5" t="s">
        <v>632</v>
      </c>
      <c r="C104" s="5" t="s">
        <v>633</v>
      </c>
    </row>
    <row r="105" customFormat="false" ht="14.25" hidden="false" customHeight="true" outlineLevel="0" collapsed="false">
      <c r="A105" s="18" t="s">
        <v>634</v>
      </c>
      <c r="B105" s="5" t="s">
        <v>635</v>
      </c>
      <c r="C105" s="5" t="s">
        <v>636</v>
      </c>
    </row>
    <row r="106" customFormat="false" ht="14.25" hidden="false" customHeight="true" outlineLevel="0" collapsed="false">
      <c r="A106" s="18" t="s">
        <v>637</v>
      </c>
      <c r="B106" s="5" t="s">
        <v>638</v>
      </c>
      <c r="C106" s="5" t="s">
        <v>639</v>
      </c>
    </row>
    <row r="107" customFormat="false" ht="14.25" hidden="false" customHeight="true" outlineLevel="0" collapsed="false">
      <c r="A107" s="18" t="s">
        <v>640</v>
      </c>
      <c r="B107" s="5" t="s">
        <v>641</v>
      </c>
      <c r="C107" s="5" t="s">
        <v>642</v>
      </c>
    </row>
    <row r="108" customFormat="false" ht="14.25" hidden="false" customHeight="true" outlineLevel="0" collapsed="false">
      <c r="A108" s="18" t="s">
        <v>643</v>
      </c>
      <c r="B108" s="5" t="s">
        <v>644</v>
      </c>
      <c r="C108" s="5" t="s">
        <v>645</v>
      </c>
    </row>
    <row r="109" customFormat="false" ht="14.25" hidden="false" customHeight="true" outlineLevel="0" collapsed="false">
      <c r="A109" s="18" t="s">
        <v>646</v>
      </c>
      <c r="B109" s="5" t="s">
        <v>647</v>
      </c>
      <c r="C109" s="5" t="s">
        <v>648</v>
      </c>
    </row>
    <row r="110" customFormat="false" ht="14.25" hidden="false" customHeight="true" outlineLevel="0" collapsed="false">
      <c r="A110" s="18" t="s">
        <v>649</v>
      </c>
      <c r="B110" s="5" t="s">
        <v>650</v>
      </c>
      <c r="C110" s="5" t="s">
        <v>651</v>
      </c>
    </row>
    <row r="111" customFormat="false" ht="14.25" hidden="false" customHeight="true" outlineLevel="0" collapsed="false">
      <c r="A111" s="18" t="s">
        <v>652</v>
      </c>
      <c r="B111" s="5" t="s">
        <v>653</v>
      </c>
      <c r="C111" s="5" t="s">
        <v>654</v>
      </c>
    </row>
    <row r="112" customFormat="false" ht="14.25" hidden="false" customHeight="true" outlineLevel="0" collapsed="false">
      <c r="A112" s="18" t="s">
        <v>655</v>
      </c>
      <c r="B112" s="5" t="s">
        <v>656</v>
      </c>
      <c r="C112" s="5" t="s">
        <v>657</v>
      </c>
    </row>
    <row r="113" customFormat="false" ht="14.25" hidden="false" customHeight="true" outlineLevel="0" collapsed="false">
      <c r="A113" s="18" t="s">
        <v>658</v>
      </c>
      <c r="B113" s="5" t="s">
        <v>659</v>
      </c>
      <c r="C113" s="5" t="s">
        <v>660</v>
      </c>
    </row>
    <row r="114" customFormat="false" ht="14.25" hidden="false" customHeight="true" outlineLevel="0" collapsed="false">
      <c r="A114" s="18" t="s">
        <v>661</v>
      </c>
      <c r="B114" s="5" t="s">
        <v>662</v>
      </c>
      <c r="C114" s="5" t="s">
        <v>663</v>
      </c>
    </row>
    <row r="115" customFormat="false" ht="14.25" hidden="false" customHeight="true" outlineLevel="0" collapsed="false">
      <c r="A115" s="18" t="s">
        <v>122</v>
      </c>
      <c r="B115" s="5" t="s">
        <v>664</v>
      </c>
      <c r="C115" s="5" t="s">
        <v>665</v>
      </c>
    </row>
    <row r="116" customFormat="false" ht="14.25" hidden="false" customHeight="true" outlineLevel="0" collapsed="false">
      <c r="A116" s="18" t="s">
        <v>666</v>
      </c>
      <c r="B116" s="5" t="s">
        <v>667</v>
      </c>
      <c r="C116" s="5" t="s">
        <v>668</v>
      </c>
    </row>
    <row r="117" customFormat="false" ht="14.25" hidden="false" customHeight="true" outlineLevel="0" collapsed="false">
      <c r="A117" s="18" t="s">
        <v>669</v>
      </c>
      <c r="B117" s="5" t="s">
        <v>670</v>
      </c>
      <c r="C117" s="5" t="s">
        <v>671</v>
      </c>
    </row>
    <row r="118" customFormat="false" ht="14.25" hidden="false" customHeight="true" outlineLevel="0" collapsed="false">
      <c r="A118" s="18" t="s">
        <v>672</v>
      </c>
      <c r="B118" s="5" t="s">
        <v>673</v>
      </c>
      <c r="C118" s="5" t="s">
        <v>674</v>
      </c>
    </row>
    <row r="119" customFormat="false" ht="14.25" hidden="false" customHeight="true" outlineLevel="0" collapsed="false">
      <c r="A119" s="18" t="s">
        <v>675</v>
      </c>
      <c r="B119" s="5" t="s">
        <v>676</v>
      </c>
      <c r="C119" s="5"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678</v>
      </c>
      <c r="B1" s="19" t="s">
        <v>679</v>
      </c>
      <c r="C1" s="19" t="s">
        <v>680</v>
      </c>
      <c r="D1" s="19" t="s">
        <v>681</v>
      </c>
      <c r="E1" s="19" t="s">
        <v>682</v>
      </c>
      <c r="F1" s="19" t="s">
        <v>683</v>
      </c>
    </row>
    <row r="2" customFormat="false" ht="23.25" hidden="false" customHeight="true" outlineLevel="0" collapsed="false">
      <c r="A2" s="3" t="s">
        <v>37</v>
      </c>
      <c r="B2" s="3" t="s">
        <v>684</v>
      </c>
      <c r="C2" s="3" t="s">
        <v>685</v>
      </c>
      <c r="D2" s="3" t="s">
        <v>686</v>
      </c>
      <c r="E2" s="3" t="s">
        <v>687</v>
      </c>
      <c r="F2" s="3" t="s">
        <v>688</v>
      </c>
    </row>
    <row r="3" customFormat="false" ht="23.25" hidden="false" customHeight="true" outlineLevel="0" collapsed="false">
      <c r="A3" s="3" t="s">
        <v>35</v>
      </c>
      <c r="B3" s="3" t="s">
        <v>689</v>
      </c>
      <c r="C3" s="3" t="s">
        <v>690</v>
      </c>
      <c r="D3" s="3" t="s">
        <v>691</v>
      </c>
      <c r="E3" s="3" t="s">
        <v>692</v>
      </c>
      <c r="F3" s="3" t="s">
        <v>693</v>
      </c>
    </row>
    <row r="4" customFormat="false" ht="23.25" hidden="false" customHeight="true" outlineLevel="0" collapsed="false">
      <c r="A4" s="3" t="s">
        <v>694</v>
      </c>
      <c r="B4" s="3" t="s">
        <v>695</v>
      </c>
      <c r="C4" s="3" t="s">
        <v>696</v>
      </c>
      <c r="D4" s="3" t="s">
        <v>697</v>
      </c>
      <c r="E4" s="3" t="s">
        <v>698</v>
      </c>
      <c r="F4" s="3" t="s">
        <v>699</v>
      </c>
    </row>
    <row r="5" customFormat="false" ht="23.25" hidden="false" customHeight="true" outlineLevel="0" collapsed="false">
      <c r="A5" s="3" t="s">
        <v>700</v>
      </c>
      <c r="B5" s="3" t="s">
        <v>701</v>
      </c>
      <c r="C5" s="3" t="s">
        <v>702</v>
      </c>
      <c r="D5" s="3" t="s">
        <v>703</v>
      </c>
      <c r="E5" s="3" t="s">
        <v>704</v>
      </c>
      <c r="F5" s="3" t="s">
        <v>705</v>
      </c>
    </row>
    <row r="6" customFormat="false" ht="15" hidden="false" customHeight="true" outlineLevel="0" collapsed="false">
      <c r="A6" s="3" t="s">
        <v>706</v>
      </c>
      <c r="B6" s="3" t="s">
        <v>707</v>
      </c>
      <c r="C6" s="3" t="s">
        <v>708</v>
      </c>
      <c r="D6" s="3" t="s">
        <v>697</v>
      </c>
      <c r="E6" s="3" t="s">
        <v>709</v>
      </c>
      <c r="F6" s="3"/>
    </row>
    <row r="7" customFormat="false" ht="23.25" hidden="false" customHeight="true" outlineLevel="0" collapsed="false">
      <c r="A7" s="3" t="s">
        <v>710</v>
      </c>
      <c r="B7" s="3" t="s">
        <v>711</v>
      </c>
      <c r="C7" s="3" t="s">
        <v>712</v>
      </c>
      <c r="D7" s="3" t="s">
        <v>686</v>
      </c>
      <c r="E7" s="3" t="s">
        <v>713</v>
      </c>
      <c r="F7" s="3"/>
    </row>
    <row r="8" customFormat="false" ht="23.25" hidden="false" customHeight="true" outlineLevel="0" collapsed="false">
      <c r="A8" s="3" t="s">
        <v>714</v>
      </c>
      <c r="B8" s="3" t="s">
        <v>715</v>
      </c>
      <c r="C8" s="3" t="s">
        <v>716</v>
      </c>
      <c r="D8" s="3" t="s">
        <v>717</v>
      </c>
      <c r="E8" s="3" t="s">
        <v>718</v>
      </c>
      <c r="F8" s="3" t="s">
        <v>719</v>
      </c>
    </row>
    <row r="9" customFormat="false" ht="15" hidden="false" customHeight="true" outlineLevel="0" collapsed="false">
      <c r="A9" s="3" t="s">
        <v>720</v>
      </c>
      <c r="B9" s="3" t="s">
        <v>721</v>
      </c>
      <c r="C9" s="3" t="s">
        <v>722</v>
      </c>
      <c r="D9" s="3" t="s">
        <v>723</v>
      </c>
      <c r="E9" s="3" t="s">
        <v>724</v>
      </c>
      <c r="F9" s="3" t="s">
        <v>725</v>
      </c>
    </row>
    <row r="10" customFormat="false" ht="15" hidden="false" customHeight="true" outlineLevel="0" collapsed="false">
      <c r="A10" s="3" t="s">
        <v>726</v>
      </c>
      <c r="B10" s="3" t="s">
        <v>727</v>
      </c>
      <c r="C10" s="3" t="s">
        <v>728</v>
      </c>
      <c r="D10" s="3" t="s">
        <v>729</v>
      </c>
      <c r="E10" s="3" t="s">
        <v>730</v>
      </c>
      <c r="F10" s="3"/>
    </row>
    <row r="11" customFormat="false" ht="15" hidden="false" customHeight="true" outlineLevel="0" collapsed="false">
      <c r="A11" s="3" t="s">
        <v>731</v>
      </c>
      <c r="B11" s="3" t="s">
        <v>732</v>
      </c>
      <c r="C11" s="3" t="s">
        <v>733</v>
      </c>
      <c r="D11" s="3" t="s">
        <v>734</v>
      </c>
      <c r="E11" s="3" t="s">
        <v>735</v>
      </c>
      <c r="F11" s="3" t="s">
        <v>736</v>
      </c>
    </row>
    <row r="12" customFormat="false" ht="15" hidden="false" customHeight="true" outlineLevel="0" collapsed="false">
      <c r="A12" s="3" t="s">
        <v>737</v>
      </c>
      <c r="B12" s="3" t="s">
        <v>738</v>
      </c>
      <c r="C12" s="3" t="s">
        <v>739</v>
      </c>
      <c r="D12" s="3" t="s">
        <v>686</v>
      </c>
      <c r="E12" s="3" t="s">
        <v>740</v>
      </c>
      <c r="F12" s="3" t="s">
        <v>736</v>
      </c>
    </row>
    <row r="13" customFormat="false" ht="15" hidden="false" customHeight="true" outlineLevel="0" collapsed="false">
      <c r="A13" s="3" t="s">
        <v>741</v>
      </c>
      <c r="B13" s="3" t="s">
        <v>742</v>
      </c>
      <c r="C13" s="3" t="s">
        <v>743</v>
      </c>
      <c r="D13" s="3" t="s">
        <v>686</v>
      </c>
      <c r="E13" s="3" t="s">
        <v>744</v>
      </c>
      <c r="F13" s="3" t="s">
        <v>736</v>
      </c>
    </row>
    <row r="14" customFormat="false" ht="15" hidden="false" customHeight="true" outlineLevel="0" collapsed="false">
      <c r="A14" s="3" t="s">
        <v>745</v>
      </c>
      <c r="B14" s="3" t="s">
        <v>746</v>
      </c>
      <c r="C14" s="3" t="s">
        <v>747</v>
      </c>
      <c r="D14" s="3" t="s">
        <v>686</v>
      </c>
      <c r="E14" s="3" t="s">
        <v>748</v>
      </c>
      <c r="F14" s="3" t="s">
        <v>736</v>
      </c>
    </row>
    <row r="15" customFormat="false" ht="15" hidden="false" customHeight="true" outlineLevel="0" collapsed="false">
      <c r="A15" s="3" t="s">
        <v>749</v>
      </c>
      <c r="B15" s="3" t="s">
        <v>750</v>
      </c>
      <c r="C15" s="3" t="s">
        <v>751</v>
      </c>
      <c r="D15" s="3" t="s">
        <v>752</v>
      </c>
      <c r="E15" s="3" t="s">
        <v>753</v>
      </c>
      <c r="F15" s="3" t="s">
        <v>754</v>
      </c>
    </row>
    <row r="16" customFormat="false" ht="23.25" hidden="false" customHeight="true" outlineLevel="0" collapsed="false">
      <c r="A16" s="3" t="s">
        <v>755</v>
      </c>
      <c r="B16" s="3" t="s">
        <v>756</v>
      </c>
      <c r="C16" s="3" t="s">
        <v>757</v>
      </c>
      <c r="D16" s="3" t="s">
        <v>758</v>
      </c>
      <c r="E16" s="3" t="s">
        <v>759</v>
      </c>
      <c r="F16" s="3" t="s">
        <v>705</v>
      </c>
    </row>
    <row r="17" customFormat="false" ht="15" hidden="false" customHeight="true" outlineLevel="0" collapsed="false">
      <c r="A17" s="3" t="s">
        <v>760</v>
      </c>
      <c r="B17" s="3" t="s">
        <v>761</v>
      </c>
      <c r="C17" s="3" t="s">
        <v>762</v>
      </c>
      <c r="D17" s="3" t="s">
        <v>763</v>
      </c>
      <c r="E17" s="3" t="s">
        <v>764</v>
      </c>
      <c r="F17" s="3" t="s">
        <v>765</v>
      </c>
    </row>
    <row r="18" customFormat="false" ht="15" hidden="false" customHeight="true" outlineLevel="0" collapsed="false">
      <c r="A18" s="3" t="s">
        <v>766</v>
      </c>
      <c r="B18" s="3" t="s">
        <v>767</v>
      </c>
      <c r="C18" s="3" t="s">
        <v>768</v>
      </c>
      <c r="D18" s="3" t="s">
        <v>734</v>
      </c>
      <c r="E18" s="3" t="s">
        <v>769</v>
      </c>
      <c r="F18" s="3" t="s">
        <v>770</v>
      </c>
    </row>
    <row r="19" customFormat="false" ht="15" hidden="false" customHeight="true" outlineLevel="0" collapsed="false">
      <c r="A19" s="3" t="s">
        <v>771</v>
      </c>
      <c r="B19" s="3" t="s">
        <v>772</v>
      </c>
      <c r="C19" s="3" t="s">
        <v>773</v>
      </c>
      <c r="D19" s="3" t="s">
        <v>697</v>
      </c>
      <c r="E19" s="3" t="s">
        <v>774</v>
      </c>
      <c r="F19" s="3"/>
    </row>
    <row r="20" customFormat="false" ht="23.25" hidden="false" customHeight="true" outlineLevel="0" collapsed="false">
      <c r="A20" s="3" t="s">
        <v>775</v>
      </c>
      <c r="B20" s="3" t="s">
        <v>776</v>
      </c>
      <c r="C20" s="3" t="s">
        <v>777</v>
      </c>
      <c r="D20" s="3" t="s">
        <v>778</v>
      </c>
      <c r="E20" s="3" t="s">
        <v>779</v>
      </c>
      <c r="F20" s="3"/>
    </row>
    <row r="21" customFormat="false" ht="15" hidden="false" customHeight="true" outlineLevel="0" collapsed="false">
      <c r="A21" s="3" t="s">
        <v>780</v>
      </c>
      <c r="B21" s="3" t="s">
        <v>781</v>
      </c>
      <c r="C21" s="3" t="s">
        <v>782</v>
      </c>
      <c r="D21" s="3" t="s">
        <v>783</v>
      </c>
      <c r="E21" s="3" t="s">
        <v>784</v>
      </c>
      <c r="F21" s="3" t="s">
        <v>785</v>
      </c>
    </row>
    <row r="22" customFormat="false" ht="15" hidden="false" customHeight="true" outlineLevel="0" collapsed="false">
      <c r="A22" s="3" t="s">
        <v>786</v>
      </c>
      <c r="B22" s="3" t="s">
        <v>787</v>
      </c>
      <c r="C22" s="3" t="s">
        <v>788</v>
      </c>
      <c r="D22" s="3" t="s">
        <v>717</v>
      </c>
      <c r="E22" s="3" t="s">
        <v>789</v>
      </c>
      <c r="F22" s="3"/>
    </row>
    <row r="23" customFormat="false" ht="15" hidden="false" customHeight="true" outlineLevel="0" collapsed="false">
      <c r="A23" s="3" t="s">
        <v>790</v>
      </c>
      <c r="B23" s="3" t="s">
        <v>791</v>
      </c>
      <c r="C23" s="3" t="s">
        <v>792</v>
      </c>
      <c r="D23" s="3" t="s">
        <v>793</v>
      </c>
      <c r="E23" s="3" t="s">
        <v>794</v>
      </c>
      <c r="F23" s="3"/>
    </row>
    <row r="24" customFormat="false" ht="23.25" hidden="false" customHeight="true" outlineLevel="0" collapsed="false">
      <c r="A24" s="3" t="s">
        <v>795</v>
      </c>
      <c r="B24" s="3" t="s">
        <v>796</v>
      </c>
      <c r="C24" s="3" t="s">
        <v>797</v>
      </c>
      <c r="D24" s="3" t="s">
        <v>783</v>
      </c>
      <c r="E24" s="3" t="s">
        <v>798</v>
      </c>
      <c r="F24" s="3" t="s">
        <v>799</v>
      </c>
    </row>
    <row r="25" customFormat="false" ht="23.25" hidden="false" customHeight="true" outlineLevel="0" collapsed="false">
      <c r="A25" s="3" t="s">
        <v>800</v>
      </c>
      <c r="B25" s="3" t="s">
        <v>801</v>
      </c>
      <c r="C25" s="3" t="s">
        <v>802</v>
      </c>
      <c r="D25" s="3" t="s">
        <v>803</v>
      </c>
      <c r="E25" s="3" t="s">
        <v>804</v>
      </c>
      <c r="F25" s="3" t="s">
        <v>799</v>
      </c>
    </row>
    <row r="26" customFormat="false" ht="23.25" hidden="false" customHeight="true" outlineLevel="0" collapsed="false">
      <c r="A26" s="3" t="s">
        <v>805</v>
      </c>
      <c r="B26" s="3" t="s">
        <v>806</v>
      </c>
      <c r="C26" s="3" t="s">
        <v>807</v>
      </c>
      <c r="D26" s="3" t="s">
        <v>778</v>
      </c>
      <c r="E26" s="3" t="s">
        <v>808</v>
      </c>
      <c r="F26" s="3" t="s">
        <v>799</v>
      </c>
    </row>
    <row r="27" customFormat="false" ht="15" hidden="false" customHeight="true" outlineLevel="0" collapsed="false">
      <c r="A27" s="3" t="s">
        <v>809</v>
      </c>
      <c r="B27" s="3" t="s">
        <v>810</v>
      </c>
      <c r="C27" s="3" t="s">
        <v>811</v>
      </c>
      <c r="D27" s="3" t="s">
        <v>812</v>
      </c>
      <c r="E27" s="3" t="s">
        <v>813</v>
      </c>
      <c r="F27" s="3" t="s">
        <v>799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814</v>
      </c>
      <c r="G1" s="20" t="s">
        <v>815</v>
      </c>
      <c r="H1" s="20" t="s">
        <v>60</v>
      </c>
      <c r="I1" s="20" t="s">
        <v>61</v>
      </c>
      <c r="J1" s="20" t="s">
        <v>62</v>
      </c>
      <c r="K1" s="20" t="s">
        <v>63</v>
      </c>
      <c r="L1" s="20" t="s">
        <v>816</v>
      </c>
      <c r="M1" s="20" t="s">
        <v>817</v>
      </c>
      <c r="N1" s="20" t="s">
        <v>818</v>
      </c>
      <c r="O1" s="20" t="s">
        <v>64</v>
      </c>
      <c r="P1" s="20" t="s">
        <v>819</v>
      </c>
      <c r="Q1" s="20" t="s">
        <v>65</v>
      </c>
      <c r="R1" s="20" t="s">
        <v>820</v>
      </c>
      <c r="S1" s="20" t="s">
        <v>66</v>
      </c>
      <c r="T1" s="20" t="s">
        <v>67</v>
      </c>
      <c r="U1" s="20" t="s">
        <v>821</v>
      </c>
      <c r="V1" s="21" t="s">
        <v>822</v>
      </c>
      <c r="W1" s="21" t="s">
        <v>823</v>
      </c>
      <c r="X1" s="21" t="s">
        <v>73</v>
      </c>
      <c r="Y1" s="21" t="s">
        <v>75</v>
      </c>
      <c r="Z1" s="21" t="s">
        <v>824</v>
      </c>
      <c r="AA1" s="21" t="s">
        <v>825</v>
      </c>
      <c r="AB1" s="21" t="s">
        <v>826</v>
      </c>
      <c r="AC1" s="21" t="s">
        <v>827</v>
      </c>
      <c r="AD1" s="21" t="s">
        <v>828</v>
      </c>
      <c r="AE1" s="21" t="s">
        <v>829</v>
      </c>
      <c r="AF1" s="21" t="s">
        <v>74</v>
      </c>
      <c r="AG1" s="22" t="s">
        <v>830</v>
      </c>
      <c r="AH1" s="22" t="s">
        <v>831</v>
      </c>
      <c r="AI1" s="22" t="s">
        <v>832</v>
      </c>
      <c r="AJ1" s="22" t="s">
        <v>833</v>
      </c>
      <c r="AK1" s="22" t="s">
        <v>834</v>
      </c>
      <c r="AL1" s="22" t="s">
        <v>835</v>
      </c>
      <c r="AM1" s="22" t="s">
        <v>836</v>
      </c>
      <c r="AN1" s="22" t="s">
        <v>837</v>
      </c>
      <c r="AO1" s="22" t="s">
        <v>838</v>
      </c>
      <c r="AP1" s="22" t="s">
        <v>839</v>
      </c>
      <c r="AQ1" s="22" t="s">
        <v>840</v>
      </c>
      <c r="AR1" s="22" t="s">
        <v>841</v>
      </c>
    </row>
    <row r="2" customFormat="false" ht="15" hidden="false" customHeight="true" outlineLevel="0" collapsed="false">
      <c r="A2" s="5" t="n">
        <v>164</v>
      </c>
      <c r="B2" s="5" t="n">
        <v>164</v>
      </c>
      <c r="C2" s="5" t="s">
        <v>842</v>
      </c>
      <c r="D2" s="5" t="n">
        <v>2000</v>
      </c>
      <c r="E2" s="5" t="s">
        <v>843</v>
      </c>
      <c r="F2" s="5" t="s">
        <v>844</v>
      </c>
      <c r="G2" s="5" t="s">
        <v>845</v>
      </c>
      <c r="H2" s="5" t="s">
        <v>846</v>
      </c>
      <c r="I2" s="5" t="s">
        <v>847</v>
      </c>
      <c r="J2" s="5"/>
      <c r="K2" s="5"/>
      <c r="L2" s="5"/>
      <c r="M2" s="5"/>
      <c r="N2" s="5" t="s">
        <v>848</v>
      </c>
      <c r="O2" s="5" t="s">
        <v>849</v>
      </c>
      <c r="P2" s="5" t="s">
        <v>850</v>
      </c>
      <c r="Q2" s="5" t="s">
        <v>851</v>
      </c>
      <c r="R2" s="5" t="s">
        <v>852</v>
      </c>
      <c r="S2" s="5" t="s">
        <v>853</v>
      </c>
      <c r="T2" s="5"/>
      <c r="U2" s="5"/>
      <c r="V2" s="5"/>
      <c r="W2" s="5"/>
      <c r="X2" s="5"/>
      <c r="Y2" s="5"/>
      <c r="Z2" s="5"/>
      <c r="AA2" s="5"/>
      <c r="AB2" s="5"/>
      <c r="AC2" s="5"/>
      <c r="AD2" s="5"/>
      <c r="AE2" s="5"/>
      <c r="AF2" s="5"/>
      <c r="AG2" s="5" t="s">
        <v>854</v>
      </c>
      <c r="AH2" s="5"/>
      <c r="AI2" s="5"/>
      <c r="AJ2" s="5" t="s">
        <v>855</v>
      </c>
      <c r="AK2" s="5" t="n">
        <v>26</v>
      </c>
      <c r="AL2" s="5" t="n">
        <v>33</v>
      </c>
      <c r="AM2" s="5" t="s">
        <v>856</v>
      </c>
      <c r="AN2" s="5" t="s">
        <v>857</v>
      </c>
      <c r="AO2" s="5" t="s">
        <v>858</v>
      </c>
      <c r="AP2" s="5" t="s">
        <v>859</v>
      </c>
      <c r="AQ2" s="5" t="s">
        <v>860</v>
      </c>
      <c r="AR2" s="23" t="s">
        <v>861</v>
      </c>
    </row>
    <row r="3" customFormat="false" ht="15" hidden="false" customHeight="true" outlineLevel="0" collapsed="false">
      <c r="A3" s="5" t="n">
        <v>165</v>
      </c>
      <c r="B3" s="5" t="n">
        <v>165</v>
      </c>
      <c r="C3" s="5" t="s">
        <v>862</v>
      </c>
      <c r="D3" s="5" t="n">
        <v>2012</v>
      </c>
      <c r="E3" s="5" t="s">
        <v>863</v>
      </c>
      <c r="F3" s="5" t="s">
        <v>864</v>
      </c>
      <c r="G3" s="5" t="s">
        <v>865</v>
      </c>
      <c r="H3" s="5" t="s">
        <v>866</v>
      </c>
      <c r="I3" s="5" t="s">
        <v>867</v>
      </c>
      <c r="J3" s="5" t="n">
        <v>28.633</v>
      </c>
      <c r="K3" s="5" t="n">
        <v>77.183</v>
      </c>
      <c r="L3" s="5" t="s">
        <v>868</v>
      </c>
      <c r="M3" s="5" t="s">
        <v>869</v>
      </c>
      <c r="N3" s="5" t="s">
        <v>870</v>
      </c>
      <c r="O3" s="5" t="s">
        <v>83</v>
      </c>
      <c r="P3" s="5" t="n">
        <v>2006</v>
      </c>
      <c r="Q3" s="5" t="s">
        <v>871</v>
      </c>
      <c r="R3" s="5" t="n">
        <v>2</v>
      </c>
      <c r="S3" s="5" t="s">
        <v>872</v>
      </c>
      <c r="T3" s="5" t="s">
        <v>85</v>
      </c>
      <c r="U3" s="5" t="s">
        <v>873</v>
      </c>
      <c r="V3" s="5" t="n">
        <v>52.06</v>
      </c>
      <c r="W3" s="5" t="n">
        <v>22.54</v>
      </c>
      <c r="X3" s="5" t="n">
        <v>25.4</v>
      </c>
      <c r="Y3" s="5" t="n">
        <v>8.16</v>
      </c>
      <c r="Z3" s="5" t="n">
        <v>5.2</v>
      </c>
      <c r="AA3" s="5" t="n">
        <v>1.5</v>
      </c>
      <c r="AB3" s="5"/>
      <c r="AC3" s="5"/>
      <c r="AD3" s="5"/>
      <c r="AE3" s="5"/>
      <c r="AF3" s="5"/>
      <c r="AG3" s="5" t="s">
        <v>874</v>
      </c>
      <c r="AH3" s="5" t="s">
        <v>875</v>
      </c>
      <c r="AI3" s="5" t="s">
        <v>876</v>
      </c>
      <c r="AJ3" s="5" t="s">
        <v>877</v>
      </c>
      <c r="AK3" s="5"/>
      <c r="AL3" s="5"/>
      <c r="AM3" s="5" t="s">
        <v>878</v>
      </c>
      <c r="AN3" s="5" t="s">
        <v>879</v>
      </c>
      <c r="AO3" s="5" t="s">
        <v>880</v>
      </c>
      <c r="AP3" s="5" t="s">
        <v>881</v>
      </c>
      <c r="AQ3" s="5" t="s">
        <v>860</v>
      </c>
      <c r="AR3" s="23" t="s">
        <v>882</v>
      </c>
    </row>
    <row r="4" customFormat="false" ht="15" hidden="false" customHeight="true" outlineLevel="0" collapsed="false">
      <c r="A4" s="5" t="n">
        <v>166</v>
      </c>
      <c r="B4" s="5" t="n">
        <v>166</v>
      </c>
      <c r="C4" s="5" t="s">
        <v>883</v>
      </c>
      <c r="D4" s="5" t="n">
        <v>2014</v>
      </c>
      <c r="E4" s="5" t="s">
        <v>884</v>
      </c>
      <c r="F4" s="5" t="s">
        <v>885</v>
      </c>
      <c r="G4" s="5" t="s">
        <v>886</v>
      </c>
      <c r="H4" s="5" t="s">
        <v>887</v>
      </c>
      <c r="I4" s="5" t="s">
        <v>888</v>
      </c>
      <c r="J4" s="5" t="n">
        <v>29.067</v>
      </c>
      <c r="K4" s="5" t="n">
        <v>77.767</v>
      </c>
      <c r="L4" s="5" t="s">
        <v>889</v>
      </c>
      <c r="M4" s="5" t="s">
        <v>890</v>
      </c>
      <c r="N4" s="5" t="s">
        <v>870</v>
      </c>
      <c r="O4" s="5" t="s">
        <v>83</v>
      </c>
      <c r="P4" s="5" t="n">
        <v>1993</v>
      </c>
      <c r="Q4" s="5" t="n">
        <v>2011</v>
      </c>
      <c r="R4" s="5" t="s">
        <v>891</v>
      </c>
      <c r="S4" s="5" t="s">
        <v>853</v>
      </c>
      <c r="T4" s="5" t="s">
        <v>85</v>
      </c>
      <c r="U4" s="5" t="s">
        <v>892</v>
      </c>
      <c r="V4" s="5" t="n">
        <v>55</v>
      </c>
      <c r="W4" s="5" t="n">
        <v>18</v>
      </c>
      <c r="X4" s="5" t="n">
        <v>27</v>
      </c>
      <c r="Y4" s="5" t="n">
        <v>7.98</v>
      </c>
      <c r="Z4" s="5" t="n">
        <v>4.1</v>
      </c>
      <c r="AA4" s="5" t="n">
        <v>1.55</v>
      </c>
      <c r="AB4" s="5" t="n">
        <v>5</v>
      </c>
      <c r="AC4" s="5" t="n">
        <v>45.5</v>
      </c>
      <c r="AD4" s="5"/>
      <c r="AE4" s="5"/>
      <c r="AF4" s="5" t="n">
        <v>863</v>
      </c>
      <c r="AG4" s="5" t="s">
        <v>893</v>
      </c>
      <c r="AH4" s="5" t="s">
        <v>894</v>
      </c>
      <c r="AI4" s="5" t="s">
        <v>895</v>
      </c>
      <c r="AJ4" s="5" t="s">
        <v>896</v>
      </c>
      <c r="AK4" s="5" t="n">
        <v>26</v>
      </c>
      <c r="AL4" s="5" t="n">
        <v>33</v>
      </c>
      <c r="AM4" s="5" t="s">
        <v>897</v>
      </c>
      <c r="AN4" s="5" t="s">
        <v>898</v>
      </c>
      <c r="AO4" s="5" t="s">
        <v>899</v>
      </c>
      <c r="AP4" s="5" t="s">
        <v>900</v>
      </c>
      <c r="AQ4" s="5" t="s">
        <v>860</v>
      </c>
      <c r="AR4" s="23" t="s">
        <v>901</v>
      </c>
    </row>
    <row r="5" customFormat="false" ht="15" hidden="false" customHeight="true" outlineLevel="0" collapsed="false">
      <c r="A5" s="5" t="n">
        <v>167</v>
      </c>
      <c r="B5" s="5" t="n">
        <v>167</v>
      </c>
      <c r="C5" s="5" t="s">
        <v>902</v>
      </c>
      <c r="D5" s="5" t="n">
        <v>2023</v>
      </c>
      <c r="E5" s="5" t="s">
        <v>903</v>
      </c>
      <c r="F5" s="5" t="s">
        <v>904</v>
      </c>
      <c r="G5" s="5" t="s">
        <v>905</v>
      </c>
      <c r="H5" s="5" t="s">
        <v>906</v>
      </c>
      <c r="I5" s="5" t="s">
        <v>907</v>
      </c>
      <c r="J5" s="5"/>
      <c r="K5" s="5"/>
      <c r="L5" s="5"/>
      <c r="M5" s="5"/>
      <c r="N5" s="5"/>
      <c r="O5" s="5"/>
      <c r="P5" s="5" t="n">
        <v>2015</v>
      </c>
      <c r="Q5" s="5" t="s">
        <v>908</v>
      </c>
      <c r="R5" s="5"/>
      <c r="S5" s="5"/>
      <c r="T5" s="5"/>
      <c r="U5" s="5"/>
      <c r="V5" s="5"/>
      <c r="W5" s="5"/>
      <c r="X5" s="5"/>
      <c r="Y5" s="5"/>
      <c r="Z5" s="5"/>
      <c r="AA5" s="5"/>
      <c r="AB5" s="5"/>
      <c r="AC5" s="5"/>
      <c r="AD5" s="5"/>
      <c r="AE5" s="5"/>
      <c r="AF5" s="5"/>
      <c r="AG5" s="5" t="s">
        <v>909</v>
      </c>
      <c r="AH5" s="5"/>
      <c r="AI5" s="5"/>
      <c r="AJ5" s="5"/>
      <c r="AK5" s="5"/>
      <c r="AL5" s="5"/>
      <c r="AM5" s="5"/>
      <c r="AN5" s="5"/>
      <c r="AO5" s="5" t="s">
        <v>910</v>
      </c>
      <c r="AP5" s="5" t="s">
        <v>911</v>
      </c>
      <c r="AQ5" s="5" t="s">
        <v>860</v>
      </c>
      <c r="AR5" s="23" t="s">
        <v>912</v>
      </c>
    </row>
    <row r="6" customFormat="false" ht="15" hidden="false" customHeight="true" outlineLevel="0" collapsed="false">
      <c r="A6" s="5" t="n">
        <v>168</v>
      </c>
      <c r="B6" s="5" t="n">
        <v>168</v>
      </c>
      <c r="C6" s="5" t="s">
        <v>913</v>
      </c>
      <c r="D6" s="5" t="n">
        <v>2020</v>
      </c>
      <c r="E6" s="5" t="s">
        <v>914</v>
      </c>
      <c r="F6" s="5" t="s">
        <v>915</v>
      </c>
      <c r="G6" s="5" t="s">
        <v>916</v>
      </c>
      <c r="H6" s="5" t="s">
        <v>917</v>
      </c>
      <c r="I6" s="5" t="s">
        <v>918</v>
      </c>
      <c r="J6" s="5" t="n">
        <v>30.933</v>
      </c>
      <c r="K6" s="5" t="n">
        <v>75.867</v>
      </c>
      <c r="L6" s="5" t="s">
        <v>919</v>
      </c>
      <c r="M6" s="5" t="s">
        <v>920</v>
      </c>
      <c r="N6" s="5" t="s">
        <v>870</v>
      </c>
      <c r="O6" s="5" t="s">
        <v>921</v>
      </c>
      <c r="P6" s="5" t="n">
        <v>2011</v>
      </c>
      <c r="Q6" s="5" t="n">
        <v>2016</v>
      </c>
      <c r="R6" s="5" t="n">
        <v>1</v>
      </c>
      <c r="S6" s="5" t="s">
        <v>84</v>
      </c>
      <c r="T6" s="5" t="s">
        <v>85</v>
      </c>
      <c r="U6" s="5" t="s">
        <v>922</v>
      </c>
      <c r="V6" s="5"/>
      <c r="W6" s="5"/>
      <c r="X6" s="5"/>
      <c r="Y6" s="5" t="n">
        <v>7.4</v>
      </c>
      <c r="Z6" s="5"/>
      <c r="AA6" s="5"/>
      <c r="AB6" s="5"/>
      <c r="AC6" s="5"/>
      <c r="AD6" s="5"/>
      <c r="AE6" s="5"/>
      <c r="AF6" s="5" t="n">
        <v>734</v>
      </c>
      <c r="AG6" s="5" t="s">
        <v>923</v>
      </c>
      <c r="AH6" s="5" t="s">
        <v>924</v>
      </c>
      <c r="AI6" s="5" t="s">
        <v>925</v>
      </c>
      <c r="AJ6" s="5"/>
      <c r="AK6" s="5"/>
      <c r="AL6" s="5"/>
      <c r="AM6" s="5" t="s">
        <v>926</v>
      </c>
      <c r="AN6" s="5" t="s">
        <v>927</v>
      </c>
      <c r="AO6" s="5" t="s">
        <v>928</v>
      </c>
      <c r="AP6" s="5" t="s">
        <v>929</v>
      </c>
      <c r="AQ6" s="5" t="s">
        <v>860</v>
      </c>
      <c r="AR6" s="23" t="s">
        <v>930</v>
      </c>
    </row>
    <row r="7" customFormat="false" ht="15" hidden="false" customHeight="true" outlineLevel="0" collapsed="false">
      <c r="A7" s="5" t="n">
        <v>169</v>
      </c>
      <c r="B7" s="5" t="n">
        <v>169</v>
      </c>
      <c r="C7" s="5" t="s">
        <v>931</v>
      </c>
      <c r="D7" s="5" t="n">
        <v>2005</v>
      </c>
      <c r="E7" s="5" t="s">
        <v>843</v>
      </c>
      <c r="F7" s="5" t="s">
        <v>932</v>
      </c>
      <c r="G7" s="5" t="s">
        <v>933</v>
      </c>
      <c r="H7" s="5" t="s">
        <v>887</v>
      </c>
      <c r="I7" s="5" t="s">
        <v>934</v>
      </c>
      <c r="J7" s="5"/>
      <c r="K7" s="5"/>
      <c r="L7" s="5"/>
      <c r="M7" s="5"/>
      <c r="N7" s="5"/>
      <c r="O7" s="5"/>
      <c r="P7" s="5"/>
      <c r="Q7" s="5"/>
      <c r="R7" s="5"/>
      <c r="S7" s="5"/>
      <c r="T7" s="5"/>
      <c r="U7" s="5"/>
      <c r="V7" s="5"/>
      <c r="W7" s="5"/>
      <c r="X7" s="5"/>
      <c r="Y7" s="5"/>
      <c r="Z7" s="5"/>
      <c r="AA7" s="5"/>
      <c r="AB7" s="5"/>
      <c r="AC7" s="5"/>
      <c r="AD7" s="5"/>
      <c r="AE7" s="5"/>
      <c r="AF7" s="5"/>
      <c r="AG7" s="5" t="s">
        <v>935</v>
      </c>
      <c r="AH7" s="5"/>
      <c r="AI7" s="5"/>
      <c r="AJ7" s="5"/>
      <c r="AK7" s="5"/>
      <c r="AL7" s="5"/>
      <c r="AM7" s="5"/>
      <c r="AN7" s="5"/>
      <c r="AO7" s="5" t="s">
        <v>936</v>
      </c>
      <c r="AP7" s="5" t="s">
        <v>911</v>
      </c>
      <c r="AQ7" s="5" t="s">
        <v>860</v>
      </c>
      <c r="AR7" s="23" t="s">
        <v>937</v>
      </c>
    </row>
    <row r="8" customFormat="false" ht="15" hidden="false" customHeight="true" outlineLevel="0" collapsed="false">
      <c r="A8" s="5" t="s">
        <v>938</v>
      </c>
      <c r="B8" s="5" t="s">
        <v>938</v>
      </c>
      <c r="C8" s="5" t="s">
        <v>939</v>
      </c>
      <c r="D8" s="5" t="n">
        <v>2019</v>
      </c>
      <c r="E8" s="5" t="s">
        <v>884</v>
      </c>
      <c r="F8" s="5" t="s">
        <v>940</v>
      </c>
      <c r="G8" s="5" t="s">
        <v>941</v>
      </c>
      <c r="H8" s="5" t="s">
        <v>942</v>
      </c>
      <c r="I8" s="5" t="s">
        <v>943</v>
      </c>
      <c r="J8" s="5" t="n">
        <v>29.7</v>
      </c>
      <c r="K8" s="5" t="n">
        <v>76.96</v>
      </c>
      <c r="L8" s="5" t="s">
        <v>944</v>
      </c>
      <c r="M8" s="5" t="s">
        <v>945</v>
      </c>
      <c r="N8" s="5" t="s">
        <v>946</v>
      </c>
      <c r="O8" s="5" t="s">
        <v>83</v>
      </c>
      <c r="P8" s="5" t="n">
        <v>2009</v>
      </c>
      <c r="Q8" s="5" t="s">
        <v>947</v>
      </c>
      <c r="R8" s="5" t="s">
        <v>948</v>
      </c>
      <c r="S8" s="5" t="s">
        <v>84</v>
      </c>
      <c r="T8" s="5" t="s">
        <v>85</v>
      </c>
      <c r="U8" s="5" t="s">
        <v>949</v>
      </c>
      <c r="V8" s="5"/>
      <c r="W8" s="5"/>
      <c r="X8" s="5"/>
      <c r="Y8" s="5"/>
      <c r="Z8" s="5"/>
      <c r="AA8" s="5"/>
      <c r="AB8" s="5" t="n">
        <v>2</v>
      </c>
      <c r="AC8" s="5" t="n">
        <v>42.5</v>
      </c>
      <c r="AD8" s="5"/>
      <c r="AE8" s="5"/>
      <c r="AF8" s="5" t="n">
        <v>700</v>
      </c>
      <c r="AG8" s="5" t="s">
        <v>950</v>
      </c>
      <c r="AH8" s="5"/>
      <c r="AI8" s="5"/>
      <c r="AJ8" s="5"/>
      <c r="AK8" s="5"/>
      <c r="AL8" s="5"/>
      <c r="AM8" s="5" t="s">
        <v>951</v>
      </c>
      <c r="AN8" s="5"/>
      <c r="AO8" s="5" t="s">
        <v>952</v>
      </c>
      <c r="AP8" s="5" t="s">
        <v>953</v>
      </c>
      <c r="AQ8" s="5" t="s">
        <v>860</v>
      </c>
      <c r="AR8" s="23" t="s">
        <v>954</v>
      </c>
    </row>
    <row r="9" customFormat="false" ht="15" hidden="false" customHeight="true" outlineLevel="0" collapsed="false">
      <c r="A9" s="5" t="s">
        <v>955</v>
      </c>
      <c r="B9" s="5" t="s">
        <v>955</v>
      </c>
      <c r="C9" s="5" t="s">
        <v>956</v>
      </c>
      <c r="D9" s="5" t="n">
        <v>2019</v>
      </c>
      <c r="E9" s="5" t="s">
        <v>957</v>
      </c>
      <c r="F9" s="5" t="s">
        <v>958</v>
      </c>
      <c r="G9" s="5" t="s">
        <v>959</v>
      </c>
      <c r="H9" s="5" t="s">
        <v>942</v>
      </c>
      <c r="I9" s="5" t="s">
        <v>943</v>
      </c>
      <c r="J9" s="5" t="n">
        <v>29.7</v>
      </c>
      <c r="K9" s="5" t="n">
        <v>76.95</v>
      </c>
      <c r="L9" s="5"/>
      <c r="M9" s="5"/>
      <c r="N9" s="5" t="s">
        <v>870</v>
      </c>
      <c r="O9" s="5" t="s">
        <v>83</v>
      </c>
      <c r="P9" s="5" t="n">
        <v>2009</v>
      </c>
      <c r="Q9" s="5" t="n">
        <v>2013</v>
      </c>
      <c r="R9" s="5" t="n">
        <v>1</v>
      </c>
      <c r="S9" s="5" t="s">
        <v>84</v>
      </c>
      <c r="T9" s="5" t="s">
        <v>85</v>
      </c>
      <c r="U9" s="5" t="s">
        <v>960</v>
      </c>
      <c r="V9" s="5"/>
      <c r="W9" s="5"/>
      <c r="X9" s="5"/>
      <c r="Y9" s="5"/>
      <c r="Z9" s="5" t="n">
        <v>4.5</v>
      </c>
      <c r="AA9" s="5"/>
      <c r="AB9" s="5" t="n">
        <v>11.62</v>
      </c>
      <c r="AC9" s="5" t="n">
        <v>31.68</v>
      </c>
      <c r="AD9" s="5"/>
      <c r="AE9" s="5"/>
      <c r="AF9" s="5" t="n">
        <v>670</v>
      </c>
      <c r="AG9" s="5" t="s">
        <v>950</v>
      </c>
      <c r="AH9" s="5"/>
      <c r="AI9" s="5"/>
      <c r="AJ9" s="5"/>
      <c r="AK9" s="5"/>
      <c r="AL9" s="5"/>
      <c r="AM9" s="5" t="s">
        <v>961</v>
      </c>
      <c r="AN9" s="5"/>
      <c r="AO9" s="5" t="s">
        <v>962</v>
      </c>
      <c r="AP9" s="5" t="s">
        <v>963</v>
      </c>
      <c r="AQ9" s="5" t="s">
        <v>860</v>
      </c>
      <c r="AR9" s="23" t="s">
        <v>964</v>
      </c>
    </row>
    <row r="10" customFormat="false" ht="15" hidden="false" customHeight="true" outlineLevel="0" collapsed="false">
      <c r="A10" s="5" t="s">
        <v>965</v>
      </c>
      <c r="B10" s="5" t="s">
        <v>965</v>
      </c>
      <c r="C10" s="5" t="s">
        <v>966</v>
      </c>
      <c r="D10" s="5" t="n">
        <v>2020</v>
      </c>
      <c r="E10" s="5" t="s">
        <v>967</v>
      </c>
      <c r="F10" s="5" t="s">
        <v>968</v>
      </c>
      <c r="G10" s="5" t="s">
        <v>969</v>
      </c>
      <c r="H10" s="5" t="s">
        <v>866</v>
      </c>
      <c r="I10" s="5" t="s">
        <v>970</v>
      </c>
      <c r="J10" s="5" t="n">
        <v>28.4</v>
      </c>
      <c r="K10" s="5" t="n">
        <v>77.1</v>
      </c>
      <c r="L10" s="5" t="s">
        <v>971</v>
      </c>
      <c r="M10" s="5" t="s">
        <v>972</v>
      </c>
      <c r="N10" s="5" t="s">
        <v>870</v>
      </c>
      <c r="O10" s="5" t="s">
        <v>83</v>
      </c>
      <c r="P10" s="5" t="n">
        <v>2003</v>
      </c>
      <c r="Q10" s="5" t="s">
        <v>973</v>
      </c>
      <c r="R10" s="5"/>
      <c r="S10" s="5" t="s">
        <v>853</v>
      </c>
      <c r="T10" s="5" t="s">
        <v>85</v>
      </c>
      <c r="U10" s="5" t="s">
        <v>873</v>
      </c>
      <c r="V10" s="5" t="n">
        <v>52.1</v>
      </c>
      <c r="W10" s="5" t="n">
        <v>22.5</v>
      </c>
      <c r="X10" s="5" t="n">
        <v>25.4</v>
      </c>
      <c r="Y10" s="5" t="n">
        <v>8.45</v>
      </c>
      <c r="Z10" s="5" t="n">
        <v>5.1</v>
      </c>
      <c r="AA10" s="5" t="n">
        <v>1.5</v>
      </c>
      <c r="AB10" s="5" t="n">
        <v>18</v>
      </c>
      <c r="AC10" s="5" t="n">
        <v>35.2</v>
      </c>
      <c r="AD10" s="5"/>
      <c r="AE10" s="5"/>
      <c r="AF10" s="5" t="n">
        <v>750</v>
      </c>
      <c r="AG10" s="5" t="s">
        <v>974</v>
      </c>
      <c r="AH10" s="5" t="s">
        <v>975</v>
      </c>
      <c r="AI10" s="5" t="s">
        <v>976</v>
      </c>
      <c r="AJ10" s="5" t="s">
        <v>977</v>
      </c>
      <c r="AK10" s="5"/>
      <c r="AL10" s="5"/>
      <c r="AM10" s="5" t="s">
        <v>978</v>
      </c>
      <c r="AN10" s="5"/>
      <c r="AO10" s="5" t="s">
        <v>979</v>
      </c>
      <c r="AP10" s="5" t="s">
        <v>980</v>
      </c>
      <c r="AQ10" s="5" t="s">
        <v>860</v>
      </c>
      <c r="AR10" s="23" t="s">
        <v>981</v>
      </c>
    </row>
    <row r="11" customFormat="false" ht="15" hidden="false" customHeight="true" outlineLevel="0" collapsed="false">
      <c r="A11" s="5" t="s">
        <v>982</v>
      </c>
      <c r="B11" s="5" t="s">
        <v>982</v>
      </c>
      <c r="C11" s="5" t="s">
        <v>983</v>
      </c>
      <c r="D11" s="5" t="n">
        <v>2023</v>
      </c>
      <c r="E11" s="5" t="s">
        <v>984</v>
      </c>
      <c r="F11" s="5" t="s">
        <v>985</v>
      </c>
      <c r="G11" s="5" t="s">
        <v>986</v>
      </c>
      <c r="H11" s="5" t="s">
        <v>987</v>
      </c>
      <c r="I11" s="5" t="s">
        <v>988</v>
      </c>
      <c r="J11" s="5" t="n">
        <v>35.27</v>
      </c>
      <c r="K11" s="5" t="n">
        <v>119.38</v>
      </c>
      <c r="L11" s="5"/>
      <c r="M11" s="5"/>
      <c r="N11" s="5" t="s">
        <v>989</v>
      </c>
      <c r="O11" s="5" t="s">
        <v>921</v>
      </c>
      <c r="P11" s="5" t="n">
        <v>2017</v>
      </c>
      <c r="Q11" s="5" t="s">
        <v>990</v>
      </c>
      <c r="R11" s="5" t="s">
        <v>991</v>
      </c>
      <c r="S11" s="5" t="s">
        <v>872</v>
      </c>
      <c r="T11" s="5"/>
      <c r="U11" s="5" t="s">
        <v>992</v>
      </c>
      <c r="V11" s="5"/>
      <c r="W11" s="5"/>
      <c r="X11" s="5"/>
      <c r="Y11" s="5" t="n">
        <v>6.8</v>
      </c>
      <c r="Z11" s="5" t="n">
        <v>5.75</v>
      </c>
      <c r="AA11" s="5" t="n">
        <v>1.423</v>
      </c>
      <c r="AB11" s="5"/>
      <c r="AC11" s="5"/>
      <c r="AD11" s="5" t="n">
        <v>12.6</v>
      </c>
      <c r="AE11" s="5"/>
      <c r="AF11" s="5" t="n">
        <v>916</v>
      </c>
      <c r="AG11" s="5" t="s">
        <v>993</v>
      </c>
      <c r="AH11" s="5" t="s">
        <v>994</v>
      </c>
      <c r="AI11" s="5" t="s">
        <v>995</v>
      </c>
      <c r="AJ11" s="5" t="s">
        <v>996</v>
      </c>
      <c r="AK11" s="5"/>
      <c r="AL11" s="5"/>
      <c r="AM11" s="5" t="s">
        <v>997</v>
      </c>
      <c r="AN11" s="5"/>
      <c r="AO11" s="5" t="s">
        <v>998</v>
      </c>
      <c r="AP11" s="5" t="s">
        <v>999</v>
      </c>
      <c r="AQ11" s="5" t="s">
        <v>860</v>
      </c>
      <c r="AR11" s="23" t="s">
        <v>1000</v>
      </c>
    </row>
    <row r="12" customFormat="false" ht="15" hidden="false" customHeight="true" outlineLevel="0" collapsed="false">
      <c r="A12" s="5" t="n">
        <v>170</v>
      </c>
      <c r="B12" s="5" t="n">
        <v>170</v>
      </c>
      <c r="C12" s="5" t="s">
        <v>1001</v>
      </c>
      <c r="D12" s="5" t="n">
        <v>2003</v>
      </c>
      <c r="E12" s="5" t="s">
        <v>884</v>
      </c>
      <c r="F12" s="5" t="s">
        <v>1002</v>
      </c>
      <c r="G12" s="5" t="s">
        <v>1003</v>
      </c>
      <c r="H12" s="5" t="s">
        <v>917</v>
      </c>
      <c r="I12" s="5" t="s">
        <v>1004</v>
      </c>
      <c r="J12" s="5" t="n">
        <v>30.933</v>
      </c>
      <c r="K12" s="5" t="n">
        <v>75.867</v>
      </c>
      <c r="L12" s="5" t="s">
        <v>1005</v>
      </c>
      <c r="M12" s="5" t="s">
        <v>1006</v>
      </c>
      <c r="N12" s="5" t="s">
        <v>870</v>
      </c>
      <c r="O12" s="5" t="s">
        <v>921</v>
      </c>
      <c r="P12" s="5" t="n">
        <v>1994</v>
      </c>
      <c r="Q12" s="5" t="s">
        <v>1007</v>
      </c>
      <c r="R12" s="5" t="n">
        <v>3</v>
      </c>
      <c r="S12" s="5" t="s">
        <v>872</v>
      </c>
      <c r="T12" s="5" t="s">
        <v>1008</v>
      </c>
      <c r="U12" s="5" t="s">
        <v>1009</v>
      </c>
      <c r="V12" s="5" t="n">
        <v>71</v>
      </c>
      <c r="W12" s="5" t="n">
        <v>17</v>
      </c>
      <c r="X12" s="5" t="n">
        <v>12</v>
      </c>
      <c r="Y12" s="5"/>
      <c r="Z12" s="5" t="n">
        <v>3.3</v>
      </c>
      <c r="AA12" s="5"/>
      <c r="AB12" s="5"/>
      <c r="AC12" s="5"/>
      <c r="AD12" s="5"/>
      <c r="AE12" s="5"/>
      <c r="AF12" s="5"/>
      <c r="AG12" s="5" t="s">
        <v>893</v>
      </c>
      <c r="AH12" s="5" t="s">
        <v>1010</v>
      </c>
      <c r="AI12" s="5" t="s">
        <v>1011</v>
      </c>
      <c r="AJ12" s="5" t="s">
        <v>1012</v>
      </c>
      <c r="AK12" s="5" t="s">
        <v>1013</v>
      </c>
      <c r="AL12" s="5"/>
      <c r="AM12" s="5"/>
      <c r="AN12" s="5"/>
      <c r="AO12" s="5" t="s">
        <v>1014</v>
      </c>
      <c r="AP12" s="5" t="s">
        <v>1015</v>
      </c>
      <c r="AQ12" s="5" t="s">
        <v>1016</v>
      </c>
      <c r="AR12" s="23" t="s">
        <v>1017</v>
      </c>
    </row>
    <row r="13" customFormat="false" ht="15" hidden="false" customHeight="true" outlineLevel="0" collapsed="false">
      <c r="A13" s="5" t="s">
        <v>1018</v>
      </c>
      <c r="B13" s="5" t="s">
        <v>1018</v>
      </c>
      <c r="C13" s="5" t="s">
        <v>1019</v>
      </c>
      <c r="D13" s="5" t="n">
        <v>2011</v>
      </c>
      <c r="E13" s="5" t="s">
        <v>1020</v>
      </c>
      <c r="F13" s="5" t="s">
        <v>1021</v>
      </c>
      <c r="G13" s="5" t="s">
        <v>1022</v>
      </c>
      <c r="H13" s="5" t="s">
        <v>887</v>
      </c>
      <c r="I13" s="5" t="s">
        <v>1023</v>
      </c>
      <c r="J13" s="5" t="n">
        <v>29.017</v>
      </c>
      <c r="K13" s="5" t="n">
        <v>77.75</v>
      </c>
      <c r="L13" s="5" t="s">
        <v>1024</v>
      </c>
      <c r="M13" s="5" t="s">
        <v>1025</v>
      </c>
      <c r="N13" s="5" t="s">
        <v>1026</v>
      </c>
      <c r="O13" s="5" t="s">
        <v>83</v>
      </c>
      <c r="P13" s="5" t="n">
        <v>2002</v>
      </c>
      <c r="Q13" s="5" t="s">
        <v>1027</v>
      </c>
      <c r="R13" s="5" t="s">
        <v>1028</v>
      </c>
      <c r="S13" s="5" t="s">
        <v>1029</v>
      </c>
      <c r="T13" s="5" t="s">
        <v>85</v>
      </c>
      <c r="U13" s="5" t="s">
        <v>1030</v>
      </c>
      <c r="V13" s="5" t="n">
        <v>55</v>
      </c>
      <c r="W13" s="5" t="n">
        <v>26</v>
      </c>
      <c r="X13" s="5" t="n">
        <v>19</v>
      </c>
      <c r="Y13" s="5" t="n">
        <v>8.1</v>
      </c>
      <c r="Z13" s="5"/>
      <c r="AA13" s="5"/>
      <c r="AB13" s="5" t="n">
        <v>2</v>
      </c>
      <c r="AC13" s="5" t="n">
        <v>43</v>
      </c>
      <c r="AD13" s="5"/>
      <c r="AE13" s="5"/>
      <c r="AF13" s="5" t="n">
        <v>800</v>
      </c>
      <c r="AG13" s="5" t="s">
        <v>893</v>
      </c>
      <c r="AH13" s="5" t="s">
        <v>1031</v>
      </c>
      <c r="AI13" s="5" t="s">
        <v>1032</v>
      </c>
      <c r="AJ13" s="5" t="s">
        <v>1033</v>
      </c>
      <c r="AK13" s="5" t="s">
        <v>1034</v>
      </c>
      <c r="AL13" s="5" t="s">
        <v>1035</v>
      </c>
      <c r="AM13" s="5" t="s">
        <v>1036</v>
      </c>
      <c r="AN13" s="5" t="s">
        <v>1037</v>
      </c>
      <c r="AO13" s="5" t="s">
        <v>1038</v>
      </c>
      <c r="AP13" s="5" t="s">
        <v>1039</v>
      </c>
      <c r="AQ13" s="5" t="s">
        <v>860</v>
      </c>
      <c r="AR13" s="23" t="s">
        <v>1040</v>
      </c>
    </row>
    <row r="14" customFormat="false" ht="15" hidden="false" customHeight="true" outlineLevel="0" collapsed="false">
      <c r="A14" s="5" t="s">
        <v>1041</v>
      </c>
      <c r="B14" s="5" t="s">
        <v>1041</v>
      </c>
      <c r="C14" s="5" t="s">
        <v>1042</v>
      </c>
      <c r="D14" s="5" t="n">
        <v>2022</v>
      </c>
      <c r="E14" s="5" t="s">
        <v>843</v>
      </c>
      <c r="F14" s="5" t="s">
        <v>1043</v>
      </c>
      <c r="G14" s="5" t="s">
        <v>1044</v>
      </c>
      <c r="H14" s="5" t="s">
        <v>1045</v>
      </c>
      <c r="I14" s="5" t="s">
        <v>1046</v>
      </c>
      <c r="J14" s="5" t="n">
        <v>24.724</v>
      </c>
      <c r="K14" s="5" t="n">
        <v>90.437</v>
      </c>
      <c r="L14" s="5" t="s">
        <v>1047</v>
      </c>
      <c r="M14" s="5" t="s">
        <v>1048</v>
      </c>
      <c r="N14" s="5" t="s">
        <v>870</v>
      </c>
      <c r="O14" s="5" t="s">
        <v>83</v>
      </c>
      <c r="P14" s="5" t="n">
        <v>2012</v>
      </c>
      <c r="Q14" s="5" t="s">
        <v>1049</v>
      </c>
      <c r="R14" s="5" t="s">
        <v>1050</v>
      </c>
      <c r="S14" s="5" t="s">
        <v>1029</v>
      </c>
      <c r="T14" s="5" t="s">
        <v>85</v>
      </c>
      <c r="U14" s="5" t="s">
        <v>1051</v>
      </c>
      <c r="V14" s="5" t="n">
        <v>11</v>
      </c>
      <c r="W14" s="5" t="n">
        <v>76</v>
      </c>
      <c r="X14" s="5" t="n">
        <v>13</v>
      </c>
      <c r="Y14" s="5" t="n">
        <v>6.92</v>
      </c>
      <c r="Z14" s="5" t="n">
        <v>13.2</v>
      </c>
      <c r="AA14" s="5" t="n">
        <v>1.58</v>
      </c>
      <c r="AB14" s="5"/>
      <c r="AC14" s="5"/>
      <c r="AD14" s="5"/>
      <c r="AE14" s="5"/>
      <c r="AF14" s="5" t="n">
        <v>2400</v>
      </c>
      <c r="AG14" s="5" t="s">
        <v>1052</v>
      </c>
      <c r="AH14" s="5" t="s">
        <v>1053</v>
      </c>
      <c r="AI14" s="5" t="s">
        <v>1054</v>
      </c>
      <c r="AJ14" s="5" t="s">
        <v>1055</v>
      </c>
      <c r="AK14" s="5" t="s">
        <v>1056</v>
      </c>
      <c r="AL14" s="5" t="s">
        <v>1057</v>
      </c>
      <c r="AM14" s="5" t="s">
        <v>1058</v>
      </c>
      <c r="AN14" s="5" t="s">
        <v>1059</v>
      </c>
      <c r="AO14" s="5" t="s">
        <v>1060</v>
      </c>
      <c r="AP14" s="5" t="s">
        <v>1061</v>
      </c>
      <c r="AQ14" s="5" t="s">
        <v>1062</v>
      </c>
      <c r="AR14" s="23" t="s">
        <v>1063</v>
      </c>
    </row>
    <row r="15" customFormat="false" ht="15" hidden="false" customHeight="true" outlineLevel="0" collapsed="false">
      <c r="A15" s="5" t="s">
        <v>1064</v>
      </c>
      <c r="B15" s="5" t="s">
        <v>1064</v>
      </c>
      <c r="C15" s="5" t="s">
        <v>1065</v>
      </c>
      <c r="D15" s="5" t="n">
        <v>2022</v>
      </c>
      <c r="E15" s="5" t="s">
        <v>80</v>
      </c>
      <c r="F15" s="5" t="s">
        <v>1066</v>
      </c>
      <c r="G15" s="5" t="s">
        <v>1067</v>
      </c>
      <c r="H15" s="5" t="s">
        <v>942</v>
      </c>
      <c r="I15" s="5" t="s">
        <v>943</v>
      </c>
      <c r="J15" s="5" t="n">
        <v>29.706</v>
      </c>
      <c r="K15" s="5" t="n">
        <v>76.956</v>
      </c>
      <c r="L15" s="5" t="s">
        <v>1068</v>
      </c>
      <c r="M15" s="5" t="s">
        <v>1069</v>
      </c>
      <c r="N15" s="5" t="s">
        <v>870</v>
      </c>
      <c r="O15" s="5" t="s">
        <v>83</v>
      </c>
      <c r="P15" s="5" t="n">
        <v>2009</v>
      </c>
      <c r="Q15" s="5" t="n">
        <v>2019</v>
      </c>
      <c r="R15" s="5" t="s">
        <v>1070</v>
      </c>
      <c r="S15" s="5" t="s">
        <v>84</v>
      </c>
      <c r="T15" s="5" t="s">
        <v>85</v>
      </c>
      <c r="U15" s="5" t="s">
        <v>1071</v>
      </c>
      <c r="V15" s="5"/>
      <c r="W15" s="5"/>
      <c r="X15" s="5"/>
      <c r="Y15" s="5"/>
      <c r="Z15" s="5"/>
      <c r="AA15" s="5"/>
      <c r="AB15" s="5"/>
      <c r="AC15" s="5"/>
      <c r="AD15" s="5"/>
      <c r="AE15" s="5"/>
      <c r="AF15" s="5" t="n">
        <v>670</v>
      </c>
      <c r="AG15" s="5" t="s">
        <v>950</v>
      </c>
      <c r="AH15" s="5"/>
      <c r="AI15" s="5"/>
      <c r="AJ15" s="5" t="s">
        <v>1072</v>
      </c>
      <c r="AK15" s="5" t="s">
        <v>1073</v>
      </c>
      <c r="AL15" s="5" t="s">
        <v>1074</v>
      </c>
      <c r="AM15" s="5" t="s">
        <v>1075</v>
      </c>
      <c r="AN15" s="5"/>
      <c r="AO15" s="5" t="s">
        <v>1076</v>
      </c>
      <c r="AP15" s="5" t="s">
        <v>1077</v>
      </c>
      <c r="AQ15" s="5" t="s">
        <v>860</v>
      </c>
      <c r="AR15" s="23" t="s">
        <v>1078</v>
      </c>
    </row>
    <row r="16" customFormat="false" ht="15" hidden="false" customHeight="true" outlineLevel="0" collapsed="false">
      <c r="A16" s="5" t="n">
        <v>171</v>
      </c>
      <c r="B16" s="5" t="n">
        <v>171</v>
      </c>
      <c r="C16" s="5" t="s">
        <v>1079</v>
      </c>
      <c r="D16" s="5" t="n">
        <v>2012</v>
      </c>
      <c r="E16" s="5" t="s">
        <v>1080</v>
      </c>
      <c r="F16" s="5" t="s">
        <v>1081</v>
      </c>
      <c r="G16" s="5" t="s">
        <v>1082</v>
      </c>
      <c r="H16" s="5" t="s">
        <v>1083</v>
      </c>
      <c r="I16" s="5" t="s">
        <v>1084</v>
      </c>
      <c r="J16" s="5" t="n">
        <v>27.647</v>
      </c>
      <c r="K16" s="5" t="n">
        <v>84.346</v>
      </c>
      <c r="L16" s="5" t="s">
        <v>1085</v>
      </c>
      <c r="M16" s="5" t="s">
        <v>1086</v>
      </c>
      <c r="N16" s="5" t="s">
        <v>870</v>
      </c>
      <c r="O16" s="5" t="s">
        <v>83</v>
      </c>
      <c r="P16" s="5" t="s">
        <v>1087</v>
      </c>
      <c r="Q16" s="5" t="s">
        <v>1088</v>
      </c>
      <c r="R16" s="5" t="n">
        <v>1</v>
      </c>
      <c r="S16" s="5" t="s">
        <v>84</v>
      </c>
      <c r="T16" s="5" t="s">
        <v>85</v>
      </c>
      <c r="U16" s="5" t="s">
        <v>1089</v>
      </c>
      <c r="V16" s="5" t="n">
        <v>57</v>
      </c>
      <c r="W16" s="5" t="n">
        <v>19</v>
      </c>
      <c r="X16" s="5" t="n">
        <v>24</v>
      </c>
      <c r="Y16" s="5" t="n">
        <v>5.4</v>
      </c>
      <c r="Z16" s="5"/>
      <c r="AA16" s="5"/>
      <c r="AB16" s="5"/>
      <c r="AC16" s="5"/>
      <c r="AD16" s="5"/>
      <c r="AE16" s="5"/>
      <c r="AF16" s="5" t="n">
        <v>2000</v>
      </c>
      <c r="AG16" s="5" t="s">
        <v>1090</v>
      </c>
      <c r="AH16" s="5" t="s">
        <v>1091</v>
      </c>
      <c r="AI16" s="5" t="s">
        <v>1092</v>
      </c>
      <c r="AJ16" s="5" t="s">
        <v>1093</v>
      </c>
      <c r="AK16" s="5" t="s">
        <v>1094</v>
      </c>
      <c r="AL16" s="5" t="s">
        <v>1095</v>
      </c>
      <c r="AM16" s="5" t="s">
        <v>1096</v>
      </c>
      <c r="AN16" s="5"/>
      <c r="AO16" s="5" t="s">
        <v>1097</v>
      </c>
      <c r="AP16" s="5" t="s">
        <v>1098</v>
      </c>
      <c r="AQ16" s="5" t="s">
        <v>860</v>
      </c>
      <c r="AR16" s="23" t="s">
        <v>1099</v>
      </c>
    </row>
    <row r="17" customFormat="false" ht="15" hidden="false" customHeight="true" outlineLevel="0" collapsed="false">
      <c r="A17" s="5" t="n">
        <v>172</v>
      </c>
      <c r="B17" s="5" t="n">
        <v>172</v>
      </c>
      <c r="C17" s="5" t="s">
        <v>1100</v>
      </c>
      <c r="D17" s="5" t="n">
        <v>2005</v>
      </c>
      <c r="E17" s="5" t="s">
        <v>1101</v>
      </c>
      <c r="F17" s="5" t="s">
        <v>1102</v>
      </c>
      <c r="G17" s="5" t="s">
        <v>1103</v>
      </c>
      <c r="H17" s="5" t="s">
        <v>1104</v>
      </c>
      <c r="I17" s="5" t="s">
        <v>1105</v>
      </c>
      <c r="J17" s="5" t="n">
        <v>33.2</v>
      </c>
      <c r="K17" s="5" t="n">
        <v>130.5</v>
      </c>
      <c r="L17" s="5"/>
      <c r="M17" s="5"/>
      <c r="N17" s="5" t="s">
        <v>1106</v>
      </c>
      <c r="O17" s="5" t="s">
        <v>921</v>
      </c>
      <c r="P17" s="5" t="n">
        <v>1963</v>
      </c>
      <c r="Q17" s="5" t="s">
        <v>1107</v>
      </c>
      <c r="R17" s="5" t="s">
        <v>1108</v>
      </c>
      <c r="S17" s="5" t="s">
        <v>853</v>
      </c>
      <c r="T17" s="5" t="s">
        <v>85</v>
      </c>
      <c r="U17" s="5" t="s">
        <v>1109</v>
      </c>
      <c r="V17" s="5" t="n">
        <v>16</v>
      </c>
      <c r="W17" s="5" t="n">
        <v>56</v>
      </c>
      <c r="X17" s="5" t="n">
        <v>29</v>
      </c>
      <c r="Y17" s="5"/>
      <c r="Z17" s="5"/>
      <c r="AA17" s="5"/>
      <c r="AB17" s="5"/>
      <c r="AC17" s="5"/>
      <c r="AD17" s="5"/>
      <c r="AE17" s="5"/>
      <c r="AF17" s="5"/>
      <c r="AG17" s="5" t="s">
        <v>893</v>
      </c>
      <c r="AH17" s="5"/>
      <c r="AI17" s="5"/>
      <c r="AJ17" s="5" t="s">
        <v>1110</v>
      </c>
      <c r="AK17" s="5"/>
      <c r="AL17" s="5"/>
      <c r="AM17" s="5" t="s">
        <v>1111</v>
      </c>
      <c r="AN17" s="5"/>
      <c r="AO17" s="5" t="s">
        <v>1112</v>
      </c>
      <c r="AP17" s="5" t="s">
        <v>1113</v>
      </c>
      <c r="AQ17" s="5" t="s">
        <v>860</v>
      </c>
      <c r="AR17" s="23" t="s">
        <v>1114</v>
      </c>
    </row>
    <row r="18" customFormat="false" ht="15" hidden="false" customHeight="true" outlineLevel="0" collapsed="false">
      <c r="A18" s="5" t="s">
        <v>1115</v>
      </c>
      <c r="B18" s="5" t="s">
        <v>1115</v>
      </c>
      <c r="C18" s="5" t="s">
        <v>1116</v>
      </c>
      <c r="D18" s="5" t="n">
        <v>2023</v>
      </c>
      <c r="E18" s="5" t="s">
        <v>843</v>
      </c>
      <c r="F18" s="5" t="s">
        <v>1117</v>
      </c>
      <c r="G18" s="5" t="s">
        <v>1118</v>
      </c>
      <c r="H18" s="5" t="s">
        <v>1045</v>
      </c>
      <c r="I18" s="5" t="s">
        <v>1119</v>
      </c>
      <c r="J18" s="5" t="n">
        <v>24.942</v>
      </c>
      <c r="K18" s="5" t="n">
        <v>89.928</v>
      </c>
      <c r="L18" s="5" t="s">
        <v>1120</v>
      </c>
      <c r="M18" s="5" t="s">
        <v>1121</v>
      </c>
      <c r="N18" s="5" t="s">
        <v>870</v>
      </c>
      <c r="O18" s="5" t="s">
        <v>83</v>
      </c>
      <c r="P18" s="5" t="n">
        <v>2013</v>
      </c>
      <c r="Q18" s="5" t="s">
        <v>1122</v>
      </c>
      <c r="R18" s="5" t="n">
        <v>3</v>
      </c>
      <c r="S18" s="5" t="s">
        <v>872</v>
      </c>
      <c r="T18" s="5" t="s">
        <v>85</v>
      </c>
      <c r="U18" s="5" t="s">
        <v>1123</v>
      </c>
      <c r="V18" s="5" t="n">
        <v>47.3</v>
      </c>
      <c r="W18" s="5" t="n">
        <v>30</v>
      </c>
      <c r="X18" s="5" t="n">
        <v>22.7</v>
      </c>
      <c r="Y18" s="5" t="n">
        <v>6.2</v>
      </c>
      <c r="Z18" s="5"/>
      <c r="AA18" s="5"/>
      <c r="AB18" s="5"/>
      <c r="AC18" s="5"/>
      <c r="AD18" s="5"/>
      <c r="AE18" s="5"/>
      <c r="AF18" s="5"/>
      <c r="AG18" s="5" t="s">
        <v>1124</v>
      </c>
      <c r="AH18" s="5" t="s">
        <v>1125</v>
      </c>
      <c r="AI18" s="5" t="s">
        <v>1126</v>
      </c>
      <c r="AJ18" s="5" t="s">
        <v>1127</v>
      </c>
      <c r="AK18" s="5"/>
      <c r="AL18" s="5"/>
      <c r="AM18" s="5" t="s">
        <v>1128</v>
      </c>
      <c r="AN18" s="5"/>
      <c r="AO18" s="5" t="s">
        <v>1129</v>
      </c>
      <c r="AP18" s="5" t="s">
        <v>1130</v>
      </c>
      <c r="AQ18" s="5" t="s">
        <v>1131</v>
      </c>
      <c r="AR18" s="23" t="s">
        <v>1132</v>
      </c>
    </row>
    <row r="19" customFormat="false" ht="15" hidden="false" customHeight="true" outlineLevel="0" collapsed="false">
      <c r="A19" s="5" t="n">
        <v>173</v>
      </c>
      <c r="B19" s="5" t="n">
        <v>173</v>
      </c>
      <c r="C19" s="5" t="s">
        <v>1133</v>
      </c>
      <c r="D19" s="5" t="n">
        <v>2023</v>
      </c>
      <c r="E19" s="5" t="s">
        <v>1134</v>
      </c>
      <c r="F19" s="5" t="s">
        <v>1135</v>
      </c>
      <c r="G19" s="5" t="s">
        <v>1136</v>
      </c>
      <c r="H19" s="5" t="s">
        <v>866</v>
      </c>
      <c r="I19" s="5" t="s">
        <v>1137</v>
      </c>
      <c r="J19" s="5" t="n">
        <v>28.633</v>
      </c>
      <c r="K19" s="5" t="n">
        <v>77.15</v>
      </c>
      <c r="L19" s="5" t="s">
        <v>1138</v>
      </c>
      <c r="M19" s="5" t="s">
        <v>1139</v>
      </c>
      <c r="N19" s="5" t="s">
        <v>870</v>
      </c>
      <c r="O19" s="5" t="s">
        <v>83</v>
      </c>
      <c r="P19" s="5" t="n">
        <v>2015</v>
      </c>
      <c r="Q19" s="5" t="s">
        <v>1140</v>
      </c>
      <c r="R19" s="5" t="s">
        <v>1141</v>
      </c>
      <c r="S19" s="5" t="s">
        <v>1029</v>
      </c>
      <c r="T19" s="5" t="s">
        <v>85</v>
      </c>
      <c r="U19" s="5" t="s">
        <v>873</v>
      </c>
      <c r="V19" s="5"/>
      <c r="W19" s="5"/>
      <c r="X19" s="5"/>
      <c r="Y19" s="5"/>
      <c r="Z19" s="5" t="n">
        <v>4.9</v>
      </c>
      <c r="AA19" s="5" t="n">
        <v>1.52</v>
      </c>
      <c r="AB19" s="5" t="n">
        <v>5</v>
      </c>
      <c r="AC19" s="5" t="n">
        <v>46</v>
      </c>
      <c r="AD19" s="5"/>
      <c r="AE19" s="5"/>
      <c r="AF19" s="5" t="n">
        <v>642</v>
      </c>
      <c r="AG19" s="5" t="s">
        <v>1142</v>
      </c>
      <c r="AH19" s="5"/>
      <c r="AI19" s="5" t="s">
        <v>1143</v>
      </c>
      <c r="AJ19" s="5" t="s">
        <v>1144</v>
      </c>
      <c r="AK19" s="5" t="s">
        <v>1145</v>
      </c>
      <c r="AL19" s="5" t="s">
        <v>1146</v>
      </c>
      <c r="AM19" s="5" t="s">
        <v>1147</v>
      </c>
      <c r="AN19" s="5"/>
      <c r="AO19" s="5" t="s">
        <v>1148</v>
      </c>
      <c r="AP19" s="5" t="s">
        <v>1149</v>
      </c>
      <c r="AQ19" s="5" t="s">
        <v>1150</v>
      </c>
      <c r="AR19" s="23" t="s">
        <v>1151</v>
      </c>
    </row>
    <row r="20" customFormat="false" ht="15" hidden="false" customHeight="true" outlineLevel="0" collapsed="false">
      <c r="A20" s="24" t="n">
        <v>174</v>
      </c>
      <c r="B20" s="24" t="n">
        <v>174</v>
      </c>
      <c r="C20" s="24" t="s">
        <v>1152</v>
      </c>
      <c r="D20" s="24" t="n">
        <v>2017</v>
      </c>
      <c r="E20" s="24" t="s">
        <v>1153</v>
      </c>
      <c r="F20" s="24" t="s">
        <v>1154</v>
      </c>
      <c r="G20" s="24" t="s">
        <v>1155</v>
      </c>
      <c r="H20" s="24" t="s">
        <v>887</v>
      </c>
      <c r="I20" s="24" t="s">
        <v>1156</v>
      </c>
      <c r="J20" s="24" t="n">
        <v>29.067</v>
      </c>
      <c r="K20" s="24" t="n">
        <v>77.767</v>
      </c>
      <c r="L20" s="24" t="s">
        <v>1157</v>
      </c>
      <c r="M20" s="24" t="s">
        <v>1158</v>
      </c>
      <c r="N20" s="24" t="s">
        <v>870</v>
      </c>
      <c r="O20" s="24" t="s">
        <v>83</v>
      </c>
      <c r="P20" s="24" t="n">
        <v>2005</v>
      </c>
      <c r="Q20" s="24" t="s">
        <v>1159</v>
      </c>
      <c r="R20" s="24" t="s">
        <v>1160</v>
      </c>
      <c r="S20" s="24" t="s">
        <v>872</v>
      </c>
      <c r="T20" s="24" t="s">
        <v>85</v>
      </c>
      <c r="U20" s="24" t="s">
        <v>1161</v>
      </c>
      <c r="V20" s="24" t="n">
        <v>62</v>
      </c>
      <c r="W20" s="24" t="n">
        <v>20.5</v>
      </c>
      <c r="X20" s="24" t="n">
        <v>16.5</v>
      </c>
      <c r="Y20" s="24" t="n">
        <v>8.1</v>
      </c>
      <c r="Z20" s="24" t="n">
        <v>8.3</v>
      </c>
      <c r="AA20" s="24"/>
      <c r="AB20" s="24" t="n">
        <v>5</v>
      </c>
      <c r="AC20" s="24" t="n">
        <v>46</v>
      </c>
      <c r="AD20" s="24"/>
      <c r="AE20" s="24"/>
      <c r="AF20" s="24" t="n">
        <v>863</v>
      </c>
      <c r="AG20" s="24" t="s">
        <v>1162</v>
      </c>
      <c r="AH20" s="24" t="s">
        <v>1031</v>
      </c>
      <c r="AI20" s="24" t="s">
        <v>1163</v>
      </c>
      <c r="AJ20" s="24" t="s">
        <v>1164</v>
      </c>
      <c r="AK20" s="24" t="s">
        <v>1034</v>
      </c>
      <c r="AL20" s="24" t="s">
        <v>1035</v>
      </c>
      <c r="AM20" s="24" t="s">
        <v>1165</v>
      </c>
      <c r="AN20" s="24" t="s">
        <v>1166</v>
      </c>
      <c r="AO20" s="24" t="s">
        <v>1167</v>
      </c>
      <c r="AP20" s="24" t="s">
        <v>1168</v>
      </c>
      <c r="AQ20" s="24" t="s">
        <v>860</v>
      </c>
      <c r="AR20" s="25" t="s">
        <v>1169</v>
      </c>
    </row>
    <row r="21" customFormat="false" ht="15" hidden="false" customHeight="true" outlineLevel="0" collapsed="false">
      <c r="A21" s="24" t="n">
        <v>175</v>
      </c>
      <c r="B21" s="24" t="n">
        <v>175</v>
      </c>
      <c r="C21" s="24" t="s">
        <v>1170</v>
      </c>
      <c r="D21" s="24" t="n">
        <v>2022</v>
      </c>
      <c r="E21" s="24" t="s">
        <v>1171</v>
      </c>
      <c r="F21" s="24" t="s">
        <v>1172</v>
      </c>
      <c r="G21" s="24" t="s">
        <v>1173</v>
      </c>
      <c r="H21" s="24" t="s">
        <v>1045</v>
      </c>
      <c r="I21" s="24" t="s">
        <v>1174</v>
      </c>
      <c r="J21" s="24" t="n">
        <v>24.4514</v>
      </c>
      <c r="K21" s="24" t="n">
        <v>90.2411</v>
      </c>
      <c r="L21" s="24" t="s">
        <v>1175</v>
      </c>
      <c r="M21" s="24" t="s">
        <v>1176</v>
      </c>
      <c r="N21" s="24" t="s">
        <v>870</v>
      </c>
      <c r="O21" s="24" t="s">
        <v>83</v>
      </c>
      <c r="P21" s="24" t="n">
        <v>2016</v>
      </c>
      <c r="Q21" s="24" t="s">
        <v>1177</v>
      </c>
      <c r="R21" s="24" t="s">
        <v>1178</v>
      </c>
      <c r="S21" s="24" t="s">
        <v>872</v>
      </c>
      <c r="T21" s="24" t="s">
        <v>85</v>
      </c>
      <c r="U21" s="24" t="s">
        <v>1179</v>
      </c>
      <c r="V21" s="24" t="n">
        <v>52</v>
      </c>
      <c r="W21" s="24" t="n">
        <v>20</v>
      </c>
      <c r="X21" s="24" t="n">
        <v>28</v>
      </c>
      <c r="Y21" s="24" t="n">
        <v>6.81</v>
      </c>
      <c r="Z21" s="24"/>
      <c r="AA21" s="24"/>
      <c r="AB21" s="24" t="n">
        <v>12</v>
      </c>
      <c r="AC21" s="24" t="n">
        <v>33</v>
      </c>
      <c r="AD21" s="24"/>
      <c r="AE21" s="24"/>
      <c r="AF21" s="24" t="n">
        <v>172</v>
      </c>
      <c r="AG21" s="24" t="s">
        <v>1180</v>
      </c>
      <c r="AH21" s="24" t="s">
        <v>1181</v>
      </c>
      <c r="AI21" s="24" t="s">
        <v>1182</v>
      </c>
      <c r="AJ21" s="24" t="s">
        <v>1183</v>
      </c>
      <c r="AK21" s="24" t="s">
        <v>1184</v>
      </c>
      <c r="AL21" s="24" t="s">
        <v>1185</v>
      </c>
      <c r="AM21" s="24" t="s">
        <v>1186</v>
      </c>
      <c r="AN21" s="24" t="s">
        <v>1187</v>
      </c>
      <c r="AO21" s="24" t="s">
        <v>1188</v>
      </c>
      <c r="AP21" s="24" t="s">
        <v>1189</v>
      </c>
      <c r="AQ21" s="24" t="s">
        <v>860</v>
      </c>
      <c r="AR21" s="25" t="s">
        <v>1190</v>
      </c>
    </row>
    <row r="22" customFormat="false" ht="15" hidden="false" customHeight="true" outlineLevel="0" collapsed="false">
      <c r="A22" s="24" t="n">
        <v>176</v>
      </c>
      <c r="B22" s="24" t="n">
        <v>176</v>
      </c>
      <c r="C22" s="24" t="s">
        <v>1191</v>
      </c>
      <c r="D22" s="24" t="n">
        <v>2015</v>
      </c>
      <c r="E22" s="24" t="s">
        <v>1192</v>
      </c>
      <c r="F22" s="24" t="s">
        <v>1193</v>
      </c>
      <c r="G22" s="24" t="s">
        <v>1194</v>
      </c>
      <c r="H22" s="24" t="s">
        <v>1195</v>
      </c>
      <c r="I22" s="24" t="s">
        <v>1196</v>
      </c>
      <c r="J22" s="24" t="n">
        <v>41.55</v>
      </c>
      <c r="K22" s="24" t="n">
        <v>60.63</v>
      </c>
      <c r="L22" s="24" t="s">
        <v>1197</v>
      </c>
      <c r="M22" s="24" t="s">
        <v>1198</v>
      </c>
      <c r="N22" s="24" t="s">
        <v>1199</v>
      </c>
      <c r="O22" s="24" t="s">
        <v>921</v>
      </c>
      <c r="P22" s="24" t="n">
        <v>2008</v>
      </c>
      <c r="Q22" s="24" t="s">
        <v>1200</v>
      </c>
      <c r="R22" s="24" t="s">
        <v>1201</v>
      </c>
      <c r="S22" s="24" t="s">
        <v>872</v>
      </c>
      <c r="T22" s="24" t="s">
        <v>85</v>
      </c>
      <c r="U22" s="24" t="s">
        <v>1202</v>
      </c>
      <c r="V22" s="24" t="n">
        <v>23</v>
      </c>
      <c r="W22" s="24" t="n">
        <v>58</v>
      </c>
      <c r="X22" s="24" t="n">
        <v>19</v>
      </c>
      <c r="Y22" s="24" t="n">
        <v>5.6</v>
      </c>
      <c r="Z22" s="24" t="n">
        <v>3.6</v>
      </c>
      <c r="AA22" s="24" t="n">
        <v>1.35</v>
      </c>
      <c r="AB22" s="24" t="n">
        <v>-7</v>
      </c>
      <c r="AC22" s="24" t="n">
        <v>40</v>
      </c>
      <c r="AD22" s="24" t="n">
        <v>13.4</v>
      </c>
      <c r="AE22" s="24"/>
      <c r="AF22" s="24" t="n">
        <v>100</v>
      </c>
      <c r="AG22" s="24" t="s">
        <v>1203</v>
      </c>
      <c r="AH22" s="24" t="s">
        <v>1204</v>
      </c>
      <c r="AI22" s="24" t="s">
        <v>1205</v>
      </c>
      <c r="AJ22" s="24" t="s">
        <v>1206</v>
      </c>
      <c r="AK22" s="24" t="s">
        <v>1207</v>
      </c>
      <c r="AL22" s="24" t="s">
        <v>1208</v>
      </c>
      <c r="AM22" s="24" t="s">
        <v>1209</v>
      </c>
      <c r="AN22" s="24" t="s">
        <v>1210</v>
      </c>
      <c r="AO22" s="24" t="s">
        <v>1211</v>
      </c>
      <c r="AP22" s="24" t="s">
        <v>1212</v>
      </c>
      <c r="AQ22" s="24" t="s">
        <v>860</v>
      </c>
      <c r="AR22" s="25" t="s">
        <v>1213</v>
      </c>
    </row>
    <row r="23" customFormat="false" ht="15" hidden="false" customHeight="true" outlineLevel="0" collapsed="false">
      <c r="A23" s="24" t="s">
        <v>1214</v>
      </c>
      <c r="B23" s="24" t="s">
        <v>1214</v>
      </c>
      <c r="C23" s="24" t="s">
        <v>1215</v>
      </c>
      <c r="D23" s="24" t="n">
        <v>2015</v>
      </c>
      <c r="E23" s="24" t="s">
        <v>1216</v>
      </c>
      <c r="F23" s="24" t="s">
        <v>1217</v>
      </c>
      <c r="G23" s="24" t="s">
        <v>1218</v>
      </c>
      <c r="H23" s="24" t="s">
        <v>1195</v>
      </c>
      <c r="I23" s="24" t="s">
        <v>1196</v>
      </c>
      <c r="J23" s="24" t="n">
        <v>41.55</v>
      </c>
      <c r="K23" s="24" t="n">
        <v>60.63</v>
      </c>
      <c r="L23" s="24"/>
      <c r="M23" s="24"/>
      <c r="N23" s="24" t="s">
        <v>1219</v>
      </c>
      <c r="O23" s="24" t="s">
        <v>921</v>
      </c>
      <c r="P23" s="24" t="n">
        <v>2008</v>
      </c>
      <c r="Q23" s="24" t="s">
        <v>1220</v>
      </c>
      <c r="R23" s="24" t="s">
        <v>1221</v>
      </c>
      <c r="S23" s="24" t="s">
        <v>872</v>
      </c>
      <c r="T23" s="24" t="s">
        <v>85</v>
      </c>
      <c r="U23" s="24"/>
      <c r="V23" s="24" t="n">
        <v>23</v>
      </c>
      <c r="W23" s="24" t="n">
        <v>58</v>
      </c>
      <c r="X23" s="24" t="n">
        <v>19</v>
      </c>
      <c r="Y23" s="24"/>
      <c r="Z23" s="24" t="n">
        <v>3.6</v>
      </c>
      <c r="AA23" s="24" t="n">
        <v>1.35</v>
      </c>
      <c r="AB23" s="24"/>
      <c r="AC23" s="24"/>
      <c r="AD23" s="24"/>
      <c r="AE23" s="24"/>
      <c r="AF23" s="24"/>
      <c r="AG23" s="24" t="s">
        <v>893</v>
      </c>
      <c r="AH23" s="24" t="s">
        <v>1204</v>
      </c>
      <c r="AI23" s="24" t="s">
        <v>1205</v>
      </c>
      <c r="AJ23" s="24"/>
      <c r="AK23" s="24"/>
      <c r="AL23" s="24"/>
      <c r="AM23" s="24"/>
      <c r="AN23" s="24"/>
      <c r="AO23" s="24" t="s">
        <v>1222</v>
      </c>
      <c r="AP23" s="24" t="s">
        <v>1223</v>
      </c>
      <c r="AQ23" s="24" t="s">
        <v>860</v>
      </c>
      <c r="AR23" s="25" t="s">
        <v>1224</v>
      </c>
    </row>
    <row r="24" customFormat="false" ht="15" hidden="false" customHeight="true" outlineLevel="0" collapsed="false">
      <c r="A24" s="24" t="s">
        <v>1225</v>
      </c>
      <c r="B24" s="24" t="s">
        <v>1225</v>
      </c>
      <c r="C24" s="24" t="s">
        <v>1226</v>
      </c>
      <c r="D24" s="24" t="n">
        <v>2018</v>
      </c>
      <c r="E24" s="24" t="s">
        <v>1227</v>
      </c>
      <c r="F24" s="24" t="s">
        <v>1228</v>
      </c>
      <c r="G24" s="24" t="s">
        <v>1229</v>
      </c>
      <c r="H24" s="24" t="s">
        <v>1083</v>
      </c>
      <c r="I24" s="24" t="s">
        <v>1230</v>
      </c>
      <c r="J24" s="24" t="n">
        <v>26.67</v>
      </c>
      <c r="K24" s="24" t="n">
        <v>87.13</v>
      </c>
      <c r="L24" s="24" t="s">
        <v>1231</v>
      </c>
      <c r="M24" s="24" t="s">
        <v>1232</v>
      </c>
      <c r="N24" s="24" t="s">
        <v>1233</v>
      </c>
      <c r="O24" s="24" t="s">
        <v>83</v>
      </c>
      <c r="P24" s="24" t="n">
        <v>2014</v>
      </c>
      <c r="Q24" s="24" t="s">
        <v>1234</v>
      </c>
      <c r="R24" s="24" t="s">
        <v>1178</v>
      </c>
      <c r="S24" s="24" t="s">
        <v>872</v>
      </c>
      <c r="T24" s="24" t="s">
        <v>85</v>
      </c>
      <c r="U24" s="24" t="s">
        <v>1235</v>
      </c>
      <c r="V24" s="24"/>
      <c r="W24" s="24"/>
      <c r="X24" s="24"/>
      <c r="Y24" s="24"/>
      <c r="Z24" s="24"/>
      <c r="AA24" s="24"/>
      <c r="AB24" s="24" t="n">
        <v>10</v>
      </c>
      <c r="AC24" s="24" t="n">
        <v>43</v>
      </c>
      <c r="AD24" s="24"/>
      <c r="AE24" s="24"/>
      <c r="AF24" s="24" t="n">
        <v>1943</v>
      </c>
      <c r="AG24" s="24" t="s">
        <v>1236</v>
      </c>
      <c r="AH24" s="24"/>
      <c r="AI24" s="24"/>
      <c r="AJ24" s="24"/>
      <c r="AK24" s="24"/>
      <c r="AL24" s="24"/>
      <c r="AM24" s="24"/>
      <c r="AN24" s="24"/>
      <c r="AO24" s="24" t="s">
        <v>1237</v>
      </c>
      <c r="AP24" s="24" t="s">
        <v>1238</v>
      </c>
      <c r="AQ24" s="24" t="s">
        <v>860</v>
      </c>
      <c r="AR24" s="25" t="s">
        <v>1239</v>
      </c>
    </row>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1240</v>
      </c>
    </row>
    <row r="3" customFormat="false" ht="34.5" hidden="false" customHeight="true" outlineLevel="0" collapsed="false">
      <c r="A3" s="9" t="s">
        <v>55</v>
      </c>
      <c r="B3" s="9" t="s">
        <v>1241</v>
      </c>
      <c r="C3" s="9" t="s">
        <v>57</v>
      </c>
      <c r="D3" s="9" t="s">
        <v>58</v>
      </c>
      <c r="E3" s="9" t="s">
        <v>59</v>
      </c>
      <c r="F3" s="9" t="s">
        <v>149</v>
      </c>
      <c r="G3" s="9" t="s">
        <v>1242</v>
      </c>
      <c r="H3" s="9" t="s">
        <v>1243</v>
      </c>
      <c r="I3" s="9" t="s">
        <v>1244</v>
      </c>
      <c r="J3" s="9" t="s">
        <v>1245</v>
      </c>
    </row>
    <row r="4" customFormat="false" ht="15" hidden="false" customHeight="true" outlineLevel="0" collapsed="false">
      <c r="A4" s="24" t="n">
        <v>1</v>
      </c>
      <c r="B4" s="24" t="n">
        <v>164</v>
      </c>
      <c r="C4" s="24" t="s">
        <v>842</v>
      </c>
      <c r="D4" s="24" t="n">
        <v>2000</v>
      </c>
      <c r="E4" s="24" t="s">
        <v>843</v>
      </c>
      <c r="F4" s="24" t="s">
        <v>1246</v>
      </c>
      <c r="G4" s="24" t="n">
        <v>120</v>
      </c>
      <c r="H4" s="24" t="n">
        <v>5</v>
      </c>
      <c r="I4" s="24" t="s">
        <v>1247</v>
      </c>
      <c r="J4" s="24" t="s">
        <v>859</v>
      </c>
    </row>
    <row r="5" customFormat="false" ht="15" hidden="false" customHeight="true" outlineLevel="0" collapsed="false">
      <c r="A5" s="24" t="n">
        <v>2</v>
      </c>
      <c r="B5" s="24" t="n">
        <v>165</v>
      </c>
      <c r="C5" s="24" t="s">
        <v>862</v>
      </c>
      <c r="D5" s="24" t="n">
        <v>2012</v>
      </c>
      <c r="E5" s="24" t="s">
        <v>863</v>
      </c>
      <c r="F5" s="24" t="s">
        <v>1246</v>
      </c>
      <c r="G5" s="24" t="n">
        <v>38</v>
      </c>
      <c r="H5" s="24" t="n">
        <v>14</v>
      </c>
      <c r="I5" s="24" t="s">
        <v>1248</v>
      </c>
      <c r="J5" s="24" t="s">
        <v>881</v>
      </c>
    </row>
    <row r="6" customFormat="false" ht="15" hidden="false" customHeight="true" outlineLevel="0" collapsed="false">
      <c r="A6" s="24" t="n">
        <v>3</v>
      </c>
      <c r="B6" s="24" t="n">
        <v>166</v>
      </c>
      <c r="C6" s="24" t="s">
        <v>883</v>
      </c>
      <c r="D6" s="24" t="n">
        <v>2014</v>
      </c>
      <c r="E6" s="24" t="s">
        <v>884</v>
      </c>
      <c r="F6" s="24" t="s">
        <v>1246</v>
      </c>
      <c r="G6" s="24" t="n">
        <v>53</v>
      </c>
      <c r="H6" s="24" t="n">
        <v>13</v>
      </c>
      <c r="I6" s="24" t="s">
        <v>1249</v>
      </c>
      <c r="J6" s="24" t="s">
        <v>900</v>
      </c>
    </row>
    <row r="7" customFormat="false" ht="15" hidden="false" customHeight="true" outlineLevel="0" collapsed="false">
      <c r="A7" s="24" t="n">
        <v>4</v>
      </c>
      <c r="B7" s="24" t="n">
        <v>167</v>
      </c>
      <c r="C7" s="24" t="s">
        <v>902</v>
      </c>
      <c r="D7" s="24" t="n">
        <v>2023</v>
      </c>
      <c r="E7" s="24" t="s">
        <v>903</v>
      </c>
      <c r="F7" s="24" t="s">
        <v>485</v>
      </c>
      <c r="G7" s="24" t="n">
        <v>0</v>
      </c>
      <c r="H7" s="24" t="n">
        <v>0</v>
      </c>
      <c r="I7" s="24" t="s">
        <v>686</v>
      </c>
      <c r="J7" s="24" t="s">
        <v>911</v>
      </c>
    </row>
    <row r="8" customFormat="false" ht="15" hidden="false" customHeight="true" outlineLevel="0" collapsed="false">
      <c r="A8" s="24" t="n">
        <v>5</v>
      </c>
      <c r="B8" s="24" t="n">
        <v>168</v>
      </c>
      <c r="C8" s="24" t="s">
        <v>913</v>
      </c>
      <c r="D8" s="24" t="n">
        <v>2020</v>
      </c>
      <c r="E8" s="24" t="s">
        <v>914</v>
      </c>
      <c r="F8" s="24" t="s">
        <v>1246</v>
      </c>
      <c r="G8" s="24" t="n">
        <v>27</v>
      </c>
      <c r="H8" s="24" t="n">
        <v>19</v>
      </c>
      <c r="I8" s="24" t="s">
        <v>1250</v>
      </c>
      <c r="J8" s="24" t="s">
        <v>929</v>
      </c>
    </row>
    <row r="9" customFormat="false" ht="15" hidden="false" customHeight="true" outlineLevel="0" collapsed="false">
      <c r="A9" s="24" t="n">
        <v>6</v>
      </c>
      <c r="B9" s="24" t="n">
        <v>169</v>
      </c>
      <c r="C9" s="24" t="s">
        <v>931</v>
      </c>
      <c r="D9" s="24" t="n">
        <v>2005</v>
      </c>
      <c r="E9" s="24" t="s">
        <v>843</v>
      </c>
      <c r="F9" s="24" t="s">
        <v>485</v>
      </c>
      <c r="G9" s="24" t="n">
        <v>0</v>
      </c>
      <c r="H9" s="24" t="n">
        <v>0</v>
      </c>
      <c r="I9" s="24" t="s">
        <v>686</v>
      </c>
      <c r="J9" s="24" t="s">
        <v>911</v>
      </c>
    </row>
    <row r="10" customFormat="false" ht="15" hidden="false" customHeight="true" outlineLevel="0" collapsed="false">
      <c r="A10" s="24" t="n">
        <v>7</v>
      </c>
      <c r="B10" s="24" t="s">
        <v>938</v>
      </c>
      <c r="C10" s="24" t="s">
        <v>939</v>
      </c>
      <c r="D10" s="24" t="n">
        <v>2019</v>
      </c>
      <c r="E10" s="24" t="s">
        <v>884</v>
      </c>
      <c r="F10" s="24" t="s">
        <v>1246</v>
      </c>
      <c r="G10" s="24" t="n">
        <v>46</v>
      </c>
      <c r="H10" s="24" t="n">
        <v>11</v>
      </c>
      <c r="I10" s="24" t="s">
        <v>1251</v>
      </c>
      <c r="J10" s="24" t="s">
        <v>953</v>
      </c>
    </row>
    <row r="11" customFormat="false" ht="15" hidden="false" customHeight="true" outlineLevel="0" collapsed="false">
      <c r="A11" s="24" t="n">
        <v>8</v>
      </c>
      <c r="B11" s="24" t="s">
        <v>955</v>
      </c>
      <c r="C11" s="24" t="s">
        <v>956</v>
      </c>
      <c r="D11" s="24" t="n">
        <v>2019</v>
      </c>
      <c r="E11" s="24" t="s">
        <v>957</v>
      </c>
      <c r="F11" s="24" t="s">
        <v>1246</v>
      </c>
      <c r="G11" s="24" t="n">
        <v>25</v>
      </c>
      <c r="H11" s="24" t="n">
        <v>13</v>
      </c>
      <c r="I11" s="24" t="s">
        <v>1252</v>
      </c>
      <c r="J11" s="24" t="s">
        <v>963</v>
      </c>
    </row>
    <row r="12" customFormat="false" ht="15" hidden="false" customHeight="true" outlineLevel="0" collapsed="false">
      <c r="A12" s="24" t="n">
        <v>9</v>
      </c>
      <c r="B12" s="24" t="s">
        <v>965</v>
      </c>
      <c r="C12" s="24" t="s">
        <v>966</v>
      </c>
      <c r="D12" s="24" t="n">
        <v>2020</v>
      </c>
      <c r="E12" s="24" t="s">
        <v>967</v>
      </c>
      <c r="F12" s="24" t="s">
        <v>1246</v>
      </c>
      <c r="G12" s="24" t="n">
        <v>136</v>
      </c>
      <c r="H12" s="24" t="n">
        <v>17</v>
      </c>
      <c r="I12" s="24" t="s">
        <v>1253</v>
      </c>
      <c r="J12" s="24" t="s">
        <v>980</v>
      </c>
    </row>
    <row r="13" customFormat="false" ht="15" hidden="false" customHeight="true" outlineLevel="0" collapsed="false">
      <c r="A13" s="24" t="n">
        <v>10</v>
      </c>
      <c r="B13" s="24" t="s">
        <v>982</v>
      </c>
      <c r="C13" s="24" t="s">
        <v>983</v>
      </c>
      <c r="D13" s="24" t="n">
        <v>2023</v>
      </c>
      <c r="E13" s="24" t="s">
        <v>984</v>
      </c>
      <c r="F13" s="24" t="s">
        <v>1246</v>
      </c>
      <c r="G13" s="24" t="n">
        <v>50</v>
      </c>
      <c r="H13" s="24" t="n">
        <v>16</v>
      </c>
      <c r="I13" s="24" t="s">
        <v>1254</v>
      </c>
      <c r="J13" s="24" t="s">
        <v>999</v>
      </c>
    </row>
    <row r="14" customFormat="false" ht="15" hidden="false" customHeight="true" outlineLevel="0" collapsed="false">
      <c r="A14" s="24" t="n">
        <v>11</v>
      </c>
      <c r="B14" s="24" t="n">
        <v>170</v>
      </c>
      <c r="C14" s="24" t="s">
        <v>1001</v>
      </c>
      <c r="D14" s="24" t="n">
        <v>2003</v>
      </c>
      <c r="E14" s="24" t="s">
        <v>884</v>
      </c>
      <c r="F14" s="24" t="s">
        <v>1246</v>
      </c>
      <c r="G14" s="24" t="n">
        <v>49</v>
      </c>
      <c r="H14" s="24" t="n">
        <v>3</v>
      </c>
      <c r="I14" s="24" t="s">
        <v>1255</v>
      </c>
      <c r="J14" s="24" t="s">
        <v>1015</v>
      </c>
    </row>
    <row r="15" customFormat="false" ht="15" hidden="false" customHeight="true" outlineLevel="0" collapsed="false">
      <c r="A15" s="24" t="n">
        <v>12</v>
      </c>
      <c r="B15" s="24" t="s">
        <v>1018</v>
      </c>
      <c r="C15" s="24" t="s">
        <v>1019</v>
      </c>
      <c r="D15" s="24" t="n">
        <v>2011</v>
      </c>
      <c r="E15" s="24" t="s">
        <v>1020</v>
      </c>
      <c r="F15" s="24" t="s">
        <v>1246</v>
      </c>
      <c r="G15" s="24" t="n">
        <v>114</v>
      </c>
      <c r="H15" s="24" t="n">
        <v>13</v>
      </c>
      <c r="I15" s="24" t="s">
        <v>1256</v>
      </c>
      <c r="J15" s="24" t="s">
        <v>1039</v>
      </c>
    </row>
    <row r="16" customFormat="false" ht="15" hidden="false" customHeight="true" outlineLevel="0" collapsed="false">
      <c r="A16" s="24" t="n">
        <v>13</v>
      </c>
      <c r="B16" s="24" t="s">
        <v>1041</v>
      </c>
      <c r="C16" s="24" t="s">
        <v>1042</v>
      </c>
      <c r="D16" s="24" t="n">
        <v>2022</v>
      </c>
      <c r="E16" s="24" t="s">
        <v>843</v>
      </c>
      <c r="F16" s="24" t="s">
        <v>1246</v>
      </c>
      <c r="G16" s="24" t="n">
        <v>47</v>
      </c>
      <c r="H16" s="24" t="n">
        <v>10</v>
      </c>
      <c r="I16" s="24" t="s">
        <v>1257</v>
      </c>
      <c r="J16" s="24" t="s">
        <v>1061</v>
      </c>
    </row>
    <row r="17" customFormat="false" ht="15" hidden="false" customHeight="true" outlineLevel="0" collapsed="false">
      <c r="A17" s="24" t="n">
        <v>14</v>
      </c>
      <c r="B17" s="24" t="s">
        <v>1064</v>
      </c>
      <c r="C17" s="24" t="s">
        <v>1065</v>
      </c>
      <c r="D17" s="24" t="n">
        <v>2022</v>
      </c>
      <c r="E17" s="24" t="s">
        <v>80</v>
      </c>
      <c r="F17" s="24" t="s">
        <v>1246</v>
      </c>
      <c r="G17" s="24" t="n">
        <v>70</v>
      </c>
      <c r="H17" s="24" t="n">
        <v>22</v>
      </c>
      <c r="I17" s="24" t="s">
        <v>1258</v>
      </c>
      <c r="J17" s="24" t="s">
        <v>1077</v>
      </c>
    </row>
    <row r="18" customFormat="false" ht="15" hidden="false" customHeight="true" outlineLevel="0" collapsed="false">
      <c r="A18" s="24" t="n">
        <v>15</v>
      </c>
      <c r="B18" s="24" t="n">
        <v>171</v>
      </c>
      <c r="C18" s="24" t="s">
        <v>1079</v>
      </c>
      <c r="D18" s="24" t="n">
        <v>2012</v>
      </c>
      <c r="E18" s="24" t="s">
        <v>1080</v>
      </c>
      <c r="F18" s="24" t="s">
        <v>1246</v>
      </c>
      <c r="G18" s="24" t="n">
        <v>9</v>
      </c>
      <c r="H18" s="24" t="n">
        <v>2</v>
      </c>
      <c r="I18" s="24" t="s">
        <v>1259</v>
      </c>
      <c r="J18" s="24" t="s">
        <v>1098</v>
      </c>
    </row>
    <row r="19" customFormat="false" ht="15" hidden="false" customHeight="true" outlineLevel="0" collapsed="false">
      <c r="A19" s="24" t="n">
        <v>16</v>
      </c>
      <c r="B19" s="24" t="n">
        <v>172</v>
      </c>
      <c r="C19" s="24" t="s">
        <v>1100</v>
      </c>
      <c r="D19" s="24" t="n">
        <v>2005</v>
      </c>
      <c r="E19" s="24" t="s">
        <v>1101</v>
      </c>
      <c r="F19" s="24" t="s">
        <v>1246</v>
      </c>
      <c r="G19" s="24" t="n">
        <v>76</v>
      </c>
      <c r="H19" s="24" t="n">
        <v>14</v>
      </c>
      <c r="I19" s="24" t="s">
        <v>1260</v>
      </c>
      <c r="J19" s="24" t="s">
        <v>1113</v>
      </c>
    </row>
    <row r="20" customFormat="false" ht="15" hidden="false" customHeight="true" outlineLevel="0" collapsed="false">
      <c r="A20" s="24" t="n">
        <v>17</v>
      </c>
      <c r="B20" s="24" t="s">
        <v>1115</v>
      </c>
      <c r="C20" s="24" t="s">
        <v>1116</v>
      </c>
      <c r="D20" s="24" t="n">
        <v>2023</v>
      </c>
      <c r="E20" s="24" t="s">
        <v>843</v>
      </c>
      <c r="F20" s="24" t="s">
        <v>1246</v>
      </c>
      <c r="G20" s="24" t="n">
        <v>6</v>
      </c>
      <c r="H20" s="24" t="n">
        <v>3</v>
      </c>
      <c r="I20" s="24" t="s">
        <v>1261</v>
      </c>
      <c r="J20" s="24" t="s">
        <v>1130</v>
      </c>
    </row>
    <row r="21" customFormat="false" ht="15" hidden="false" customHeight="true" outlineLevel="0" collapsed="false">
      <c r="A21" s="24" t="n">
        <v>18</v>
      </c>
      <c r="B21" s="24" t="n">
        <v>173</v>
      </c>
      <c r="C21" s="24" t="s">
        <v>1133</v>
      </c>
      <c r="D21" s="24" t="n">
        <v>2023</v>
      </c>
      <c r="E21" s="24" t="s">
        <v>1134</v>
      </c>
      <c r="F21" s="24" t="s">
        <v>1246</v>
      </c>
      <c r="G21" s="24" t="n">
        <v>212</v>
      </c>
      <c r="H21" s="24" t="n">
        <v>20</v>
      </c>
      <c r="I21" s="24" t="s">
        <v>1262</v>
      </c>
      <c r="J21" s="24" t="s">
        <v>1149</v>
      </c>
    </row>
    <row r="22" customFormat="false" ht="15" hidden="false" customHeight="false" outlineLevel="0" collapsed="false">
      <c r="A22" s="24" t="n">
        <v>19</v>
      </c>
      <c r="B22" s="24" t="n">
        <v>174</v>
      </c>
      <c r="C22" s="24" t="s">
        <v>1152</v>
      </c>
      <c r="D22" s="24" t="n">
        <v>2017</v>
      </c>
      <c r="E22" s="24" t="s">
        <v>1153</v>
      </c>
      <c r="F22" s="24" t="s">
        <v>1246</v>
      </c>
      <c r="G22" s="24" t="n">
        <v>50</v>
      </c>
      <c r="H22" s="24" t="n">
        <v>11</v>
      </c>
      <c r="I22" s="24" t="s">
        <v>1263</v>
      </c>
      <c r="J22" s="24" t="s">
        <v>1168</v>
      </c>
    </row>
    <row r="23" customFormat="false" ht="15" hidden="false" customHeight="false" outlineLevel="0" collapsed="false">
      <c r="A23" s="24" t="n">
        <v>20</v>
      </c>
      <c r="B23" s="24" t="n">
        <v>175</v>
      </c>
      <c r="C23" s="24" t="s">
        <v>1170</v>
      </c>
      <c r="D23" s="24" t="n">
        <v>2022</v>
      </c>
      <c r="E23" s="24" t="s">
        <v>1171</v>
      </c>
      <c r="F23" s="24" t="s">
        <v>1246</v>
      </c>
      <c r="G23" s="24" t="n">
        <v>9</v>
      </c>
      <c r="H23" s="24" t="n">
        <v>6</v>
      </c>
      <c r="I23" s="24" t="s">
        <v>1264</v>
      </c>
      <c r="J23" s="24" t="s">
        <v>1189</v>
      </c>
    </row>
    <row r="24" customFormat="false" ht="15" hidden="false" customHeight="false" outlineLevel="0" collapsed="false">
      <c r="A24" s="24" t="n">
        <v>21</v>
      </c>
      <c r="B24" s="24" t="n">
        <v>176</v>
      </c>
      <c r="C24" s="24" t="s">
        <v>1191</v>
      </c>
      <c r="D24" s="24" t="n">
        <v>2015</v>
      </c>
      <c r="E24" s="24" t="s">
        <v>1192</v>
      </c>
      <c r="F24" s="24" t="s">
        <v>1246</v>
      </c>
      <c r="G24" s="24" t="n">
        <v>26</v>
      </c>
      <c r="H24" s="24" t="n">
        <v>3</v>
      </c>
      <c r="I24" s="24" t="s">
        <v>1265</v>
      </c>
      <c r="J24" s="24" t="s">
        <v>1212</v>
      </c>
    </row>
    <row r="25" customFormat="false" ht="15" hidden="false" customHeight="false" outlineLevel="0" collapsed="false">
      <c r="A25" s="24" t="n">
        <v>22</v>
      </c>
      <c r="B25" s="24" t="s">
        <v>1214</v>
      </c>
      <c r="C25" s="24" t="s">
        <v>1215</v>
      </c>
      <c r="D25" s="24" t="n">
        <v>2015</v>
      </c>
      <c r="E25" s="24" t="s">
        <v>1216</v>
      </c>
      <c r="F25" s="24" t="s">
        <v>1246</v>
      </c>
      <c r="G25" s="24" t="n">
        <v>28</v>
      </c>
      <c r="H25" s="24" t="n">
        <v>3</v>
      </c>
      <c r="I25" s="24" t="s">
        <v>1266</v>
      </c>
      <c r="J25" s="24" t="s">
        <v>1223</v>
      </c>
    </row>
    <row r="26" customFormat="false" ht="15" hidden="false" customHeight="false" outlineLevel="0" collapsed="false">
      <c r="A26" s="24" t="n">
        <v>23</v>
      </c>
      <c r="B26" s="24" t="s">
        <v>1225</v>
      </c>
      <c r="C26" s="24" t="s">
        <v>1226</v>
      </c>
      <c r="D26" s="24" t="n">
        <v>2018</v>
      </c>
      <c r="E26" s="24" t="s">
        <v>1227</v>
      </c>
      <c r="F26" s="24" t="s">
        <v>1246</v>
      </c>
      <c r="G26" s="24" t="n">
        <v>10</v>
      </c>
      <c r="H26" s="24" t="n">
        <v>4</v>
      </c>
      <c r="I26" s="24" t="s">
        <v>1267</v>
      </c>
      <c r="J26" s="24" t="s">
        <v>1238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1268</v>
      </c>
    </row>
    <row r="3" customFormat="false" ht="23.25" hidden="false" customHeight="true" outlineLevel="0" collapsed="false">
      <c r="A3" s="9" t="s">
        <v>55</v>
      </c>
      <c r="B3" s="9" t="s">
        <v>1269</v>
      </c>
      <c r="C3" s="9" t="s">
        <v>681</v>
      </c>
      <c r="D3" s="9" t="s">
        <v>1242</v>
      </c>
      <c r="E3" s="9" t="s">
        <v>1270</v>
      </c>
      <c r="F3" s="9" t="s">
        <v>1271</v>
      </c>
    </row>
    <row r="4" customFormat="false" ht="15" hidden="false" customHeight="true" outlineLevel="0" collapsed="false">
      <c r="A4" s="26" t="n">
        <v>1</v>
      </c>
      <c r="B4" s="26" t="s">
        <v>1272</v>
      </c>
      <c r="C4" s="26" t="s">
        <v>89</v>
      </c>
      <c r="D4" s="26" t="n">
        <v>72</v>
      </c>
      <c r="E4" s="26" t="n">
        <v>10</v>
      </c>
      <c r="F4" s="12" t="s">
        <v>1273</v>
      </c>
    </row>
    <row r="5" customFormat="false" ht="15" hidden="false" customHeight="true" outlineLevel="0" collapsed="false">
      <c r="A5" s="26" t="n">
        <v>2</v>
      </c>
      <c r="B5" s="26" t="s">
        <v>1274</v>
      </c>
      <c r="C5" s="26" t="s">
        <v>89</v>
      </c>
      <c r="D5" s="26" t="n">
        <v>0</v>
      </c>
      <c r="E5" s="26" t="n">
        <v>0</v>
      </c>
      <c r="F5" s="12" t="s">
        <v>1275</v>
      </c>
    </row>
    <row r="6" customFormat="false" ht="15" hidden="false" customHeight="true" outlineLevel="0" collapsed="false">
      <c r="A6" s="26" t="n">
        <v>3</v>
      </c>
      <c r="B6" s="26" t="s">
        <v>1276</v>
      </c>
      <c r="C6" s="26" t="s">
        <v>793</v>
      </c>
      <c r="D6" s="26" t="n">
        <v>70</v>
      </c>
      <c r="E6" s="26" t="n">
        <v>10</v>
      </c>
      <c r="F6" s="12" t="s">
        <v>1277</v>
      </c>
    </row>
    <row r="7" customFormat="false" ht="15" hidden="false" customHeight="true" outlineLevel="0" collapsed="false">
      <c r="A7" s="26" t="n">
        <v>4</v>
      </c>
      <c r="B7" s="26" t="s">
        <v>1278</v>
      </c>
      <c r="C7" s="26" t="s">
        <v>793</v>
      </c>
      <c r="D7" s="26" t="n">
        <v>0</v>
      </c>
      <c r="E7" s="26" t="n">
        <v>0</v>
      </c>
      <c r="F7" s="12" t="s">
        <v>1275</v>
      </c>
    </row>
    <row r="8" customFormat="false" ht="15" hidden="false" customHeight="true" outlineLevel="0" collapsed="false">
      <c r="A8" s="26" t="n">
        <v>5</v>
      </c>
      <c r="B8" s="26" t="s">
        <v>1279</v>
      </c>
      <c r="C8" s="26" t="s">
        <v>793</v>
      </c>
      <c r="D8" s="26" t="n">
        <v>0</v>
      </c>
      <c r="E8" s="26" t="n">
        <v>0</v>
      </c>
      <c r="F8" s="12" t="s">
        <v>1275</v>
      </c>
    </row>
    <row r="9" customFormat="false" ht="15" hidden="false" customHeight="true" outlineLevel="0" collapsed="false">
      <c r="A9" s="26" t="n">
        <v>6</v>
      </c>
      <c r="B9" s="26" t="s">
        <v>1280</v>
      </c>
      <c r="C9" s="26" t="s">
        <v>793</v>
      </c>
      <c r="D9" s="26" t="n">
        <v>0</v>
      </c>
      <c r="E9" s="26" t="n">
        <v>0</v>
      </c>
      <c r="F9" s="12" t="s">
        <v>1275</v>
      </c>
    </row>
    <row r="10" customFormat="false" ht="15" hidden="false" customHeight="true" outlineLevel="0" collapsed="false">
      <c r="A10" s="26" t="n">
        <v>7</v>
      </c>
      <c r="B10" s="26" t="s">
        <v>1281</v>
      </c>
      <c r="C10" s="26" t="s">
        <v>1282</v>
      </c>
      <c r="D10" s="26" t="n">
        <v>27</v>
      </c>
      <c r="E10" s="26" t="n">
        <v>7</v>
      </c>
      <c r="F10" s="12" t="s">
        <v>1283</v>
      </c>
    </row>
    <row r="11" customFormat="false" ht="15" hidden="false" customHeight="true" outlineLevel="0" collapsed="false">
      <c r="A11" s="26" t="n">
        <v>8</v>
      </c>
      <c r="B11" s="26" t="s">
        <v>1284</v>
      </c>
      <c r="C11" s="26" t="s">
        <v>1285</v>
      </c>
      <c r="D11" s="26" t="n">
        <v>3</v>
      </c>
      <c r="E11" s="26" t="n">
        <v>1</v>
      </c>
      <c r="F11" s="12" t="s">
        <v>1286</v>
      </c>
    </row>
    <row r="12" customFormat="false" ht="15" hidden="false" customHeight="true" outlineLevel="0" collapsed="false">
      <c r="A12" s="26" t="n">
        <v>9</v>
      </c>
      <c r="B12" s="26" t="s">
        <v>1287</v>
      </c>
      <c r="C12" s="26" t="s">
        <v>1288</v>
      </c>
      <c r="D12" s="26" t="n">
        <v>12</v>
      </c>
      <c r="E12" s="26" t="n">
        <v>2</v>
      </c>
      <c r="F12" s="12" t="s">
        <v>1289</v>
      </c>
    </row>
    <row r="13" customFormat="false" ht="15" hidden="false" customHeight="true" outlineLevel="0" collapsed="false">
      <c r="A13" s="26" t="n">
        <v>10</v>
      </c>
      <c r="B13" s="26" t="s">
        <v>1290</v>
      </c>
      <c r="C13" s="26" t="s">
        <v>1291</v>
      </c>
      <c r="D13" s="26" t="n">
        <v>13</v>
      </c>
      <c r="E13" s="26" t="n">
        <v>5</v>
      </c>
      <c r="F13" s="12" t="s">
        <v>1292</v>
      </c>
    </row>
    <row r="14" customFormat="false" ht="15" hidden="false" customHeight="true" outlineLevel="0" collapsed="false">
      <c r="A14" s="26" t="n">
        <v>11</v>
      </c>
      <c r="B14" s="26" t="s">
        <v>1293</v>
      </c>
      <c r="C14" s="26" t="s">
        <v>1294</v>
      </c>
      <c r="D14" s="26" t="n">
        <v>38</v>
      </c>
      <c r="E14" s="26" t="n">
        <v>7</v>
      </c>
      <c r="F14" s="12" t="s">
        <v>1295</v>
      </c>
    </row>
    <row r="15" customFormat="false" ht="15" hidden="false" customHeight="true" outlineLevel="0" collapsed="false">
      <c r="A15" s="26" t="n">
        <v>12</v>
      </c>
      <c r="B15" s="26" t="s">
        <v>1296</v>
      </c>
      <c r="C15" s="26" t="s">
        <v>1297</v>
      </c>
      <c r="D15" s="26" t="n">
        <v>13</v>
      </c>
      <c r="E15" s="26" t="n">
        <v>5</v>
      </c>
      <c r="F15" s="12" t="s">
        <v>1292</v>
      </c>
    </row>
    <row r="16" customFormat="false" ht="15" hidden="false" customHeight="true" outlineLevel="0" collapsed="false">
      <c r="A16" s="26" t="n">
        <v>13</v>
      </c>
      <c r="B16" s="26" t="s">
        <v>1298</v>
      </c>
      <c r="C16" s="26" t="s">
        <v>1299</v>
      </c>
      <c r="D16" s="26" t="n">
        <v>7</v>
      </c>
      <c r="E16" s="26" t="n">
        <v>2</v>
      </c>
      <c r="F16" s="12" t="s">
        <v>1300</v>
      </c>
    </row>
    <row r="17" customFormat="false" ht="15" hidden="false" customHeight="true" outlineLevel="0" collapsed="false">
      <c r="A17" s="26" t="n">
        <v>14</v>
      </c>
      <c r="B17" s="26" t="s">
        <v>1301</v>
      </c>
      <c r="C17" s="26" t="s">
        <v>1302</v>
      </c>
      <c r="D17" s="26" t="n">
        <v>7</v>
      </c>
      <c r="E17" s="26" t="n">
        <v>2</v>
      </c>
      <c r="F17" s="12" t="s">
        <v>1300</v>
      </c>
    </row>
    <row r="18" customFormat="false" ht="15" hidden="false" customHeight="true" outlineLevel="0" collapsed="false">
      <c r="A18" s="26" t="n">
        <v>15</v>
      </c>
      <c r="B18" s="26" t="s">
        <v>1303</v>
      </c>
      <c r="C18" s="26" t="s">
        <v>1304</v>
      </c>
      <c r="D18" s="26" t="n">
        <v>72</v>
      </c>
      <c r="E18" s="26" t="n">
        <v>5</v>
      </c>
      <c r="F18" s="12" t="s">
        <v>1305</v>
      </c>
    </row>
    <row r="19" customFormat="false" ht="15" hidden="false" customHeight="true" outlineLevel="0" collapsed="false">
      <c r="A19" s="26" t="n">
        <v>16</v>
      </c>
      <c r="B19" s="26" t="s">
        <v>1306</v>
      </c>
      <c r="C19" s="26" t="s">
        <v>1307</v>
      </c>
      <c r="D19" s="26" t="n">
        <v>10</v>
      </c>
      <c r="E19" s="26" t="n">
        <v>2</v>
      </c>
      <c r="F19" s="12" t="s">
        <v>1308</v>
      </c>
    </row>
    <row r="20" customFormat="false" ht="15" hidden="false" customHeight="true" outlineLevel="0" collapsed="false">
      <c r="A20" s="26" t="n">
        <v>17</v>
      </c>
      <c r="B20" s="26" t="s">
        <v>1309</v>
      </c>
      <c r="C20" s="26" t="s">
        <v>1310</v>
      </c>
      <c r="D20" s="26" t="n">
        <v>16</v>
      </c>
      <c r="E20" s="26" t="n">
        <v>4</v>
      </c>
      <c r="F20" s="12" t="s">
        <v>1311</v>
      </c>
    </row>
    <row r="21" customFormat="false" ht="15" hidden="false" customHeight="true" outlineLevel="0" collapsed="false">
      <c r="A21" s="26" t="n">
        <v>18</v>
      </c>
      <c r="B21" s="26" t="s">
        <v>1312</v>
      </c>
      <c r="C21" s="26" t="s">
        <v>1313</v>
      </c>
      <c r="D21" s="26" t="n">
        <v>7</v>
      </c>
      <c r="E21" s="26" t="n">
        <v>2</v>
      </c>
      <c r="F21" s="12" t="s">
        <v>1314</v>
      </c>
    </row>
    <row r="22" customFormat="false" ht="15" hidden="false" customHeight="true" outlineLevel="0" collapsed="false">
      <c r="A22" s="26" t="n">
        <v>19</v>
      </c>
      <c r="B22" s="26" t="s">
        <v>1315</v>
      </c>
      <c r="C22" s="26" t="s">
        <v>1316</v>
      </c>
      <c r="D22" s="26" t="n">
        <v>7</v>
      </c>
      <c r="E22" s="26" t="n">
        <v>2</v>
      </c>
      <c r="F22" s="12" t="s">
        <v>1314</v>
      </c>
    </row>
    <row r="23" customFormat="false" ht="15" hidden="false" customHeight="true" outlineLevel="0" collapsed="false">
      <c r="A23" s="26" t="n">
        <v>20</v>
      </c>
      <c r="B23" s="26" t="s">
        <v>1317</v>
      </c>
      <c r="C23" s="26" t="s">
        <v>1318</v>
      </c>
      <c r="D23" s="26" t="n">
        <v>8</v>
      </c>
      <c r="E23" s="26" t="n">
        <v>1</v>
      </c>
      <c r="F23" s="12" t="s">
        <v>1319</v>
      </c>
    </row>
    <row r="24" customFormat="false" ht="15" hidden="false" customHeight="true" outlineLevel="0" collapsed="false">
      <c r="A24" s="26" t="n">
        <v>21</v>
      </c>
      <c r="B24" s="26" t="s">
        <v>1320</v>
      </c>
      <c r="C24" s="26" t="s">
        <v>1321</v>
      </c>
      <c r="D24" s="26" t="n">
        <v>7</v>
      </c>
      <c r="E24" s="26" t="n">
        <v>2</v>
      </c>
      <c r="F24" s="12" t="s">
        <v>1314</v>
      </c>
    </row>
    <row r="25" customFormat="false" ht="15" hidden="false" customHeight="true" outlineLevel="0" collapsed="false">
      <c r="A25" s="26" t="n">
        <v>22</v>
      </c>
      <c r="B25" s="26" t="s">
        <v>1322</v>
      </c>
      <c r="C25" s="26" t="s">
        <v>1323</v>
      </c>
      <c r="D25" s="26" t="n">
        <v>7</v>
      </c>
      <c r="E25" s="26" t="n">
        <v>2</v>
      </c>
      <c r="F25" s="12" t="s">
        <v>1314</v>
      </c>
    </row>
    <row r="26" customFormat="false" ht="15" hidden="false" customHeight="true" outlineLevel="0" collapsed="false">
      <c r="A26" s="26" t="n">
        <v>23</v>
      </c>
      <c r="B26" s="26" t="s">
        <v>1324</v>
      </c>
      <c r="C26" s="26" t="s">
        <v>1325</v>
      </c>
      <c r="D26" s="26" t="n">
        <v>0</v>
      </c>
      <c r="E26" s="26" t="n">
        <v>0</v>
      </c>
      <c r="F26" s="12" t="s">
        <v>1275</v>
      </c>
    </row>
    <row r="27" customFormat="false" ht="15" hidden="false" customHeight="true" outlineLevel="0" collapsed="false">
      <c r="A27" s="26" t="n">
        <v>24</v>
      </c>
      <c r="B27" s="26" t="s">
        <v>1326</v>
      </c>
      <c r="C27" s="26" t="s">
        <v>1327</v>
      </c>
      <c r="D27" s="26" t="n">
        <v>15</v>
      </c>
      <c r="E27" s="26" t="n">
        <v>2</v>
      </c>
      <c r="F27" s="12" t="s">
        <v>1328</v>
      </c>
    </row>
    <row r="28" customFormat="false" ht="15" hidden="false" customHeight="true" outlineLevel="0" collapsed="false">
      <c r="A28" s="26" t="n">
        <v>25</v>
      </c>
      <c r="B28" s="26" t="s">
        <v>1329</v>
      </c>
      <c r="C28" s="26" t="s">
        <v>1330</v>
      </c>
      <c r="D28" s="26" t="n">
        <v>0</v>
      </c>
      <c r="E28" s="26" t="n">
        <v>0</v>
      </c>
      <c r="F28" s="12" t="s">
        <v>1275</v>
      </c>
    </row>
    <row r="29" customFormat="false" ht="15" hidden="false" customHeight="true" outlineLevel="0" collapsed="false">
      <c r="A29" s="26" t="n">
        <v>26</v>
      </c>
      <c r="B29" s="26" t="s">
        <v>1331</v>
      </c>
      <c r="C29" s="26" t="s">
        <v>1332</v>
      </c>
      <c r="D29" s="26" t="n">
        <v>0</v>
      </c>
      <c r="E29" s="26" t="n">
        <v>0</v>
      </c>
      <c r="F29" s="12" t="s">
        <v>1275</v>
      </c>
    </row>
    <row r="30" customFormat="false" ht="15" hidden="false" customHeight="true" outlineLevel="0" collapsed="false">
      <c r="A30" s="26" t="n">
        <v>27</v>
      </c>
      <c r="B30" s="26" t="s">
        <v>94</v>
      </c>
      <c r="C30" s="26" t="s">
        <v>723</v>
      </c>
      <c r="D30" s="26" t="n">
        <v>45</v>
      </c>
      <c r="E30" s="26" t="n">
        <v>12</v>
      </c>
      <c r="F30" s="12" t="s">
        <v>1333</v>
      </c>
    </row>
    <row r="31" customFormat="false" ht="15" hidden="false" customHeight="true" outlineLevel="0" collapsed="false">
      <c r="A31" s="26" t="n">
        <v>28</v>
      </c>
      <c r="B31" s="26" t="s">
        <v>1334</v>
      </c>
      <c r="C31" s="26" t="s">
        <v>723</v>
      </c>
      <c r="D31" s="26" t="n">
        <v>7</v>
      </c>
      <c r="E31" s="26" t="n">
        <v>2</v>
      </c>
      <c r="F31" s="12" t="s">
        <v>1300</v>
      </c>
    </row>
    <row r="32" customFormat="false" ht="15" hidden="false" customHeight="true" outlineLevel="0" collapsed="false">
      <c r="A32" s="26" t="n">
        <v>29</v>
      </c>
      <c r="B32" s="26" t="s">
        <v>1335</v>
      </c>
      <c r="C32" s="26" t="s">
        <v>723</v>
      </c>
      <c r="D32" s="26" t="n">
        <v>15</v>
      </c>
      <c r="E32" s="26" t="n">
        <v>2</v>
      </c>
      <c r="F32" s="12" t="s">
        <v>1336</v>
      </c>
    </row>
    <row r="33" customFormat="false" ht="15" hidden="false" customHeight="true" outlineLevel="0" collapsed="false">
      <c r="A33" s="26" t="n">
        <v>30</v>
      </c>
      <c r="B33" s="26" t="s">
        <v>1337</v>
      </c>
      <c r="C33" s="26" t="s">
        <v>723</v>
      </c>
      <c r="D33" s="26" t="n">
        <v>0</v>
      </c>
      <c r="E33" s="26" t="n">
        <v>0</v>
      </c>
      <c r="F33" s="12" t="s">
        <v>1275</v>
      </c>
    </row>
    <row r="34" customFormat="false" ht="15" hidden="false" customHeight="true" outlineLevel="0" collapsed="false">
      <c r="A34" s="26" t="n">
        <v>31</v>
      </c>
      <c r="B34" s="26" t="s">
        <v>1338</v>
      </c>
      <c r="C34" s="26" t="s">
        <v>1339</v>
      </c>
      <c r="D34" s="26" t="n">
        <v>4</v>
      </c>
      <c r="E34" s="26" t="n">
        <v>1</v>
      </c>
      <c r="F34" s="12" t="s">
        <v>1340</v>
      </c>
    </row>
    <row r="35" customFormat="false" ht="15" hidden="false" customHeight="true" outlineLevel="0" collapsed="false">
      <c r="A35" s="26" t="n">
        <v>32</v>
      </c>
      <c r="B35" s="26" t="s">
        <v>1341</v>
      </c>
      <c r="C35" s="26" t="s">
        <v>1342</v>
      </c>
      <c r="D35" s="26" t="n">
        <v>0</v>
      </c>
      <c r="E35" s="26" t="n">
        <v>0</v>
      </c>
      <c r="F35" s="12" t="s">
        <v>1275</v>
      </c>
    </row>
    <row r="36" customFormat="false" ht="15" hidden="false" customHeight="true" outlineLevel="0" collapsed="false">
      <c r="A36" s="26" t="n">
        <v>33</v>
      </c>
      <c r="B36" s="26" t="s">
        <v>1343</v>
      </c>
      <c r="C36" s="26" t="s">
        <v>1344</v>
      </c>
      <c r="D36" s="26" t="n">
        <v>3</v>
      </c>
      <c r="E36" s="26" t="n">
        <v>1</v>
      </c>
      <c r="F36" s="12" t="s">
        <v>1345</v>
      </c>
    </row>
    <row r="37" customFormat="false" ht="15" hidden="false" customHeight="true" outlineLevel="0" collapsed="false">
      <c r="A37" s="26" t="n">
        <v>34</v>
      </c>
      <c r="B37" s="26" t="s">
        <v>1346</v>
      </c>
      <c r="C37" s="26" t="s">
        <v>1347</v>
      </c>
      <c r="D37" s="26" t="n">
        <v>0</v>
      </c>
      <c r="E37" s="26" t="n">
        <v>0</v>
      </c>
      <c r="F37" s="12" t="s">
        <v>1275</v>
      </c>
    </row>
    <row r="38" customFormat="false" ht="15" hidden="false" customHeight="true" outlineLevel="0" collapsed="false">
      <c r="A38" s="26" t="n">
        <v>35</v>
      </c>
      <c r="B38" s="26" t="s">
        <v>1348</v>
      </c>
      <c r="C38" s="26" t="s">
        <v>1349</v>
      </c>
      <c r="D38" s="26" t="n">
        <v>0</v>
      </c>
      <c r="E38" s="26" t="n">
        <v>0</v>
      </c>
      <c r="F38" s="12" t="s">
        <v>1275</v>
      </c>
    </row>
    <row r="39" customFormat="false" ht="15" hidden="false" customHeight="true" outlineLevel="0" collapsed="false">
      <c r="A39" s="26" t="n">
        <v>36</v>
      </c>
      <c r="B39" s="26" t="s">
        <v>1350</v>
      </c>
      <c r="C39" s="26" t="s">
        <v>1351</v>
      </c>
      <c r="D39" s="26" t="n">
        <v>0</v>
      </c>
      <c r="E39" s="26" t="n">
        <v>0</v>
      </c>
      <c r="F39" s="12" t="s">
        <v>1275</v>
      </c>
    </row>
    <row r="40" customFormat="false" ht="15" hidden="false" customHeight="true" outlineLevel="0" collapsed="false">
      <c r="A40" s="26" t="n">
        <v>37</v>
      </c>
      <c r="B40" s="26" t="s">
        <v>1352</v>
      </c>
      <c r="C40" s="26" t="s">
        <v>1353</v>
      </c>
      <c r="D40" s="26" t="n">
        <v>0</v>
      </c>
      <c r="E40" s="26" t="n">
        <v>0</v>
      </c>
      <c r="F40" s="12" t="s">
        <v>1275</v>
      </c>
    </row>
    <row r="41" customFormat="false" ht="15" hidden="false" customHeight="true" outlineLevel="0" collapsed="false">
      <c r="A41" s="26" t="n">
        <v>38</v>
      </c>
      <c r="B41" s="26" t="s">
        <v>1354</v>
      </c>
      <c r="C41" s="26" t="s">
        <v>1355</v>
      </c>
      <c r="D41" s="26" t="n">
        <v>0</v>
      </c>
      <c r="E41" s="26" t="n">
        <v>0</v>
      </c>
      <c r="F41" s="12" t="s">
        <v>1275</v>
      </c>
    </row>
    <row r="42" customFormat="false" ht="15" hidden="false" customHeight="true" outlineLevel="0" collapsed="false">
      <c r="A42" s="26" t="n">
        <v>39</v>
      </c>
      <c r="B42" s="26" t="s">
        <v>1356</v>
      </c>
      <c r="C42" s="26" t="s">
        <v>1357</v>
      </c>
      <c r="D42" s="26" t="n">
        <v>3</v>
      </c>
      <c r="E42" s="26" t="n">
        <v>1</v>
      </c>
      <c r="F42" s="12" t="s">
        <v>1358</v>
      </c>
    </row>
    <row r="43" customFormat="false" ht="15" hidden="false" customHeight="true" outlineLevel="0" collapsed="false">
      <c r="A43" s="26" t="n">
        <v>40</v>
      </c>
      <c r="B43" s="26" t="s">
        <v>1359</v>
      </c>
      <c r="C43" s="26" t="s">
        <v>1360</v>
      </c>
      <c r="D43" s="26" t="n">
        <v>0</v>
      </c>
      <c r="E43" s="26" t="n">
        <v>0</v>
      </c>
      <c r="F43" s="12" t="s">
        <v>1275</v>
      </c>
    </row>
    <row r="44" customFormat="false" ht="15" hidden="false" customHeight="true" outlineLevel="0" collapsed="false">
      <c r="A44" s="26" t="n">
        <v>41</v>
      </c>
      <c r="B44" s="26" t="s">
        <v>779</v>
      </c>
      <c r="C44" s="26" t="s">
        <v>1361</v>
      </c>
      <c r="D44" s="26" t="n">
        <v>3</v>
      </c>
      <c r="E44" s="26" t="n">
        <v>1</v>
      </c>
      <c r="F44" s="12" t="s">
        <v>1345</v>
      </c>
    </row>
    <row r="45" customFormat="false" ht="15" hidden="false" customHeight="true" outlineLevel="0" collapsed="false">
      <c r="A45" s="26" t="n">
        <v>42</v>
      </c>
      <c r="B45" s="26" t="s">
        <v>1362</v>
      </c>
      <c r="C45" s="26" t="s">
        <v>1363</v>
      </c>
      <c r="D45" s="26" t="n">
        <v>2</v>
      </c>
      <c r="E45" s="26" t="n">
        <v>1</v>
      </c>
      <c r="F45" s="12" t="s">
        <v>1364</v>
      </c>
    </row>
    <row r="46" customFormat="false" ht="15" hidden="false" customHeight="true" outlineLevel="0" collapsed="false">
      <c r="A46" s="26" t="n">
        <v>43</v>
      </c>
      <c r="B46" s="26" t="s">
        <v>1365</v>
      </c>
      <c r="C46" s="26" t="s">
        <v>1366</v>
      </c>
      <c r="D46" s="26" t="n">
        <v>2</v>
      </c>
      <c r="E46" s="26" t="n">
        <v>1</v>
      </c>
      <c r="F46" s="12" t="s">
        <v>1364</v>
      </c>
    </row>
    <row r="47" customFormat="false" ht="15" hidden="false" customHeight="true" outlineLevel="0" collapsed="false">
      <c r="A47" s="26" t="n">
        <v>44</v>
      </c>
      <c r="B47" s="26" t="s">
        <v>1367</v>
      </c>
      <c r="C47" s="26" t="s">
        <v>1368</v>
      </c>
      <c r="D47" s="26" t="n">
        <v>2</v>
      </c>
      <c r="E47" s="26" t="n">
        <v>1</v>
      </c>
      <c r="F47" s="12" t="s">
        <v>1364</v>
      </c>
    </row>
    <row r="48" customFormat="false" ht="15" hidden="false" customHeight="true" outlineLevel="0" collapsed="false">
      <c r="A48" s="26" t="n">
        <v>45</v>
      </c>
      <c r="B48" s="26" t="s">
        <v>1369</v>
      </c>
      <c r="C48" s="26" t="s">
        <v>1370</v>
      </c>
      <c r="D48" s="26" t="n">
        <v>2</v>
      </c>
      <c r="E48" s="26" t="n">
        <v>1</v>
      </c>
      <c r="F48" s="12" t="s">
        <v>1364</v>
      </c>
    </row>
    <row r="49" customFormat="false" ht="15" hidden="false" customHeight="true" outlineLevel="0" collapsed="false">
      <c r="A49" s="26" t="n">
        <v>46</v>
      </c>
      <c r="B49" s="26" t="s">
        <v>730</v>
      </c>
      <c r="C49" s="26" t="s">
        <v>1371</v>
      </c>
      <c r="D49" s="26" t="n">
        <v>26</v>
      </c>
      <c r="E49" s="26" t="n">
        <v>8</v>
      </c>
      <c r="F49" s="12" t="s">
        <v>1372</v>
      </c>
    </row>
    <row r="50" customFormat="false" ht="15" hidden="false" customHeight="true" outlineLevel="0" collapsed="false">
      <c r="A50" s="26" t="n">
        <v>47</v>
      </c>
      <c r="B50" s="26" t="s">
        <v>1373</v>
      </c>
      <c r="C50" s="26" t="s">
        <v>1374</v>
      </c>
      <c r="D50" s="26" t="n">
        <v>3</v>
      </c>
      <c r="E50" s="26" t="n">
        <v>2</v>
      </c>
      <c r="F50" s="12" t="s">
        <v>1375</v>
      </c>
    </row>
    <row r="51" customFormat="false" ht="15" hidden="false" customHeight="true" outlineLevel="0" collapsed="false">
      <c r="A51" s="26" t="n">
        <v>48</v>
      </c>
      <c r="B51" s="26" t="s">
        <v>1376</v>
      </c>
      <c r="C51" s="26" t="s">
        <v>1377</v>
      </c>
      <c r="D51" s="26" t="n">
        <v>0</v>
      </c>
      <c r="E51" s="26" t="n">
        <v>0</v>
      </c>
      <c r="F51" s="12" t="s">
        <v>1275</v>
      </c>
    </row>
    <row r="52" customFormat="false" ht="15" hidden="false" customHeight="true" outlineLevel="0" collapsed="false">
      <c r="A52" s="26" t="n">
        <v>49</v>
      </c>
      <c r="B52" s="26" t="s">
        <v>1378</v>
      </c>
      <c r="C52" s="26" t="s">
        <v>1379</v>
      </c>
      <c r="D52" s="26" t="n">
        <v>0</v>
      </c>
      <c r="E52" s="26" t="n">
        <v>0</v>
      </c>
      <c r="F52" s="12" t="s">
        <v>1275</v>
      </c>
    </row>
    <row r="53" customFormat="false" ht="15" hidden="false" customHeight="true" outlineLevel="0" collapsed="false">
      <c r="A53" s="26" t="n">
        <v>50</v>
      </c>
      <c r="B53" s="26" t="s">
        <v>1380</v>
      </c>
      <c r="C53" s="26" t="s">
        <v>1381</v>
      </c>
      <c r="D53" s="26" t="n">
        <v>0</v>
      </c>
      <c r="E53" s="26" t="n">
        <v>0</v>
      </c>
      <c r="F53" s="12" t="s">
        <v>1275</v>
      </c>
    </row>
    <row r="54" customFormat="false" ht="15" hidden="false" customHeight="true" outlineLevel="0" collapsed="false">
      <c r="A54" s="26" t="n">
        <v>51</v>
      </c>
      <c r="B54" s="26" t="s">
        <v>1382</v>
      </c>
      <c r="C54" s="26" t="s">
        <v>1383</v>
      </c>
      <c r="D54" s="26" t="n">
        <v>0</v>
      </c>
      <c r="E54" s="26" t="n">
        <v>0</v>
      </c>
      <c r="F54" s="12" t="s">
        <v>1275</v>
      </c>
    </row>
    <row r="55" customFormat="false" ht="15" hidden="false" customHeight="true" outlineLevel="0" collapsed="false">
      <c r="A55" s="26" t="n">
        <v>52</v>
      </c>
      <c r="B55" s="26" t="s">
        <v>1384</v>
      </c>
      <c r="C55" s="26" t="s">
        <v>1385</v>
      </c>
      <c r="D55" s="26" t="n">
        <v>10</v>
      </c>
      <c r="E55" s="26" t="n">
        <v>4</v>
      </c>
      <c r="F55" s="12" t="s">
        <v>1386</v>
      </c>
    </row>
    <row r="56" customFormat="false" ht="15" hidden="false" customHeight="true" outlineLevel="0" collapsed="false">
      <c r="A56" s="26" t="n">
        <v>53</v>
      </c>
      <c r="B56" s="26" t="s">
        <v>1387</v>
      </c>
      <c r="C56" s="26" t="s">
        <v>1388</v>
      </c>
      <c r="D56" s="26" t="n">
        <v>14</v>
      </c>
      <c r="E56" s="26" t="n">
        <v>3</v>
      </c>
      <c r="F56" s="12" t="s">
        <v>1389</v>
      </c>
    </row>
    <row r="57" customFormat="false" ht="15" hidden="false" customHeight="true" outlineLevel="0" collapsed="false">
      <c r="A57" s="26" t="n">
        <v>54</v>
      </c>
      <c r="B57" s="26" t="s">
        <v>1390</v>
      </c>
      <c r="C57" s="26" t="s">
        <v>1391</v>
      </c>
      <c r="D57" s="26" t="n">
        <v>23</v>
      </c>
      <c r="E57" s="26" t="n">
        <v>4</v>
      </c>
      <c r="F57" s="12" t="s">
        <v>1392</v>
      </c>
    </row>
    <row r="58" customFormat="false" ht="15" hidden="false" customHeight="true" outlineLevel="0" collapsed="false">
      <c r="A58" s="26" t="n">
        <v>55</v>
      </c>
      <c r="B58" s="26" t="s">
        <v>1393</v>
      </c>
      <c r="C58" s="26" t="s">
        <v>1394</v>
      </c>
      <c r="D58" s="26" t="n">
        <v>3</v>
      </c>
      <c r="E58" s="26" t="n">
        <v>1</v>
      </c>
      <c r="F58" s="12" t="s">
        <v>1345</v>
      </c>
    </row>
    <row r="59" customFormat="false" ht="15" hidden="false" customHeight="true" outlineLevel="0" collapsed="false">
      <c r="A59" s="26" t="n">
        <v>56</v>
      </c>
      <c r="B59" s="26" t="s">
        <v>1395</v>
      </c>
      <c r="C59" s="26" t="s">
        <v>1396</v>
      </c>
      <c r="D59" s="26" t="n">
        <v>30</v>
      </c>
      <c r="E59" s="26" t="n">
        <v>5</v>
      </c>
      <c r="F59" s="12" t="s">
        <v>1397</v>
      </c>
    </row>
    <row r="60" customFormat="false" ht="15" hidden="false" customHeight="true" outlineLevel="0" collapsed="false">
      <c r="A60" s="26" t="n">
        <v>57</v>
      </c>
      <c r="B60" s="26" t="s">
        <v>1398</v>
      </c>
      <c r="C60" s="26" t="s">
        <v>1399</v>
      </c>
      <c r="D60" s="26" t="n">
        <v>40</v>
      </c>
      <c r="E60" s="26" t="n">
        <v>7</v>
      </c>
      <c r="F60" s="12" t="s">
        <v>1400</v>
      </c>
    </row>
    <row r="61" customFormat="false" ht="15" hidden="false" customHeight="true" outlineLevel="0" collapsed="false">
      <c r="A61" s="26" t="n">
        <v>58</v>
      </c>
      <c r="B61" s="26" t="s">
        <v>1401</v>
      </c>
      <c r="C61" s="26" t="s">
        <v>1402</v>
      </c>
      <c r="D61" s="26" t="n">
        <v>31</v>
      </c>
      <c r="E61" s="26" t="n">
        <v>6</v>
      </c>
      <c r="F61" s="12" t="s">
        <v>1403</v>
      </c>
    </row>
    <row r="62" customFormat="false" ht="15" hidden="false" customHeight="true" outlineLevel="0" collapsed="false">
      <c r="A62" s="26" t="n">
        <v>59</v>
      </c>
      <c r="B62" s="26" t="s">
        <v>1404</v>
      </c>
      <c r="C62" s="26" t="s">
        <v>1405</v>
      </c>
      <c r="D62" s="26" t="n">
        <v>0</v>
      </c>
      <c r="E62" s="26" t="n">
        <v>0</v>
      </c>
      <c r="F62" s="12" t="s">
        <v>1275</v>
      </c>
    </row>
    <row r="63" customFormat="false" ht="15" hidden="false" customHeight="true" outlineLevel="0" collapsed="false">
      <c r="A63" s="26" t="n">
        <v>60</v>
      </c>
      <c r="B63" s="26" t="s">
        <v>1406</v>
      </c>
      <c r="C63" s="26" t="s">
        <v>778</v>
      </c>
      <c r="D63" s="26" t="n">
        <v>12</v>
      </c>
      <c r="E63" s="26" t="n">
        <v>4</v>
      </c>
      <c r="F63" s="12" t="s">
        <v>1407</v>
      </c>
    </row>
    <row r="64" customFormat="false" ht="15" hidden="false" customHeight="true" outlineLevel="0" collapsed="false">
      <c r="A64" s="26" t="n">
        <v>61</v>
      </c>
      <c r="B64" s="26" t="s">
        <v>1408</v>
      </c>
      <c r="C64" s="26" t="s">
        <v>1409</v>
      </c>
      <c r="D64" s="26" t="n">
        <v>0</v>
      </c>
      <c r="E64" s="26" t="n">
        <v>0</v>
      </c>
      <c r="F64" s="12" t="s">
        <v>1275</v>
      </c>
    </row>
    <row r="65" customFormat="false" ht="15" hidden="false" customHeight="true" outlineLevel="0" collapsed="false">
      <c r="A65" s="26" t="n">
        <v>62</v>
      </c>
      <c r="B65" s="26" t="s">
        <v>1410</v>
      </c>
      <c r="C65" s="26" t="s">
        <v>1411</v>
      </c>
      <c r="D65" s="26" t="n">
        <v>0</v>
      </c>
      <c r="E65" s="26" t="n">
        <v>0</v>
      </c>
      <c r="F65" s="12" t="s">
        <v>1275</v>
      </c>
    </row>
    <row r="66" customFormat="false" ht="15" hidden="false" customHeight="true" outlineLevel="0" collapsed="false">
      <c r="A66" s="26" t="n">
        <v>63</v>
      </c>
      <c r="B66" s="26" t="s">
        <v>1412</v>
      </c>
      <c r="C66" s="26" t="s">
        <v>1413</v>
      </c>
      <c r="D66" s="26" t="n">
        <v>0</v>
      </c>
      <c r="E66" s="26" t="n">
        <v>0</v>
      </c>
      <c r="F66" s="12" t="s">
        <v>1275</v>
      </c>
    </row>
    <row r="67" customFormat="false" ht="15" hidden="false" customHeight="true" outlineLevel="0" collapsed="false">
      <c r="A67" s="26" t="n">
        <v>64</v>
      </c>
      <c r="B67" s="26" t="s">
        <v>1414</v>
      </c>
      <c r="C67" s="26" t="s">
        <v>1415</v>
      </c>
      <c r="D67" s="26" t="n">
        <v>3</v>
      </c>
      <c r="E67" s="26" t="n">
        <v>1</v>
      </c>
      <c r="F67" s="12" t="s">
        <v>1345</v>
      </c>
    </row>
    <row r="68" customFormat="false" ht="15" hidden="false" customHeight="true" outlineLevel="0" collapsed="false">
      <c r="A68" s="26" t="n">
        <v>65</v>
      </c>
      <c r="B68" s="26" t="s">
        <v>1416</v>
      </c>
      <c r="C68" s="26" t="s">
        <v>1417</v>
      </c>
      <c r="D68" s="26" t="n">
        <v>0</v>
      </c>
      <c r="E68" s="26" t="n">
        <v>0</v>
      </c>
      <c r="F68" s="12" t="s">
        <v>1275</v>
      </c>
    </row>
    <row r="69" customFormat="false" ht="15" hidden="false" customHeight="true" outlineLevel="0" collapsed="false">
      <c r="A69" s="26" t="n">
        <v>66</v>
      </c>
      <c r="B69" s="26" t="s">
        <v>1418</v>
      </c>
      <c r="C69" s="26" t="s">
        <v>1419</v>
      </c>
      <c r="D69" s="26" t="n">
        <v>6</v>
      </c>
      <c r="E69" s="26" t="n">
        <v>1</v>
      </c>
      <c r="F69" s="12" t="s">
        <v>1420</v>
      </c>
    </row>
    <row r="70" customFormat="false" ht="15" hidden="false" customHeight="true" outlineLevel="0" collapsed="false">
      <c r="A70" s="26" t="n">
        <v>67</v>
      </c>
      <c r="B70" s="26" t="s">
        <v>1421</v>
      </c>
      <c r="C70" s="26" t="s">
        <v>1422</v>
      </c>
      <c r="D70" s="26" t="n">
        <v>8</v>
      </c>
      <c r="E70" s="26" t="n">
        <v>1</v>
      </c>
      <c r="F70" s="12" t="s">
        <v>1423</v>
      </c>
    </row>
    <row r="71" customFormat="false" ht="15" hidden="false" customHeight="true" outlineLevel="0" collapsed="false">
      <c r="A71" s="26" t="n">
        <v>68</v>
      </c>
      <c r="B71" s="26" t="s">
        <v>1424</v>
      </c>
      <c r="C71" s="26" t="s">
        <v>1425</v>
      </c>
      <c r="D71" s="26" t="n">
        <v>0</v>
      </c>
      <c r="E71" s="26" t="n">
        <v>0</v>
      </c>
      <c r="F71" s="12" t="s">
        <v>1275</v>
      </c>
    </row>
    <row r="72" customFormat="false" ht="15" hidden="false" customHeight="true" outlineLevel="0" collapsed="false">
      <c r="A72" s="26" t="n">
        <v>69</v>
      </c>
      <c r="B72" s="26" t="s">
        <v>1426</v>
      </c>
      <c r="C72" s="26" t="s">
        <v>1427</v>
      </c>
      <c r="D72" s="26" t="n">
        <v>0</v>
      </c>
      <c r="E72" s="26" t="n">
        <v>0</v>
      </c>
      <c r="F72" s="12" t="s">
        <v>1275</v>
      </c>
    </row>
    <row r="73" customFormat="false" ht="15" hidden="false" customHeight="true" outlineLevel="0" collapsed="false">
      <c r="A73" s="26" t="n">
        <v>70</v>
      </c>
      <c r="B73" s="26" t="s">
        <v>1428</v>
      </c>
      <c r="C73" s="26" t="s">
        <v>1427</v>
      </c>
      <c r="D73" s="26" t="n">
        <v>11</v>
      </c>
      <c r="E73" s="26" t="n">
        <v>2</v>
      </c>
      <c r="F73" s="12" t="s">
        <v>1429</v>
      </c>
    </row>
    <row r="74" customFormat="false" ht="15" hidden="false" customHeight="true" outlineLevel="0" collapsed="false">
      <c r="A74" s="26" t="n">
        <v>71</v>
      </c>
      <c r="B74" s="26" t="s">
        <v>1430</v>
      </c>
      <c r="C74" s="26" t="s">
        <v>1427</v>
      </c>
      <c r="D74" s="26" t="n">
        <v>11</v>
      </c>
      <c r="E74" s="26" t="n">
        <v>2</v>
      </c>
      <c r="F74" s="12" t="s">
        <v>1429</v>
      </c>
    </row>
    <row r="75" customFormat="false" ht="15" hidden="false" customHeight="true" outlineLevel="0" collapsed="false">
      <c r="A75" s="26" t="n">
        <v>72</v>
      </c>
      <c r="B75" s="26" t="s">
        <v>1431</v>
      </c>
      <c r="C75" s="26" t="s">
        <v>1427</v>
      </c>
      <c r="D75" s="26" t="n">
        <v>11</v>
      </c>
      <c r="E75" s="26" t="n">
        <v>2</v>
      </c>
      <c r="F75" s="12" t="s">
        <v>1429</v>
      </c>
    </row>
    <row r="76" customFormat="false" ht="15" hidden="false" customHeight="true" outlineLevel="0" collapsed="false">
      <c r="A76" s="26" t="n">
        <v>73</v>
      </c>
      <c r="B76" s="26" t="s">
        <v>1432</v>
      </c>
      <c r="C76" s="26" t="s">
        <v>1427</v>
      </c>
      <c r="D76" s="26" t="n">
        <v>11</v>
      </c>
      <c r="E76" s="26" t="n">
        <v>2</v>
      </c>
      <c r="F76" s="12" t="s">
        <v>1429</v>
      </c>
    </row>
    <row r="77" customFormat="false" ht="15" hidden="false" customHeight="true" outlineLevel="0" collapsed="false">
      <c r="A77" s="26" t="n">
        <v>74</v>
      </c>
      <c r="B77" s="26" t="s">
        <v>1433</v>
      </c>
      <c r="C77" s="26" t="s">
        <v>1434</v>
      </c>
      <c r="D77" s="26" t="n">
        <v>28</v>
      </c>
      <c r="E77" s="26" t="n">
        <v>7</v>
      </c>
      <c r="F77" s="12" t="s">
        <v>1435</v>
      </c>
    </row>
    <row r="78" customFormat="false" ht="15" hidden="false" customHeight="true" outlineLevel="0" collapsed="false">
      <c r="A78" s="26" t="n">
        <v>75</v>
      </c>
      <c r="B78" s="26" t="s">
        <v>1436</v>
      </c>
      <c r="C78" s="26" t="s">
        <v>1437</v>
      </c>
      <c r="D78" s="26" t="n">
        <v>2</v>
      </c>
      <c r="E78" s="26" t="n">
        <v>1</v>
      </c>
      <c r="F78" s="12" t="s">
        <v>1364</v>
      </c>
    </row>
    <row r="79" customFormat="false" ht="15" hidden="false" customHeight="true" outlineLevel="0" collapsed="false">
      <c r="A79" s="26" t="n">
        <v>76</v>
      </c>
      <c r="B79" s="26" t="s">
        <v>1438</v>
      </c>
      <c r="C79" s="26" t="s">
        <v>1439</v>
      </c>
      <c r="D79" s="26" t="n">
        <v>0</v>
      </c>
      <c r="E79" s="26" t="n">
        <v>0</v>
      </c>
      <c r="F79" s="12" t="s">
        <v>1275</v>
      </c>
    </row>
    <row r="80" customFormat="false" ht="15" hidden="false" customHeight="true" outlineLevel="0" collapsed="false">
      <c r="A80" s="26" t="n">
        <v>77</v>
      </c>
      <c r="B80" s="26" t="s">
        <v>1440</v>
      </c>
      <c r="C80" s="26" t="s">
        <v>1441</v>
      </c>
      <c r="D80" s="26" t="n">
        <v>0</v>
      </c>
      <c r="E80" s="26" t="n">
        <v>0</v>
      </c>
      <c r="F80" s="12" t="s">
        <v>1275</v>
      </c>
    </row>
    <row r="81" customFormat="false" ht="15" hidden="false" customHeight="true" outlineLevel="0" collapsed="false">
      <c r="A81" s="26" t="n">
        <v>78</v>
      </c>
      <c r="B81" s="26" t="s">
        <v>1442</v>
      </c>
      <c r="C81" s="26" t="s">
        <v>1443</v>
      </c>
      <c r="D81" s="26" t="n">
        <v>20</v>
      </c>
      <c r="E81" s="26" t="n">
        <v>5</v>
      </c>
      <c r="F81" s="12" t="s">
        <v>1444</v>
      </c>
    </row>
    <row r="82" customFormat="false" ht="15" hidden="false" customHeight="true" outlineLevel="0" collapsed="false">
      <c r="A82" s="26" t="n">
        <v>79</v>
      </c>
      <c r="B82" s="26" t="s">
        <v>1445</v>
      </c>
      <c r="C82" s="26" t="s">
        <v>1446</v>
      </c>
      <c r="D82" s="26" t="n">
        <v>3</v>
      </c>
      <c r="E82" s="26" t="n">
        <v>1</v>
      </c>
      <c r="F82" s="12" t="s">
        <v>1447</v>
      </c>
    </row>
    <row r="83" customFormat="false" ht="15" hidden="false" customHeight="true" outlineLevel="0" collapsed="false">
      <c r="A83" s="26" t="n">
        <v>80</v>
      </c>
      <c r="B83" s="26" t="s">
        <v>1448</v>
      </c>
      <c r="C83" s="26" t="s">
        <v>1449</v>
      </c>
      <c r="D83" s="26" t="n">
        <v>4</v>
      </c>
      <c r="E83" s="26" t="n">
        <v>2</v>
      </c>
      <c r="F83" s="12" t="s">
        <v>1450</v>
      </c>
    </row>
    <row r="84" customFormat="false" ht="15" hidden="false" customHeight="true" outlineLevel="0" collapsed="false">
      <c r="A84" s="26" t="n">
        <v>81</v>
      </c>
      <c r="B84" s="26" t="s">
        <v>1451</v>
      </c>
      <c r="C84" s="26" t="s">
        <v>1452</v>
      </c>
      <c r="D84" s="26" t="n">
        <v>18</v>
      </c>
      <c r="E84" s="26" t="n">
        <v>4</v>
      </c>
      <c r="F84" s="12" t="s">
        <v>1453</v>
      </c>
    </row>
    <row r="85" customFormat="false" ht="15" hidden="false" customHeight="true" outlineLevel="0" collapsed="false">
      <c r="A85" s="26" t="n">
        <v>82</v>
      </c>
      <c r="B85" s="26" t="s">
        <v>1454</v>
      </c>
      <c r="C85" s="26" t="s">
        <v>1455</v>
      </c>
      <c r="D85" s="26" t="n">
        <v>0</v>
      </c>
      <c r="E85" s="26" t="n">
        <v>0</v>
      </c>
      <c r="F85" s="12" t="s">
        <v>1275</v>
      </c>
    </row>
    <row r="86" customFormat="false" ht="15" hidden="false" customHeight="true" outlineLevel="0" collapsed="false">
      <c r="A86" s="26" t="n">
        <v>83</v>
      </c>
      <c r="B86" s="26" t="s">
        <v>1456</v>
      </c>
      <c r="C86" s="26" t="s">
        <v>1457</v>
      </c>
      <c r="D86" s="26" t="n">
        <v>0</v>
      </c>
      <c r="E86" s="26" t="n">
        <v>0</v>
      </c>
      <c r="F86" s="12" t="s">
        <v>1275</v>
      </c>
    </row>
    <row r="87" customFormat="false" ht="15" hidden="false" customHeight="true" outlineLevel="0" collapsed="false">
      <c r="A87" s="26" t="n">
        <v>84</v>
      </c>
      <c r="B87" s="26" t="s">
        <v>1458</v>
      </c>
      <c r="C87" s="26" t="s">
        <v>1459</v>
      </c>
      <c r="D87" s="26" t="n">
        <v>0</v>
      </c>
      <c r="E87" s="26" t="n">
        <v>0</v>
      </c>
      <c r="F87" s="12" t="s">
        <v>1275</v>
      </c>
    </row>
    <row r="88" customFormat="false" ht="15" hidden="false" customHeight="true" outlineLevel="0" collapsed="false">
      <c r="A88" s="26" t="n">
        <v>85</v>
      </c>
      <c r="B88" s="26" t="s">
        <v>1460</v>
      </c>
      <c r="C88" s="26" t="s">
        <v>1461</v>
      </c>
      <c r="D88" s="26" t="n">
        <v>0</v>
      </c>
      <c r="E88" s="26" t="n">
        <v>0</v>
      </c>
      <c r="F88" s="12" t="s">
        <v>1275</v>
      </c>
    </row>
    <row r="89" customFormat="false" ht="15" hidden="false" customHeight="true" outlineLevel="0" collapsed="false">
      <c r="A89" s="26" t="n">
        <v>86</v>
      </c>
      <c r="B89" s="26" t="s">
        <v>1462</v>
      </c>
      <c r="C89" s="26" t="s">
        <v>1463</v>
      </c>
      <c r="D89" s="26" t="n">
        <v>0</v>
      </c>
      <c r="E89" s="26" t="n">
        <v>0</v>
      </c>
      <c r="F89" s="12" t="s">
        <v>1275</v>
      </c>
    </row>
    <row r="90" customFormat="false" ht="15" hidden="false" customHeight="true" outlineLevel="0" collapsed="false">
      <c r="A90" s="26" t="n">
        <v>87</v>
      </c>
      <c r="B90" s="26" t="s">
        <v>1464</v>
      </c>
      <c r="C90" s="26" t="s">
        <v>1465</v>
      </c>
      <c r="D90" s="26" t="n">
        <v>13</v>
      </c>
      <c r="E90" s="26" t="n">
        <v>2</v>
      </c>
      <c r="F90" s="12" t="s">
        <v>1466</v>
      </c>
    </row>
    <row r="91" customFormat="false" ht="15" hidden="false" customHeight="true" outlineLevel="0" collapsed="false">
      <c r="A91" s="26" t="n">
        <v>88</v>
      </c>
      <c r="B91" s="26" t="s">
        <v>1467</v>
      </c>
      <c r="C91" s="26" t="s">
        <v>1461</v>
      </c>
      <c r="D91" s="26" t="n">
        <v>0</v>
      </c>
      <c r="E91" s="26" t="n">
        <v>0</v>
      </c>
      <c r="F91" s="12" t="s">
        <v>1275</v>
      </c>
    </row>
    <row r="92" customFormat="false" ht="15" hidden="false" customHeight="true" outlineLevel="0" collapsed="false">
      <c r="A92" s="26" t="n">
        <v>89</v>
      </c>
      <c r="B92" s="26" t="s">
        <v>1468</v>
      </c>
      <c r="C92" s="26" t="s">
        <v>1469</v>
      </c>
      <c r="D92" s="26" t="n">
        <v>0</v>
      </c>
      <c r="E92" s="26" t="n">
        <v>0</v>
      </c>
      <c r="F92" s="12" t="s">
        <v>1275</v>
      </c>
    </row>
    <row r="93" customFormat="false" ht="15" hidden="false" customHeight="true" outlineLevel="0" collapsed="false">
      <c r="A93" s="26" t="n">
        <v>90</v>
      </c>
      <c r="B93" s="26" t="s">
        <v>1470</v>
      </c>
      <c r="C93" s="26" t="s">
        <v>1471</v>
      </c>
      <c r="D93" s="26" t="n">
        <v>0</v>
      </c>
      <c r="E93" s="26" t="n">
        <v>0</v>
      </c>
      <c r="F93" s="12" t="s">
        <v>1275</v>
      </c>
    </row>
    <row r="94" customFormat="false" ht="15" hidden="false" customHeight="true" outlineLevel="0" collapsed="false">
      <c r="A94" s="26" t="n">
        <v>91</v>
      </c>
      <c r="B94" s="26" t="s">
        <v>1472</v>
      </c>
      <c r="C94" s="26" t="s">
        <v>1473</v>
      </c>
      <c r="D94" s="26" t="n">
        <v>0</v>
      </c>
      <c r="E94" s="26" t="n">
        <v>0</v>
      </c>
      <c r="F94" s="12" t="s">
        <v>1275</v>
      </c>
    </row>
    <row r="95" customFormat="false" ht="15" hidden="false" customHeight="true" outlineLevel="0" collapsed="false">
      <c r="A95" s="26" t="n">
        <v>92</v>
      </c>
      <c r="B95" s="26" t="s">
        <v>1474</v>
      </c>
      <c r="C95" s="26" t="s">
        <v>1475</v>
      </c>
      <c r="D95" s="26" t="n">
        <v>0</v>
      </c>
      <c r="E95" s="26" t="n">
        <v>0</v>
      </c>
      <c r="F95" s="12" t="s">
        <v>1275</v>
      </c>
    </row>
    <row r="96" customFormat="false" ht="15" hidden="false" customHeight="true" outlineLevel="0" collapsed="false">
      <c r="A96" s="26" t="n">
        <v>93</v>
      </c>
      <c r="B96" s="26" t="s">
        <v>1476</v>
      </c>
      <c r="C96" s="26" t="s">
        <v>1477</v>
      </c>
      <c r="D96" s="26" t="n">
        <v>0</v>
      </c>
      <c r="E96" s="26" t="n">
        <v>0</v>
      </c>
      <c r="F96" s="12" t="s">
        <v>1275</v>
      </c>
    </row>
    <row r="97" customFormat="false" ht="15" hidden="false" customHeight="true" outlineLevel="0" collapsed="false">
      <c r="A97" s="26" t="n">
        <v>94</v>
      </c>
      <c r="B97" s="26" t="s">
        <v>1478</v>
      </c>
      <c r="C97" s="26" t="s">
        <v>1479</v>
      </c>
      <c r="D97" s="26" t="n">
        <v>0</v>
      </c>
      <c r="E97" s="26" t="n">
        <v>0</v>
      </c>
      <c r="F97" s="12" t="s">
        <v>1275</v>
      </c>
    </row>
    <row r="98" customFormat="false" ht="15" hidden="false" customHeight="true" outlineLevel="0" collapsed="false">
      <c r="A98" s="26" t="n">
        <v>95</v>
      </c>
      <c r="B98" s="26" t="s">
        <v>1480</v>
      </c>
      <c r="C98" s="26" t="s">
        <v>1481</v>
      </c>
      <c r="D98" s="26" t="n">
        <v>0</v>
      </c>
      <c r="E98" s="26" t="n">
        <v>0</v>
      </c>
      <c r="F98" s="12" t="s">
        <v>1275</v>
      </c>
    </row>
    <row r="99" customFormat="false" ht="15" hidden="false" customHeight="true" outlineLevel="0" collapsed="false">
      <c r="A99" s="26" t="n">
        <v>96</v>
      </c>
      <c r="B99" s="26" t="s">
        <v>1482</v>
      </c>
      <c r="C99" s="26" t="s">
        <v>1483</v>
      </c>
      <c r="D99" s="26" t="n">
        <v>0</v>
      </c>
      <c r="E99" s="26" t="n">
        <v>0</v>
      </c>
      <c r="F99" s="12" t="s">
        <v>1275</v>
      </c>
    </row>
    <row r="100" customFormat="false" ht="15" hidden="false" customHeight="true" outlineLevel="0" collapsed="false">
      <c r="A100" s="26" t="n">
        <v>97</v>
      </c>
      <c r="B100" s="26" t="s">
        <v>1484</v>
      </c>
      <c r="C100" s="26" t="s">
        <v>1485</v>
      </c>
      <c r="D100" s="26" t="n">
        <v>0</v>
      </c>
      <c r="E100" s="26" t="n">
        <v>0</v>
      </c>
      <c r="F100" s="12" t="s">
        <v>1275</v>
      </c>
    </row>
    <row r="101" customFormat="false" ht="15" hidden="false" customHeight="true" outlineLevel="0" collapsed="false">
      <c r="A101" s="26" t="n">
        <v>98</v>
      </c>
      <c r="B101" s="26" t="s">
        <v>1486</v>
      </c>
      <c r="C101" s="26" t="s">
        <v>1487</v>
      </c>
      <c r="D101" s="26" t="n">
        <v>4</v>
      </c>
      <c r="E101" s="26" t="n">
        <v>2</v>
      </c>
      <c r="F101" s="12" t="s">
        <v>1488</v>
      </c>
    </row>
    <row r="102" customFormat="false" ht="15" hidden="false" customHeight="true" outlineLevel="0" collapsed="false">
      <c r="A102" s="26" t="n">
        <v>99</v>
      </c>
      <c r="B102" s="26" t="s">
        <v>1489</v>
      </c>
      <c r="C102" s="26" t="s">
        <v>1490</v>
      </c>
      <c r="D102" s="26" t="n">
        <v>4</v>
      </c>
      <c r="E102" s="26" t="n">
        <v>2</v>
      </c>
      <c r="F102" s="12" t="s">
        <v>1488</v>
      </c>
    </row>
    <row r="103" customFormat="false" ht="15" hidden="false" customHeight="true" outlineLevel="0" collapsed="false">
      <c r="A103" s="26" t="n">
        <v>100</v>
      </c>
      <c r="B103" s="26" t="s">
        <v>1491</v>
      </c>
      <c r="C103" s="26" t="s">
        <v>1492</v>
      </c>
      <c r="D103" s="26" t="n">
        <v>4</v>
      </c>
      <c r="E103" s="26" t="n">
        <v>2</v>
      </c>
      <c r="F103" s="12" t="s">
        <v>1488</v>
      </c>
    </row>
    <row r="104" customFormat="false" ht="15" hidden="false" customHeight="true" outlineLevel="0" collapsed="false">
      <c r="A104" s="26" t="n">
        <v>101</v>
      </c>
      <c r="B104" s="26" t="s">
        <v>1493</v>
      </c>
      <c r="C104" s="26" t="s">
        <v>1494</v>
      </c>
      <c r="D104" s="26" t="n">
        <v>0</v>
      </c>
      <c r="E104" s="26" t="n">
        <v>0</v>
      </c>
      <c r="F104" s="12" t="s">
        <v>1275</v>
      </c>
    </row>
    <row r="105" customFormat="false" ht="15" hidden="false" customHeight="true" outlineLevel="0" collapsed="false">
      <c r="A105" s="26" t="n">
        <v>102</v>
      </c>
      <c r="B105" s="26" t="s">
        <v>1495</v>
      </c>
      <c r="C105" s="26" t="s">
        <v>1496</v>
      </c>
      <c r="D105" s="26" t="n">
        <v>0</v>
      </c>
      <c r="E105" s="26" t="n">
        <v>0</v>
      </c>
      <c r="F105" s="12" t="s">
        <v>1275</v>
      </c>
    </row>
    <row r="106" customFormat="false" ht="15" hidden="false" customHeight="true" outlineLevel="0" collapsed="false">
      <c r="A106" s="26" t="n">
        <v>103</v>
      </c>
      <c r="B106" s="26" t="s">
        <v>1497</v>
      </c>
      <c r="C106" s="26" t="s">
        <v>1498</v>
      </c>
      <c r="D106" s="26" t="n">
        <v>0</v>
      </c>
      <c r="E106" s="26" t="n">
        <v>0</v>
      </c>
      <c r="F106" s="12" t="s">
        <v>1275</v>
      </c>
    </row>
    <row r="107" customFormat="false" ht="15" hidden="false" customHeight="true" outlineLevel="0" collapsed="false">
      <c r="A107" s="26" t="n">
        <v>104</v>
      </c>
      <c r="B107" s="26" t="s">
        <v>1499</v>
      </c>
      <c r="C107" s="26" t="s">
        <v>1500</v>
      </c>
      <c r="D107" s="26" t="n">
        <v>0</v>
      </c>
      <c r="E107" s="26" t="n">
        <v>0</v>
      </c>
      <c r="F107" s="12" t="s">
        <v>1275</v>
      </c>
    </row>
    <row r="108" customFormat="false" ht="15" hidden="false" customHeight="true" outlineLevel="0" collapsed="false">
      <c r="A108" s="26" t="n">
        <v>105</v>
      </c>
      <c r="B108" s="26" t="s">
        <v>1501</v>
      </c>
      <c r="C108" s="26" t="s">
        <v>1502</v>
      </c>
      <c r="D108" s="26" t="n">
        <v>0</v>
      </c>
      <c r="E108" s="26" t="n">
        <v>0</v>
      </c>
      <c r="F108" s="12" t="s">
        <v>1275</v>
      </c>
    </row>
    <row r="109" customFormat="false" ht="15" hidden="false" customHeight="true" outlineLevel="0" collapsed="false">
      <c r="A109" s="26" t="n">
        <v>106</v>
      </c>
      <c r="B109" s="26" t="s">
        <v>1503</v>
      </c>
      <c r="C109" s="26" t="s">
        <v>1504</v>
      </c>
      <c r="D109" s="26" t="n">
        <v>0</v>
      </c>
      <c r="E109" s="26" t="n">
        <v>0</v>
      </c>
      <c r="F109" s="12" t="s">
        <v>1275</v>
      </c>
    </row>
    <row r="110" customFormat="false" ht="15" hidden="false" customHeight="true" outlineLevel="0" collapsed="false">
      <c r="A110" s="26" t="n">
        <v>107</v>
      </c>
      <c r="B110" s="26" t="s">
        <v>1505</v>
      </c>
      <c r="C110" s="26" t="s">
        <v>1506</v>
      </c>
      <c r="D110" s="26" t="n">
        <v>0</v>
      </c>
      <c r="E110" s="26" t="n">
        <v>0</v>
      </c>
      <c r="F110" s="12" t="s">
        <v>1275</v>
      </c>
    </row>
    <row r="111" customFormat="false" ht="15" hidden="false" customHeight="true" outlineLevel="0" collapsed="false">
      <c r="A111" s="26" t="n">
        <v>108</v>
      </c>
      <c r="B111" s="26" t="s">
        <v>1507</v>
      </c>
      <c r="C111" s="26" t="s">
        <v>1508</v>
      </c>
      <c r="D111" s="26" t="n">
        <v>0</v>
      </c>
      <c r="E111" s="26" t="n">
        <v>0</v>
      </c>
      <c r="F111" s="12" t="s">
        <v>1275</v>
      </c>
    </row>
    <row r="112" customFormat="false" ht="15" hidden="false" customHeight="true" outlineLevel="0" collapsed="false">
      <c r="A112" s="26" t="n">
        <v>109</v>
      </c>
      <c r="B112" s="26" t="s">
        <v>1509</v>
      </c>
      <c r="C112" s="26" t="s">
        <v>1510</v>
      </c>
      <c r="D112" s="26" t="n">
        <v>206</v>
      </c>
      <c r="E112" s="26" t="n">
        <v>14</v>
      </c>
      <c r="F112" s="12" t="s">
        <v>1511</v>
      </c>
    </row>
    <row r="113" customFormat="false" ht="15" hidden="false" customHeight="true" outlineLevel="0" collapsed="false">
      <c r="A113" s="26" t="n">
        <v>110</v>
      </c>
      <c r="B113" s="26" t="s">
        <v>1512</v>
      </c>
      <c r="C113" s="26" t="s">
        <v>1513</v>
      </c>
      <c r="D113" s="26" t="n">
        <v>2</v>
      </c>
      <c r="E113" s="26" t="n">
        <v>1</v>
      </c>
      <c r="F113" s="12" t="s">
        <v>1514</v>
      </c>
    </row>
    <row r="114" customFormat="false" ht="15" hidden="false" customHeight="true" outlineLevel="0" collapsed="false">
      <c r="A114" s="26" t="n">
        <v>111</v>
      </c>
      <c r="B114" s="26" t="s">
        <v>1515</v>
      </c>
      <c r="C114" s="26" t="s">
        <v>1516</v>
      </c>
      <c r="D114" s="26" t="n">
        <v>2</v>
      </c>
      <c r="E114" s="26" t="n">
        <v>2</v>
      </c>
      <c r="F114" s="12" t="s">
        <v>1517</v>
      </c>
    </row>
    <row r="115" customFormat="false" ht="15" hidden="false" customHeight="true" outlineLevel="0" collapsed="false">
      <c r="A115" s="26" t="n">
        <v>112</v>
      </c>
      <c r="B115" s="26" t="s">
        <v>1518</v>
      </c>
      <c r="C115" s="26" t="s">
        <v>1519</v>
      </c>
      <c r="D115" s="26" t="n">
        <v>2</v>
      </c>
      <c r="E115" s="26" t="n">
        <v>2</v>
      </c>
      <c r="F115" s="12" t="s">
        <v>1517</v>
      </c>
    </row>
    <row r="116" customFormat="false" ht="15" hidden="false" customHeight="true" outlineLevel="0" collapsed="false">
      <c r="A116" s="26" t="n">
        <v>113</v>
      </c>
      <c r="B116" s="26" t="s">
        <v>1520</v>
      </c>
      <c r="C116" s="26" t="s">
        <v>1521</v>
      </c>
      <c r="D116" s="26" t="n">
        <v>2</v>
      </c>
      <c r="E116" s="26" t="n">
        <v>2</v>
      </c>
      <c r="F116" s="12" t="s">
        <v>1517</v>
      </c>
    </row>
    <row r="117" customFormat="false" ht="15" hidden="false" customHeight="true" outlineLevel="0" collapsed="false">
      <c r="A117" s="26" t="n">
        <v>114</v>
      </c>
      <c r="B117" s="26" t="s">
        <v>700</v>
      </c>
      <c r="C117" s="26" t="s">
        <v>1522</v>
      </c>
      <c r="D117" s="26" t="n">
        <v>0</v>
      </c>
      <c r="E117" s="26" t="n">
        <v>0</v>
      </c>
      <c r="F117" s="12" t="s">
        <v>1275</v>
      </c>
    </row>
    <row r="118" customFormat="false" ht="15" hidden="false" customHeight="true" outlineLevel="0" collapsed="false">
      <c r="A118" s="26" t="n">
        <v>115</v>
      </c>
      <c r="B118" s="26" t="s">
        <v>1523</v>
      </c>
      <c r="C118" s="26" t="s">
        <v>1524</v>
      </c>
      <c r="D118" s="26" t="n">
        <v>0</v>
      </c>
      <c r="E118" s="26" t="n">
        <v>0</v>
      </c>
      <c r="F118" s="12" t="s">
        <v>1275</v>
      </c>
    </row>
    <row r="119" customFormat="false" ht="15" hidden="false" customHeight="true" outlineLevel="0" collapsed="false">
      <c r="A119" s="26" t="n">
        <v>116</v>
      </c>
      <c r="B119" s="26" t="s">
        <v>1525</v>
      </c>
      <c r="C119" s="26" t="s">
        <v>1526</v>
      </c>
      <c r="D119" s="26" t="n">
        <v>2</v>
      </c>
      <c r="E119" s="26" t="n">
        <v>1</v>
      </c>
      <c r="F119" s="12" t="s">
        <v>1527</v>
      </c>
    </row>
    <row r="120" customFormat="false" ht="15" hidden="false" customHeight="true" outlineLevel="0" collapsed="false">
      <c r="A120" s="26" t="n">
        <v>117</v>
      </c>
      <c r="B120" s="26" t="s">
        <v>1528</v>
      </c>
      <c r="C120" s="26" t="s">
        <v>1529</v>
      </c>
      <c r="D120" s="26" t="n">
        <v>0</v>
      </c>
      <c r="E120" s="26" t="n">
        <v>0</v>
      </c>
      <c r="F120" s="12" t="s">
        <v>1275</v>
      </c>
    </row>
    <row r="121" customFormat="false" ht="15" hidden="false" customHeight="true" outlineLevel="0" collapsed="false">
      <c r="A121" s="26" t="n">
        <v>118</v>
      </c>
      <c r="B121" s="26" t="s">
        <v>1530</v>
      </c>
      <c r="C121" s="26" t="s">
        <v>1531</v>
      </c>
      <c r="D121" s="26" t="n">
        <v>11</v>
      </c>
      <c r="E121" s="26" t="n">
        <v>2</v>
      </c>
      <c r="F121" s="12" t="s">
        <v>1532</v>
      </c>
    </row>
    <row r="122" customFormat="false" ht="15" hidden="false" customHeight="true" outlineLevel="0" collapsed="false">
      <c r="A122" s="26" t="n">
        <v>119</v>
      </c>
      <c r="B122" s="26" t="s">
        <v>1533</v>
      </c>
      <c r="C122" s="26" t="s">
        <v>1534</v>
      </c>
      <c r="D122" s="26" t="n">
        <v>0</v>
      </c>
      <c r="E122" s="26" t="n">
        <v>0</v>
      </c>
      <c r="F122" s="12" t="s">
        <v>1275</v>
      </c>
    </row>
    <row r="123" customFormat="false" ht="15" hidden="false" customHeight="true" outlineLevel="0" collapsed="false">
      <c r="A123" s="26" t="n">
        <v>120</v>
      </c>
      <c r="B123" s="26" t="s">
        <v>1535</v>
      </c>
      <c r="C123" s="26" t="s">
        <v>1536</v>
      </c>
      <c r="D123" s="26" t="n">
        <v>0</v>
      </c>
      <c r="E123" s="26" t="n">
        <v>0</v>
      </c>
      <c r="F123" s="12" t="s">
        <v>1275</v>
      </c>
    </row>
    <row r="124" customFormat="false" ht="15" hidden="false" customHeight="true" outlineLevel="0" collapsed="false">
      <c r="A124" s="26" t="n">
        <v>121</v>
      </c>
      <c r="B124" s="26" t="s">
        <v>1537</v>
      </c>
      <c r="C124" s="26" t="s">
        <v>1538</v>
      </c>
      <c r="D124" s="26" t="n">
        <v>0</v>
      </c>
      <c r="E124" s="26" t="n">
        <v>0</v>
      </c>
      <c r="F124" s="12" t="s">
        <v>1275</v>
      </c>
    </row>
    <row r="125" customFormat="false" ht="15" hidden="false" customHeight="true" outlineLevel="0" collapsed="false">
      <c r="A125" s="26" t="n">
        <v>122</v>
      </c>
      <c r="B125" s="26" t="s">
        <v>1539</v>
      </c>
      <c r="C125" s="26" t="s">
        <v>1540</v>
      </c>
      <c r="D125" s="26" t="n">
        <v>9</v>
      </c>
      <c r="E125" s="26" t="n">
        <v>1</v>
      </c>
      <c r="F125" s="12" t="s">
        <v>1541</v>
      </c>
    </row>
    <row r="126" customFormat="false" ht="15" hidden="false" customHeight="true" outlineLevel="0" collapsed="false">
      <c r="A126" s="26" t="n">
        <v>123</v>
      </c>
      <c r="B126" s="26" t="s">
        <v>1542</v>
      </c>
      <c r="C126" s="26" t="s">
        <v>1543</v>
      </c>
      <c r="D126" s="26" t="n">
        <v>13</v>
      </c>
      <c r="E126" s="26" t="n">
        <v>4</v>
      </c>
      <c r="F126" s="12" t="s">
        <v>1544</v>
      </c>
    </row>
    <row r="127" customFormat="false" ht="15" hidden="false" customHeight="true" outlineLevel="0" collapsed="false">
      <c r="A127" s="26" t="n">
        <v>124</v>
      </c>
      <c r="B127" s="26" t="s">
        <v>760</v>
      </c>
      <c r="C127" s="26" t="s">
        <v>1545</v>
      </c>
      <c r="D127" s="26" t="n">
        <v>21</v>
      </c>
      <c r="E127" s="26" t="n">
        <v>4</v>
      </c>
      <c r="F127" s="12" t="s">
        <v>1546</v>
      </c>
    </row>
    <row r="128" customFormat="false" ht="15" hidden="false" customHeight="true" outlineLevel="0" collapsed="false">
      <c r="A128" s="26" t="n">
        <v>125</v>
      </c>
      <c r="B128" s="26" t="s">
        <v>1547</v>
      </c>
      <c r="C128" s="26" t="s">
        <v>1548</v>
      </c>
      <c r="D128" s="26" t="n">
        <v>0</v>
      </c>
      <c r="E128" s="26" t="n">
        <v>0</v>
      </c>
      <c r="F128" s="12" t="s">
        <v>1275</v>
      </c>
    </row>
    <row r="129" customFormat="false" ht="15" hidden="false" customHeight="true" outlineLevel="0" collapsed="false">
      <c r="A129" s="26" t="n">
        <v>126</v>
      </c>
      <c r="B129" s="26" t="s">
        <v>1549</v>
      </c>
      <c r="C129" s="26" t="s">
        <v>1550</v>
      </c>
      <c r="D129" s="26" t="n">
        <v>15</v>
      </c>
      <c r="E129" s="26" t="n">
        <v>2</v>
      </c>
      <c r="F129" s="12" t="s">
        <v>1328</v>
      </c>
    </row>
    <row r="130" customFormat="false" ht="15" hidden="false" customHeight="true" outlineLevel="0" collapsed="false">
      <c r="A130" s="26" t="n">
        <v>127</v>
      </c>
      <c r="B130" s="26" t="s">
        <v>1551</v>
      </c>
      <c r="C130" s="26" t="s">
        <v>1552</v>
      </c>
      <c r="D130" s="26" t="n">
        <v>0</v>
      </c>
      <c r="E130" s="26" t="n">
        <v>0</v>
      </c>
      <c r="F130" s="12" t="s">
        <v>1275</v>
      </c>
    </row>
    <row r="131" customFormat="false" ht="15" hidden="false" customHeight="true" outlineLevel="0" collapsed="false">
      <c r="A131" s="26" t="n">
        <v>128</v>
      </c>
      <c r="B131" s="26" t="s">
        <v>1553</v>
      </c>
      <c r="C131" s="26" t="s">
        <v>1554</v>
      </c>
      <c r="D131" s="26" t="n">
        <v>0</v>
      </c>
      <c r="E131" s="26" t="n">
        <v>0</v>
      </c>
      <c r="F131" s="12" t="s">
        <v>1275</v>
      </c>
    </row>
    <row r="132" customFormat="false" ht="15" hidden="false" customHeight="true" outlineLevel="0" collapsed="false">
      <c r="A132" s="26" t="n">
        <v>129</v>
      </c>
      <c r="B132" s="26" t="s">
        <v>1555</v>
      </c>
      <c r="C132" s="26" t="s">
        <v>1556</v>
      </c>
      <c r="D132" s="26" t="n">
        <v>0</v>
      </c>
      <c r="E132" s="26" t="n">
        <v>0</v>
      </c>
      <c r="F132" s="12" t="s">
        <v>1275</v>
      </c>
    </row>
    <row r="133" customFormat="false" ht="15" hidden="false" customHeight="true" outlineLevel="0" collapsed="false">
      <c r="A133" s="26" t="n">
        <v>130</v>
      </c>
      <c r="B133" s="26" t="s">
        <v>1557</v>
      </c>
      <c r="C133" s="26" t="s">
        <v>1558</v>
      </c>
      <c r="D133" s="26" t="n">
        <v>0</v>
      </c>
      <c r="E133" s="26" t="n">
        <v>0</v>
      </c>
      <c r="F133" s="12" t="s">
        <v>1275</v>
      </c>
    </row>
    <row r="134" customFormat="false" ht="15" hidden="false" customHeight="true" outlineLevel="0" collapsed="false">
      <c r="A134" s="26" t="n">
        <v>131</v>
      </c>
      <c r="B134" s="26" t="s">
        <v>749</v>
      </c>
      <c r="C134" s="26" t="s">
        <v>752</v>
      </c>
      <c r="D134" s="26" t="n">
        <v>0</v>
      </c>
      <c r="E134" s="26" t="n">
        <v>0</v>
      </c>
      <c r="F134" s="12" t="s">
        <v>1275</v>
      </c>
    </row>
    <row r="135" customFormat="false" ht="15" hidden="false" customHeight="true" outlineLevel="0" collapsed="false">
      <c r="A135" s="26" t="n">
        <v>132</v>
      </c>
      <c r="B135" s="26" t="s">
        <v>1559</v>
      </c>
      <c r="C135" s="26" t="s">
        <v>1560</v>
      </c>
      <c r="D135" s="26" t="n">
        <v>0</v>
      </c>
      <c r="E135" s="26" t="n">
        <v>0</v>
      </c>
      <c r="F135" s="12" t="s">
        <v>1275</v>
      </c>
    </row>
    <row r="136" customFormat="false" ht="15" hidden="false" customHeight="true" outlineLevel="0" collapsed="false">
      <c r="A136" s="26" t="n">
        <v>133</v>
      </c>
      <c r="B136" s="26" t="s">
        <v>1561</v>
      </c>
      <c r="C136" s="26" t="s">
        <v>1562</v>
      </c>
      <c r="D136" s="26" t="n">
        <v>4</v>
      </c>
      <c r="E136" s="26" t="n">
        <v>1</v>
      </c>
      <c r="F136" s="12" t="s">
        <v>1563</v>
      </c>
    </row>
    <row r="137" customFormat="false" ht="15" hidden="false" customHeight="true" outlineLevel="0" collapsed="false">
      <c r="A137" s="26" t="n">
        <v>134</v>
      </c>
      <c r="B137" s="26" t="s">
        <v>1564</v>
      </c>
      <c r="C137" s="26" t="s">
        <v>1565</v>
      </c>
      <c r="D137" s="26" t="n">
        <v>4</v>
      </c>
      <c r="E137" s="26" t="n">
        <v>1</v>
      </c>
      <c r="F137" s="12" t="s">
        <v>1563</v>
      </c>
    </row>
    <row r="138" customFormat="false" ht="15" hidden="false" customHeight="true" outlineLevel="0" collapsed="false">
      <c r="A138" s="26" t="n">
        <v>135</v>
      </c>
      <c r="B138" s="26" t="s">
        <v>1566</v>
      </c>
      <c r="C138" s="26" t="s">
        <v>1567</v>
      </c>
      <c r="D138" s="26" t="n">
        <v>4</v>
      </c>
      <c r="E138" s="26" t="n">
        <v>1</v>
      </c>
      <c r="F138" s="12" t="s">
        <v>1563</v>
      </c>
    </row>
    <row r="139" customFormat="false" ht="15" hidden="false" customHeight="true" outlineLevel="0" collapsed="false">
      <c r="A139" s="26" t="n">
        <v>136</v>
      </c>
      <c r="B139" s="26" t="s">
        <v>1568</v>
      </c>
      <c r="C139" s="26" t="s">
        <v>1569</v>
      </c>
      <c r="D139" s="26" t="n">
        <v>4</v>
      </c>
      <c r="E139" s="26" t="n">
        <v>1</v>
      </c>
      <c r="F139" s="12" t="s">
        <v>1563</v>
      </c>
    </row>
    <row r="140" customFormat="false" ht="15" hidden="false" customHeight="true" outlineLevel="0" collapsed="false">
      <c r="A140" s="26" t="n">
        <v>137</v>
      </c>
      <c r="B140" s="26" t="s">
        <v>1570</v>
      </c>
      <c r="C140" s="26" t="s">
        <v>1571</v>
      </c>
      <c r="D140" s="26" t="n">
        <v>4</v>
      </c>
      <c r="E140" s="26" t="n">
        <v>1</v>
      </c>
      <c r="F140" s="12" t="s">
        <v>1563</v>
      </c>
    </row>
    <row r="141" customFormat="false" ht="15" hidden="false" customHeight="true" outlineLevel="0" collapsed="false">
      <c r="A141" s="26" t="n">
        <v>138</v>
      </c>
      <c r="B141" s="26" t="s">
        <v>1572</v>
      </c>
      <c r="C141" s="26"/>
      <c r="D141" s="26" t="n">
        <v>0</v>
      </c>
      <c r="E141" s="26" t="n">
        <v>0</v>
      </c>
      <c r="F141" s="12" t="s">
        <v>1275</v>
      </c>
    </row>
    <row r="142" customFormat="false" ht="15" hidden="false" customHeight="true" outlineLevel="0" collapsed="false">
      <c r="A142" s="26" t="n">
        <v>139</v>
      </c>
      <c r="B142" s="26" t="s">
        <v>1573</v>
      </c>
      <c r="C142" s="26"/>
      <c r="D142" s="26" t="n">
        <v>0</v>
      </c>
      <c r="E142" s="26" t="n">
        <v>0</v>
      </c>
      <c r="F142" s="12" t="s">
        <v>1275</v>
      </c>
    </row>
    <row r="143" customFormat="false" ht="15" hidden="false" customHeight="true" outlineLevel="0" collapsed="false">
      <c r="A143" s="26" t="n">
        <v>140</v>
      </c>
      <c r="B143" s="26" t="s">
        <v>1574</v>
      </c>
      <c r="C143" s="26"/>
      <c r="D143" s="26" t="n">
        <v>0</v>
      </c>
      <c r="E143" s="26" t="n">
        <v>0</v>
      </c>
      <c r="F143" s="12" t="s">
        <v>1275</v>
      </c>
    </row>
    <row r="144" customFormat="false" ht="15" hidden="false" customHeight="true" outlineLevel="0" collapsed="false">
      <c r="A144" s="26" t="n">
        <v>141</v>
      </c>
      <c r="B144" s="26" t="s">
        <v>1575</v>
      </c>
      <c r="C144" s="26"/>
      <c r="D144" s="26" t="n">
        <v>0</v>
      </c>
      <c r="E144" s="26" t="n">
        <v>0</v>
      </c>
      <c r="F144" s="12" t="s">
        <v>1275</v>
      </c>
    </row>
    <row r="145" customFormat="false" ht="15" hidden="false" customHeight="true" outlineLevel="0" collapsed="false">
      <c r="A145" s="26" t="n">
        <v>142</v>
      </c>
      <c r="B145" s="26" t="s">
        <v>1576</v>
      </c>
      <c r="C145" s="26" t="s">
        <v>793</v>
      </c>
      <c r="D145" s="26" t="n">
        <v>4</v>
      </c>
      <c r="E145" s="26" t="n">
        <v>1</v>
      </c>
      <c r="F145" s="12" t="s">
        <v>1577</v>
      </c>
    </row>
    <row r="146" customFormat="false" ht="15" hidden="false" customHeight="true" outlineLevel="0" collapsed="false">
      <c r="A146" s="26" t="n">
        <v>143</v>
      </c>
      <c r="B146" s="26" t="s">
        <v>1578</v>
      </c>
      <c r="C146" s="26" t="s">
        <v>1579</v>
      </c>
      <c r="D146" s="26" t="n">
        <v>40</v>
      </c>
      <c r="E146" s="26" t="n">
        <v>1</v>
      </c>
      <c r="F146" s="12" t="s">
        <v>1580</v>
      </c>
    </row>
    <row r="14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1581</v>
      </c>
      <c r="F1" s="27" t="s">
        <v>1582</v>
      </c>
      <c r="G1" s="27" t="s">
        <v>1583</v>
      </c>
      <c r="H1" s="27" t="s">
        <v>1584</v>
      </c>
      <c r="I1" s="27" t="s">
        <v>1585</v>
      </c>
      <c r="J1" s="27" t="s">
        <v>1586</v>
      </c>
      <c r="K1" s="28" t="s">
        <v>1587</v>
      </c>
      <c r="L1" s="22" t="s">
        <v>1588</v>
      </c>
      <c r="M1" s="22" t="s">
        <v>1589</v>
      </c>
      <c r="N1" s="22" t="s">
        <v>149</v>
      </c>
    </row>
    <row r="2" customFormat="false" ht="15" hidden="false" customHeight="true" outlineLevel="0" collapsed="false">
      <c r="A2" s="5" t="n">
        <v>164</v>
      </c>
      <c r="B2" s="5" t="n">
        <v>164</v>
      </c>
      <c r="C2" s="5" t="s">
        <v>1590</v>
      </c>
      <c r="D2" s="5" t="n">
        <v>2000</v>
      </c>
      <c r="E2" s="5" t="s">
        <v>1591</v>
      </c>
      <c r="F2" s="5" t="s">
        <v>1592</v>
      </c>
      <c r="G2" s="5" t="s">
        <v>1593</v>
      </c>
      <c r="H2" s="5" t="s">
        <v>1594</v>
      </c>
      <c r="I2" s="5" t="s">
        <v>1595</v>
      </c>
      <c r="J2" s="5"/>
      <c r="K2" s="5" t="s">
        <v>485</v>
      </c>
      <c r="L2" s="5" t="s">
        <v>1596</v>
      </c>
      <c r="M2" s="5" t="s">
        <v>1597</v>
      </c>
      <c r="N2" s="5" t="s">
        <v>485</v>
      </c>
    </row>
    <row r="3" customFormat="false" ht="15" hidden="false" customHeight="true" outlineLevel="0" collapsed="false">
      <c r="A3" s="5" t="n">
        <v>164</v>
      </c>
      <c r="B3" s="5" t="n">
        <v>164</v>
      </c>
      <c r="C3" s="5" t="s">
        <v>1590</v>
      </c>
      <c r="D3" s="5" t="n">
        <v>2000</v>
      </c>
      <c r="E3" s="5" t="s">
        <v>1598</v>
      </c>
      <c r="F3" s="5" t="s">
        <v>1599</v>
      </c>
      <c r="G3" s="5" t="s">
        <v>1593</v>
      </c>
      <c r="H3" s="5" t="s">
        <v>1600</v>
      </c>
      <c r="I3" s="5" t="s">
        <v>1595</v>
      </c>
      <c r="J3" s="5"/>
      <c r="K3" s="5" t="s">
        <v>485</v>
      </c>
      <c r="L3" s="5" t="s">
        <v>1601</v>
      </c>
      <c r="M3" s="5" t="s">
        <v>1597</v>
      </c>
      <c r="N3" s="5" t="s">
        <v>485</v>
      </c>
    </row>
    <row r="4" customFormat="false" ht="15" hidden="false" customHeight="true" outlineLevel="0" collapsed="false">
      <c r="A4" s="5" t="n">
        <v>164</v>
      </c>
      <c r="B4" s="5" t="n">
        <v>164</v>
      </c>
      <c r="C4" s="5" t="s">
        <v>1590</v>
      </c>
      <c r="D4" s="5" t="n">
        <v>2000</v>
      </c>
      <c r="E4" s="5" t="s">
        <v>1602</v>
      </c>
      <c r="F4" s="5" t="s">
        <v>1603</v>
      </c>
      <c r="G4" s="5" t="s">
        <v>1593</v>
      </c>
      <c r="H4" s="5" t="s">
        <v>1600</v>
      </c>
      <c r="I4" s="5" t="s">
        <v>1595</v>
      </c>
      <c r="J4" s="5"/>
      <c r="K4" s="5" t="s">
        <v>419</v>
      </c>
      <c r="L4" s="5" t="s">
        <v>1604</v>
      </c>
      <c r="M4" s="5" t="s">
        <v>1605</v>
      </c>
      <c r="N4" s="5" t="s">
        <v>1246</v>
      </c>
    </row>
    <row r="5" customFormat="false" ht="15" hidden="false" customHeight="true" outlineLevel="0" collapsed="false">
      <c r="A5" s="5" t="n">
        <v>164</v>
      </c>
      <c r="B5" s="5" t="n">
        <v>164</v>
      </c>
      <c r="C5" s="5" t="s">
        <v>1590</v>
      </c>
      <c r="D5" s="5" t="n">
        <v>2000</v>
      </c>
      <c r="E5" s="5" t="s">
        <v>1606</v>
      </c>
      <c r="F5" s="5" t="s">
        <v>1607</v>
      </c>
      <c r="G5" s="5" t="s">
        <v>1593</v>
      </c>
      <c r="H5" s="5" t="s">
        <v>1600</v>
      </c>
      <c r="I5" s="5" t="s">
        <v>1595</v>
      </c>
      <c r="J5" s="5"/>
      <c r="K5" s="5" t="s">
        <v>485</v>
      </c>
      <c r="L5" s="5" t="s">
        <v>1608</v>
      </c>
      <c r="M5" s="5" t="s">
        <v>1597</v>
      </c>
      <c r="N5" s="5" t="s">
        <v>485</v>
      </c>
    </row>
    <row r="6" customFormat="false" ht="15" hidden="false" customHeight="true" outlineLevel="0" collapsed="false">
      <c r="A6" s="5" t="n">
        <v>164</v>
      </c>
      <c r="B6" s="5" t="n">
        <v>164</v>
      </c>
      <c r="C6" s="5" t="s">
        <v>1590</v>
      </c>
      <c r="D6" s="5" t="n">
        <v>2000</v>
      </c>
      <c r="E6" s="5" t="s">
        <v>1609</v>
      </c>
      <c r="F6" s="5" t="s">
        <v>1610</v>
      </c>
      <c r="G6" s="5" t="s">
        <v>1593</v>
      </c>
      <c r="H6" s="5" t="s">
        <v>1600</v>
      </c>
      <c r="I6" s="5" t="s">
        <v>1611</v>
      </c>
      <c r="J6" s="5" t="s">
        <v>1612</v>
      </c>
      <c r="K6" s="5" t="s">
        <v>434</v>
      </c>
      <c r="L6" s="5" t="s">
        <v>1613</v>
      </c>
      <c r="M6" s="5" t="s">
        <v>1614</v>
      </c>
      <c r="N6" s="5" t="s">
        <v>1615</v>
      </c>
    </row>
    <row r="7" customFormat="false" ht="15" hidden="false" customHeight="true" outlineLevel="0" collapsed="false">
      <c r="A7" s="5" t="n">
        <v>164</v>
      </c>
      <c r="B7" s="5" t="n">
        <v>164</v>
      </c>
      <c r="C7" s="5" t="s">
        <v>1590</v>
      </c>
      <c r="D7" s="5" t="n">
        <v>2000</v>
      </c>
      <c r="E7" s="5" t="s">
        <v>1616</v>
      </c>
      <c r="F7" s="5" t="s">
        <v>1617</v>
      </c>
      <c r="G7" s="5" t="s">
        <v>1593</v>
      </c>
      <c r="H7" s="5" t="s">
        <v>1600</v>
      </c>
      <c r="I7" s="5" t="s">
        <v>1618</v>
      </c>
      <c r="J7" s="5"/>
      <c r="K7" s="5" t="s">
        <v>485</v>
      </c>
      <c r="L7" s="5" t="s">
        <v>1619</v>
      </c>
      <c r="M7" s="5" t="s">
        <v>1597</v>
      </c>
      <c r="N7" s="5" t="s">
        <v>485</v>
      </c>
    </row>
    <row r="8" customFormat="false" ht="15" hidden="false" customHeight="true" outlineLevel="0" collapsed="false">
      <c r="A8" s="5" t="n">
        <v>165</v>
      </c>
      <c r="B8" s="5" t="n">
        <v>165</v>
      </c>
      <c r="C8" s="5" t="s">
        <v>1620</v>
      </c>
      <c r="D8" s="5" t="n">
        <v>2012</v>
      </c>
      <c r="E8" s="5" t="s">
        <v>1621</v>
      </c>
      <c r="F8" s="5" t="s">
        <v>1622</v>
      </c>
      <c r="G8" s="5" t="s">
        <v>1623</v>
      </c>
      <c r="H8" s="5" t="s">
        <v>1624</v>
      </c>
      <c r="I8" s="5" t="s">
        <v>1595</v>
      </c>
      <c r="J8" s="5"/>
      <c r="K8" s="5" t="s">
        <v>419</v>
      </c>
      <c r="L8" s="5" t="s">
        <v>1625</v>
      </c>
      <c r="M8" s="5" t="s">
        <v>1597</v>
      </c>
      <c r="N8" s="5" t="s">
        <v>1246</v>
      </c>
    </row>
    <row r="9" customFormat="false" ht="15" hidden="false" customHeight="true" outlineLevel="0" collapsed="false">
      <c r="A9" s="5" t="n">
        <v>165</v>
      </c>
      <c r="B9" s="5" t="n">
        <v>165</v>
      </c>
      <c r="C9" s="5" t="s">
        <v>1620</v>
      </c>
      <c r="D9" s="5" t="n">
        <v>2012</v>
      </c>
      <c r="E9" s="5" t="s">
        <v>1626</v>
      </c>
      <c r="F9" s="5" t="s">
        <v>1627</v>
      </c>
      <c r="G9" s="5" t="s">
        <v>1623</v>
      </c>
      <c r="H9" s="5" t="s">
        <v>1624</v>
      </c>
      <c r="I9" s="5" t="s">
        <v>1628</v>
      </c>
      <c r="J9" s="5" t="s">
        <v>1629</v>
      </c>
      <c r="K9" s="5" t="s">
        <v>434</v>
      </c>
      <c r="L9" s="5" t="s">
        <v>1630</v>
      </c>
      <c r="M9" s="5" t="s">
        <v>1597</v>
      </c>
      <c r="N9" s="5" t="s">
        <v>1246</v>
      </c>
    </row>
    <row r="10" customFormat="false" ht="15" hidden="false" customHeight="true" outlineLevel="0" collapsed="false">
      <c r="A10" s="5" t="n">
        <v>165</v>
      </c>
      <c r="B10" s="5" t="n">
        <v>165</v>
      </c>
      <c r="C10" s="5" t="s">
        <v>1620</v>
      </c>
      <c r="D10" s="5" t="n">
        <v>2012</v>
      </c>
      <c r="E10" s="5" t="s">
        <v>1631</v>
      </c>
      <c r="F10" s="5" t="s">
        <v>1632</v>
      </c>
      <c r="G10" s="5" t="s">
        <v>1623</v>
      </c>
      <c r="H10" s="5" t="s">
        <v>1624</v>
      </c>
      <c r="I10" s="5" t="s">
        <v>1595</v>
      </c>
      <c r="J10" s="5"/>
      <c r="K10" s="5" t="s">
        <v>419</v>
      </c>
      <c r="L10" s="5" t="s">
        <v>1633</v>
      </c>
      <c r="M10" s="5" t="s">
        <v>1597</v>
      </c>
      <c r="N10" s="5" t="s">
        <v>1246</v>
      </c>
    </row>
    <row r="11" customFormat="false" ht="15" hidden="false" customHeight="true" outlineLevel="0" collapsed="false">
      <c r="A11" s="5" t="n">
        <v>165</v>
      </c>
      <c r="B11" s="5" t="n">
        <v>165</v>
      </c>
      <c r="C11" s="5" t="s">
        <v>1620</v>
      </c>
      <c r="D11" s="5" t="n">
        <v>2012</v>
      </c>
      <c r="E11" s="5" t="s">
        <v>1634</v>
      </c>
      <c r="F11" s="5" t="s">
        <v>1635</v>
      </c>
      <c r="G11" s="5" t="s">
        <v>1623</v>
      </c>
      <c r="H11" s="5" t="s">
        <v>1624</v>
      </c>
      <c r="I11" s="5" t="s">
        <v>1628</v>
      </c>
      <c r="J11" s="5" t="s">
        <v>1636</v>
      </c>
      <c r="K11" s="5" t="s">
        <v>434</v>
      </c>
      <c r="L11" s="5" t="s">
        <v>1637</v>
      </c>
      <c r="M11" s="5" t="s">
        <v>1597</v>
      </c>
      <c r="N11" s="5" t="s">
        <v>1246</v>
      </c>
    </row>
    <row r="12" customFormat="false" ht="15" hidden="false" customHeight="true" outlineLevel="0" collapsed="false">
      <c r="A12" s="5" t="n">
        <v>166</v>
      </c>
      <c r="B12" s="5" t="n">
        <v>166</v>
      </c>
      <c r="C12" s="5" t="s">
        <v>1638</v>
      </c>
      <c r="D12" s="5" t="n">
        <v>2014</v>
      </c>
      <c r="E12" s="5" t="s">
        <v>1639</v>
      </c>
      <c r="F12" s="5" t="s">
        <v>1640</v>
      </c>
      <c r="G12" s="5" t="s">
        <v>1593</v>
      </c>
      <c r="H12" s="5" t="s">
        <v>1641</v>
      </c>
      <c r="I12" s="5" t="s">
        <v>1595</v>
      </c>
      <c r="J12" s="5"/>
      <c r="K12" s="5" t="s">
        <v>485</v>
      </c>
      <c r="L12" s="5" t="s">
        <v>1642</v>
      </c>
      <c r="M12" s="5" t="s">
        <v>1597</v>
      </c>
      <c r="N12" s="5" t="s">
        <v>485</v>
      </c>
    </row>
    <row r="13" customFormat="false" ht="15" hidden="false" customHeight="true" outlineLevel="0" collapsed="false">
      <c r="A13" s="5" t="n">
        <v>166</v>
      </c>
      <c r="B13" s="5" t="n">
        <v>166</v>
      </c>
      <c r="C13" s="5" t="s">
        <v>1638</v>
      </c>
      <c r="D13" s="5" t="n">
        <v>2014</v>
      </c>
      <c r="E13" s="5" t="s">
        <v>1643</v>
      </c>
      <c r="F13" s="5" t="s">
        <v>1644</v>
      </c>
      <c r="G13" s="5" t="s">
        <v>1593</v>
      </c>
      <c r="H13" s="5" t="s">
        <v>1645</v>
      </c>
      <c r="I13" s="5" t="s">
        <v>1595</v>
      </c>
      <c r="J13" s="5"/>
      <c r="K13" s="5" t="s">
        <v>419</v>
      </c>
      <c r="L13" s="5" t="s">
        <v>1646</v>
      </c>
      <c r="M13" s="5" t="s">
        <v>1597</v>
      </c>
      <c r="N13" s="5" t="s">
        <v>1246</v>
      </c>
    </row>
    <row r="14" customFormat="false" ht="15" hidden="false" customHeight="true" outlineLevel="0" collapsed="false">
      <c r="A14" s="5" t="n">
        <v>166</v>
      </c>
      <c r="B14" s="5" t="n">
        <v>166</v>
      </c>
      <c r="C14" s="5" t="s">
        <v>1638</v>
      </c>
      <c r="D14" s="5" t="n">
        <v>2014</v>
      </c>
      <c r="E14" s="5" t="s">
        <v>1647</v>
      </c>
      <c r="F14" s="5" t="s">
        <v>1648</v>
      </c>
      <c r="G14" s="5" t="s">
        <v>1593</v>
      </c>
      <c r="H14" s="5" t="s">
        <v>1641</v>
      </c>
      <c r="I14" s="5" t="s">
        <v>1595</v>
      </c>
      <c r="J14" s="5"/>
      <c r="K14" s="5" t="s">
        <v>485</v>
      </c>
      <c r="L14" s="5" t="s">
        <v>1649</v>
      </c>
      <c r="M14" s="5" t="s">
        <v>1597</v>
      </c>
      <c r="N14" s="5" t="s">
        <v>485</v>
      </c>
    </row>
    <row r="15" customFormat="false" ht="15" hidden="false" customHeight="true" outlineLevel="0" collapsed="false">
      <c r="A15" s="5" t="n">
        <v>166</v>
      </c>
      <c r="B15" s="5" t="n">
        <v>166</v>
      </c>
      <c r="C15" s="5" t="s">
        <v>1638</v>
      </c>
      <c r="D15" s="5" t="n">
        <v>2014</v>
      </c>
      <c r="E15" s="5" t="s">
        <v>1650</v>
      </c>
      <c r="F15" s="5" t="s">
        <v>1651</v>
      </c>
      <c r="G15" s="5" t="s">
        <v>1593</v>
      </c>
      <c r="H15" s="5" t="s">
        <v>1641</v>
      </c>
      <c r="I15" s="5" t="s">
        <v>1595</v>
      </c>
      <c r="J15" s="5"/>
      <c r="K15" s="5" t="s">
        <v>485</v>
      </c>
      <c r="L15" s="5" t="s">
        <v>1652</v>
      </c>
      <c r="M15" s="5" t="s">
        <v>1597</v>
      </c>
      <c r="N15" s="5" t="s">
        <v>485</v>
      </c>
    </row>
    <row r="16" customFormat="false" ht="15" hidden="false" customHeight="true" outlineLevel="0" collapsed="false">
      <c r="A16" s="5" t="n">
        <v>166</v>
      </c>
      <c r="B16" s="5" t="n">
        <v>166</v>
      </c>
      <c r="C16" s="5" t="s">
        <v>1638</v>
      </c>
      <c r="D16" s="5" t="n">
        <v>2014</v>
      </c>
      <c r="E16" s="5" t="s">
        <v>1653</v>
      </c>
      <c r="F16" s="5" t="s">
        <v>1654</v>
      </c>
      <c r="G16" s="5" t="s">
        <v>1593</v>
      </c>
      <c r="H16" s="5" t="s">
        <v>1641</v>
      </c>
      <c r="I16" s="5" t="s">
        <v>1595</v>
      </c>
      <c r="J16" s="5"/>
      <c r="K16" s="5" t="s">
        <v>485</v>
      </c>
      <c r="L16" s="5" t="s">
        <v>1655</v>
      </c>
      <c r="M16" s="5" t="s">
        <v>1597</v>
      </c>
      <c r="N16" s="5" t="s">
        <v>485</v>
      </c>
    </row>
    <row r="17" customFormat="false" ht="15" hidden="false" customHeight="true" outlineLevel="0" collapsed="false">
      <c r="A17" s="5" t="n">
        <v>166</v>
      </c>
      <c r="B17" s="5" t="n">
        <v>166</v>
      </c>
      <c r="C17" s="5" t="s">
        <v>1638</v>
      </c>
      <c r="D17" s="5" t="n">
        <v>2014</v>
      </c>
      <c r="E17" s="5" t="s">
        <v>1656</v>
      </c>
      <c r="F17" s="5" t="s">
        <v>1657</v>
      </c>
      <c r="G17" s="5" t="s">
        <v>1593</v>
      </c>
      <c r="H17" s="5" t="s">
        <v>1641</v>
      </c>
      <c r="I17" s="5" t="s">
        <v>1658</v>
      </c>
      <c r="J17" s="5"/>
      <c r="K17" s="5" t="s">
        <v>485</v>
      </c>
      <c r="L17" s="5" t="s">
        <v>1659</v>
      </c>
      <c r="M17" s="5" t="s">
        <v>1597</v>
      </c>
      <c r="N17" s="5" t="s">
        <v>485</v>
      </c>
    </row>
    <row r="18" customFormat="false" ht="15" hidden="false" customHeight="true" outlineLevel="0" collapsed="false">
      <c r="A18" s="5" t="n">
        <v>166</v>
      </c>
      <c r="B18" s="5" t="n">
        <v>166</v>
      </c>
      <c r="C18" s="5" t="s">
        <v>1638</v>
      </c>
      <c r="D18" s="5" t="n">
        <v>2014</v>
      </c>
      <c r="E18" s="5" t="s">
        <v>1660</v>
      </c>
      <c r="F18" s="5" t="s">
        <v>1661</v>
      </c>
      <c r="G18" s="5" t="s">
        <v>1593</v>
      </c>
      <c r="H18" s="5" t="s">
        <v>1641</v>
      </c>
      <c r="I18" s="5" t="s">
        <v>1658</v>
      </c>
      <c r="J18" s="5"/>
      <c r="K18" s="5" t="s">
        <v>485</v>
      </c>
      <c r="L18" s="5" t="s">
        <v>1662</v>
      </c>
      <c r="M18" s="5" t="s">
        <v>1597</v>
      </c>
      <c r="N18" s="5" t="s">
        <v>485</v>
      </c>
    </row>
    <row r="19" customFormat="false" ht="15" hidden="false" customHeight="true" outlineLevel="0" collapsed="false">
      <c r="A19" s="5" t="n">
        <v>166</v>
      </c>
      <c r="B19" s="5" t="n">
        <v>166</v>
      </c>
      <c r="C19" s="5" t="s">
        <v>1638</v>
      </c>
      <c r="D19" s="5" t="n">
        <v>2014</v>
      </c>
      <c r="E19" s="5" t="s">
        <v>1663</v>
      </c>
      <c r="F19" s="5" t="s">
        <v>1664</v>
      </c>
      <c r="G19" s="5" t="s">
        <v>1593</v>
      </c>
      <c r="H19" s="5" t="s">
        <v>1665</v>
      </c>
      <c r="I19" s="5" t="s">
        <v>1666</v>
      </c>
      <c r="J19" s="5" t="s">
        <v>1667</v>
      </c>
      <c r="K19" s="5" t="s">
        <v>434</v>
      </c>
      <c r="L19" s="5" t="s">
        <v>1668</v>
      </c>
      <c r="M19" s="5" t="s">
        <v>1614</v>
      </c>
      <c r="N19" s="5" t="s">
        <v>1615</v>
      </c>
    </row>
    <row r="20" customFormat="false" ht="15" hidden="false" customHeight="true" outlineLevel="0" collapsed="false">
      <c r="A20" s="5" t="n">
        <v>167</v>
      </c>
      <c r="B20" s="5" t="n">
        <v>167</v>
      </c>
      <c r="C20" s="5" t="s">
        <v>1669</v>
      </c>
      <c r="D20" s="5" t="n">
        <v>2023</v>
      </c>
      <c r="E20" s="5" t="s">
        <v>1670</v>
      </c>
      <c r="F20" s="5" t="s">
        <v>1671</v>
      </c>
      <c r="G20" s="5" t="s">
        <v>1593</v>
      </c>
      <c r="H20" s="5" t="s">
        <v>1672</v>
      </c>
      <c r="I20" s="5" t="s">
        <v>1595</v>
      </c>
      <c r="J20" s="5"/>
      <c r="K20" s="5" t="s">
        <v>485</v>
      </c>
      <c r="L20" s="5" t="s">
        <v>1673</v>
      </c>
      <c r="M20" s="5" t="s">
        <v>1597</v>
      </c>
      <c r="N20" s="5" t="s">
        <v>485</v>
      </c>
    </row>
    <row r="21" customFormat="false" ht="15" hidden="false" customHeight="true" outlineLevel="0" collapsed="false">
      <c r="A21" s="5" t="n">
        <v>168</v>
      </c>
      <c r="B21" s="5" t="n">
        <v>168</v>
      </c>
      <c r="C21" s="5" t="s">
        <v>1674</v>
      </c>
      <c r="D21" s="5" t="n">
        <v>2020</v>
      </c>
      <c r="E21" s="5" t="s">
        <v>1675</v>
      </c>
      <c r="F21" s="5" t="s">
        <v>1676</v>
      </c>
      <c r="G21" s="5" t="s">
        <v>1677</v>
      </c>
      <c r="H21" s="5" t="s">
        <v>419</v>
      </c>
      <c r="I21" s="5" t="s">
        <v>1595</v>
      </c>
      <c r="J21" s="5"/>
      <c r="K21" s="5" t="s">
        <v>419</v>
      </c>
      <c r="L21" s="5" t="s">
        <v>1678</v>
      </c>
      <c r="M21" s="5" t="s">
        <v>1597</v>
      </c>
      <c r="N21" s="5" t="s">
        <v>1246</v>
      </c>
    </row>
    <row r="22" customFormat="false" ht="15" hidden="false" customHeight="true" outlineLevel="0" collapsed="false">
      <c r="A22" s="5" t="n">
        <v>168</v>
      </c>
      <c r="B22" s="5" t="n">
        <v>168</v>
      </c>
      <c r="C22" s="5" t="s">
        <v>1674</v>
      </c>
      <c r="D22" s="5" t="n">
        <v>2020</v>
      </c>
      <c r="E22" s="5" t="s">
        <v>1679</v>
      </c>
      <c r="F22" s="5" t="s">
        <v>1680</v>
      </c>
      <c r="G22" s="5" t="s">
        <v>1677</v>
      </c>
      <c r="H22" s="5" t="s">
        <v>419</v>
      </c>
      <c r="I22" s="5" t="s">
        <v>1681</v>
      </c>
      <c r="J22" s="5" t="n">
        <v>7</v>
      </c>
      <c r="K22" s="5" t="s">
        <v>434</v>
      </c>
      <c r="L22" s="5" t="s">
        <v>1682</v>
      </c>
      <c r="M22" s="5" t="s">
        <v>1597</v>
      </c>
      <c r="N22" s="5" t="s">
        <v>1246</v>
      </c>
    </row>
    <row r="23" customFormat="false" ht="15" hidden="false" customHeight="true" outlineLevel="0" collapsed="false">
      <c r="A23" s="5" t="n">
        <v>168</v>
      </c>
      <c r="B23" s="5" t="n">
        <v>168</v>
      </c>
      <c r="C23" s="5" t="s">
        <v>1674</v>
      </c>
      <c r="D23" s="5" t="n">
        <v>2020</v>
      </c>
      <c r="E23" s="5" t="s">
        <v>1683</v>
      </c>
      <c r="F23" s="5" t="s">
        <v>1684</v>
      </c>
      <c r="G23" s="5" t="s">
        <v>1685</v>
      </c>
      <c r="H23" s="5" t="s">
        <v>422</v>
      </c>
      <c r="I23" s="5" t="s">
        <v>1595</v>
      </c>
      <c r="J23" s="5"/>
      <c r="K23" s="5" t="s">
        <v>422</v>
      </c>
      <c r="L23" s="5" t="s">
        <v>1686</v>
      </c>
      <c r="M23" s="5" t="s">
        <v>1597</v>
      </c>
      <c r="N23" s="5" t="s">
        <v>1246</v>
      </c>
    </row>
    <row r="24" customFormat="false" ht="15" hidden="false" customHeight="true" outlineLevel="0" collapsed="false">
      <c r="A24" s="5" t="n">
        <v>168</v>
      </c>
      <c r="B24" s="5" t="n">
        <v>168</v>
      </c>
      <c r="C24" s="5" t="s">
        <v>1674</v>
      </c>
      <c r="D24" s="5" t="n">
        <v>2020</v>
      </c>
      <c r="E24" s="5" t="s">
        <v>1687</v>
      </c>
      <c r="F24" s="5" t="s">
        <v>1688</v>
      </c>
      <c r="G24" s="5" t="s">
        <v>1685</v>
      </c>
      <c r="H24" s="5" t="s">
        <v>422</v>
      </c>
      <c r="I24" s="5" t="s">
        <v>1681</v>
      </c>
      <c r="J24" s="5" t="n">
        <v>7</v>
      </c>
      <c r="K24" s="5" t="s">
        <v>416</v>
      </c>
      <c r="L24" s="5" t="s">
        <v>1689</v>
      </c>
      <c r="M24" s="5" t="s">
        <v>1597</v>
      </c>
      <c r="N24" s="5" t="s">
        <v>1246</v>
      </c>
    </row>
    <row r="25" customFormat="false" ht="15" hidden="false" customHeight="true" outlineLevel="0" collapsed="false">
      <c r="A25" s="5" t="n">
        <v>169</v>
      </c>
      <c r="B25" s="5" t="n">
        <v>169</v>
      </c>
      <c r="C25" s="5" t="s">
        <v>1690</v>
      </c>
      <c r="D25" s="5" t="n">
        <v>2005</v>
      </c>
      <c r="E25" s="5" t="s">
        <v>1691</v>
      </c>
      <c r="F25" s="5" t="s">
        <v>1692</v>
      </c>
      <c r="G25" s="5" t="s">
        <v>1693</v>
      </c>
      <c r="H25" s="5" t="s">
        <v>1600</v>
      </c>
      <c r="I25" s="5" t="s">
        <v>1595</v>
      </c>
      <c r="J25" s="5"/>
      <c r="K25" s="5" t="s">
        <v>485</v>
      </c>
      <c r="L25" s="5" t="s">
        <v>1694</v>
      </c>
      <c r="M25" s="5" t="s">
        <v>1597</v>
      </c>
      <c r="N25" s="5" t="s">
        <v>485</v>
      </c>
    </row>
    <row r="26" customFormat="false" ht="15" hidden="false" customHeight="true" outlineLevel="0" collapsed="false">
      <c r="A26" s="5" t="s">
        <v>938</v>
      </c>
      <c r="B26" s="5" t="s">
        <v>938</v>
      </c>
      <c r="C26" s="5" t="s">
        <v>1695</v>
      </c>
      <c r="D26" s="5" t="n">
        <v>2019</v>
      </c>
      <c r="E26" s="5" t="s">
        <v>1696</v>
      </c>
      <c r="F26" s="5" t="s">
        <v>1697</v>
      </c>
      <c r="G26" s="5" t="s">
        <v>1593</v>
      </c>
      <c r="H26" s="5" t="s">
        <v>1698</v>
      </c>
      <c r="I26" s="5" t="s">
        <v>1595</v>
      </c>
      <c r="J26" s="5"/>
      <c r="K26" s="5" t="s">
        <v>419</v>
      </c>
      <c r="L26" s="5" t="s">
        <v>1678</v>
      </c>
      <c r="M26" s="5" t="s">
        <v>1597</v>
      </c>
      <c r="N26" s="5" t="s">
        <v>1246</v>
      </c>
    </row>
    <row r="27" customFormat="false" ht="15" hidden="false" customHeight="true" outlineLevel="0" collapsed="false">
      <c r="A27" s="5" t="s">
        <v>938</v>
      </c>
      <c r="B27" s="5" t="s">
        <v>938</v>
      </c>
      <c r="C27" s="5" t="s">
        <v>1695</v>
      </c>
      <c r="D27" s="5" t="n">
        <v>2019</v>
      </c>
      <c r="E27" s="5" t="s">
        <v>1699</v>
      </c>
      <c r="F27" s="5" t="s">
        <v>1700</v>
      </c>
      <c r="G27" s="5" t="s">
        <v>1593</v>
      </c>
      <c r="H27" s="5" t="s">
        <v>1701</v>
      </c>
      <c r="I27" s="5" t="s">
        <v>1702</v>
      </c>
      <c r="J27" s="5" t="s">
        <v>1703</v>
      </c>
      <c r="K27" s="5" t="s">
        <v>440</v>
      </c>
      <c r="L27" s="5" t="s">
        <v>1704</v>
      </c>
      <c r="M27" s="5" t="s">
        <v>1597</v>
      </c>
      <c r="N27" s="5" t="s">
        <v>1246</v>
      </c>
    </row>
    <row r="28" customFormat="false" ht="15" hidden="false" customHeight="true" outlineLevel="0" collapsed="false">
      <c r="A28" s="5" t="s">
        <v>938</v>
      </c>
      <c r="B28" s="5" t="s">
        <v>938</v>
      </c>
      <c r="C28" s="5" t="s">
        <v>1695</v>
      </c>
      <c r="D28" s="5" t="n">
        <v>2019</v>
      </c>
      <c r="E28" s="5" t="s">
        <v>1705</v>
      </c>
      <c r="F28" s="5" t="s">
        <v>1706</v>
      </c>
      <c r="G28" s="5" t="s">
        <v>1685</v>
      </c>
      <c r="H28" s="5" t="s">
        <v>422</v>
      </c>
      <c r="I28" s="5" t="s">
        <v>1707</v>
      </c>
      <c r="J28" s="5" t="s">
        <v>1708</v>
      </c>
      <c r="K28" s="5" t="s">
        <v>416</v>
      </c>
      <c r="L28" s="5" t="s">
        <v>1709</v>
      </c>
      <c r="M28" s="5" t="s">
        <v>1597</v>
      </c>
      <c r="N28" s="5" t="s">
        <v>1246</v>
      </c>
    </row>
    <row r="29" customFormat="false" ht="15" hidden="false" customHeight="true" outlineLevel="0" collapsed="false">
      <c r="A29" s="5" t="s">
        <v>938</v>
      </c>
      <c r="B29" s="5" t="s">
        <v>938</v>
      </c>
      <c r="C29" s="5" t="s">
        <v>1695</v>
      </c>
      <c r="D29" s="5" t="n">
        <v>2019</v>
      </c>
      <c r="E29" s="5" t="s">
        <v>1710</v>
      </c>
      <c r="F29" s="5" t="s">
        <v>1711</v>
      </c>
      <c r="G29" s="5" t="s">
        <v>686</v>
      </c>
      <c r="H29" s="5" t="s">
        <v>422</v>
      </c>
      <c r="I29" s="5" t="s">
        <v>1712</v>
      </c>
      <c r="J29" s="5"/>
      <c r="K29" s="5" t="s">
        <v>485</v>
      </c>
      <c r="L29" s="5" t="s">
        <v>1713</v>
      </c>
      <c r="M29" s="5" t="s">
        <v>1597</v>
      </c>
      <c r="N29" s="5" t="s">
        <v>485</v>
      </c>
    </row>
    <row r="30" customFormat="false" ht="15" hidden="false" customHeight="true" outlineLevel="0" collapsed="false">
      <c r="A30" s="5" t="s">
        <v>955</v>
      </c>
      <c r="B30" s="5" t="s">
        <v>955</v>
      </c>
      <c r="C30" s="5" t="s">
        <v>1695</v>
      </c>
      <c r="D30" s="5" t="n">
        <v>2019</v>
      </c>
      <c r="E30" s="5" t="s">
        <v>1714</v>
      </c>
      <c r="F30" s="5" t="s">
        <v>1715</v>
      </c>
      <c r="G30" s="5" t="s">
        <v>686</v>
      </c>
      <c r="H30" s="5" t="s">
        <v>686</v>
      </c>
      <c r="I30" s="5" t="s">
        <v>686</v>
      </c>
      <c r="J30" s="5"/>
      <c r="K30" s="5" t="s">
        <v>1716</v>
      </c>
      <c r="L30" s="5" t="s">
        <v>1717</v>
      </c>
      <c r="M30" s="5" t="s">
        <v>1597</v>
      </c>
      <c r="N30" s="5" t="s">
        <v>1246</v>
      </c>
    </row>
    <row r="31" customFormat="false" ht="15" hidden="false" customHeight="true" outlineLevel="0" collapsed="false">
      <c r="A31" s="5" t="s">
        <v>965</v>
      </c>
      <c r="B31" s="5" t="s">
        <v>965</v>
      </c>
      <c r="C31" s="5" t="s">
        <v>1718</v>
      </c>
      <c r="D31" s="5" t="n">
        <v>2020</v>
      </c>
      <c r="E31" s="5" t="s">
        <v>1719</v>
      </c>
      <c r="F31" s="5" t="s">
        <v>1720</v>
      </c>
      <c r="G31" s="5" t="s">
        <v>1721</v>
      </c>
      <c r="H31" s="5" t="s">
        <v>1722</v>
      </c>
      <c r="I31" s="5" t="s">
        <v>1595</v>
      </c>
      <c r="J31" s="5"/>
      <c r="K31" s="5" t="s">
        <v>419</v>
      </c>
      <c r="L31" s="5" t="s">
        <v>1723</v>
      </c>
      <c r="M31" s="5" t="s">
        <v>1724</v>
      </c>
      <c r="N31" s="5" t="s">
        <v>1246</v>
      </c>
    </row>
    <row r="32" customFormat="false" ht="15" hidden="false" customHeight="true" outlineLevel="0" collapsed="false">
      <c r="A32" s="5" t="s">
        <v>965</v>
      </c>
      <c r="B32" s="5" t="s">
        <v>965</v>
      </c>
      <c r="C32" s="5" t="s">
        <v>1718</v>
      </c>
      <c r="D32" s="5" t="n">
        <v>2020</v>
      </c>
      <c r="E32" s="5" t="s">
        <v>1725</v>
      </c>
      <c r="F32" s="5" t="s">
        <v>1726</v>
      </c>
      <c r="G32" s="5" t="s">
        <v>1721</v>
      </c>
      <c r="H32" s="5" t="s">
        <v>1722</v>
      </c>
      <c r="I32" s="5" t="s">
        <v>1628</v>
      </c>
      <c r="J32" s="5" t="n">
        <v>3</v>
      </c>
      <c r="K32" s="5" t="s">
        <v>434</v>
      </c>
      <c r="L32" s="5" t="s">
        <v>1727</v>
      </c>
      <c r="M32" s="5" t="s">
        <v>1614</v>
      </c>
      <c r="N32" s="5" t="s">
        <v>1246</v>
      </c>
    </row>
    <row r="33" customFormat="false" ht="15" hidden="false" customHeight="true" outlineLevel="0" collapsed="false">
      <c r="A33" s="5" t="s">
        <v>965</v>
      </c>
      <c r="B33" s="5" t="s">
        <v>965</v>
      </c>
      <c r="C33" s="5" t="s">
        <v>1718</v>
      </c>
      <c r="D33" s="5" t="n">
        <v>2020</v>
      </c>
      <c r="E33" s="5" t="s">
        <v>1728</v>
      </c>
      <c r="F33" s="5" t="s">
        <v>1729</v>
      </c>
      <c r="G33" s="5" t="s">
        <v>1721</v>
      </c>
      <c r="H33" s="5" t="s">
        <v>1722</v>
      </c>
      <c r="I33" s="5" t="s">
        <v>1628</v>
      </c>
      <c r="J33" s="5" t="n">
        <v>3</v>
      </c>
      <c r="K33" s="5" t="s">
        <v>434</v>
      </c>
      <c r="L33" s="5" t="s">
        <v>1730</v>
      </c>
      <c r="M33" s="5" t="s">
        <v>1614</v>
      </c>
      <c r="N33" s="5" t="s">
        <v>1615</v>
      </c>
    </row>
    <row r="34" customFormat="false" ht="15" hidden="false" customHeight="true" outlineLevel="0" collapsed="false">
      <c r="A34" s="5" t="s">
        <v>965</v>
      </c>
      <c r="B34" s="5" t="s">
        <v>965</v>
      </c>
      <c r="C34" s="5" t="s">
        <v>1718</v>
      </c>
      <c r="D34" s="5" t="n">
        <v>2020</v>
      </c>
      <c r="E34" s="5" t="s">
        <v>1591</v>
      </c>
      <c r="F34" s="5" t="s">
        <v>1731</v>
      </c>
      <c r="G34" s="5" t="s">
        <v>1593</v>
      </c>
      <c r="H34" s="5" t="s">
        <v>1600</v>
      </c>
      <c r="I34" s="5" t="s">
        <v>1595</v>
      </c>
      <c r="J34" s="5"/>
      <c r="K34" s="5" t="s">
        <v>485</v>
      </c>
      <c r="L34" s="5" t="s">
        <v>1642</v>
      </c>
      <c r="M34" s="5" t="s">
        <v>1597</v>
      </c>
      <c r="N34" s="5" t="s">
        <v>485</v>
      </c>
    </row>
    <row r="35" customFormat="false" ht="15" hidden="false" customHeight="true" outlineLevel="0" collapsed="false">
      <c r="A35" s="5" t="s">
        <v>982</v>
      </c>
      <c r="B35" s="5" t="s">
        <v>982</v>
      </c>
      <c r="C35" s="5" t="s">
        <v>1732</v>
      </c>
      <c r="D35" s="5" t="n">
        <v>2023</v>
      </c>
      <c r="E35" s="5" t="s">
        <v>1733</v>
      </c>
      <c r="F35" s="5" t="s">
        <v>1734</v>
      </c>
      <c r="G35" s="5" t="s">
        <v>1685</v>
      </c>
      <c r="H35" s="5" t="s">
        <v>422</v>
      </c>
      <c r="I35" s="5" t="s">
        <v>1712</v>
      </c>
      <c r="J35" s="5" t="s">
        <v>1735</v>
      </c>
      <c r="K35" s="5" t="s">
        <v>416</v>
      </c>
      <c r="L35" s="5" t="s">
        <v>1689</v>
      </c>
      <c r="M35" s="5" t="s">
        <v>1597</v>
      </c>
      <c r="N35" s="5" t="s">
        <v>1246</v>
      </c>
    </row>
    <row r="36" customFormat="false" ht="15" hidden="false" customHeight="true" outlineLevel="0" collapsed="false">
      <c r="A36" s="5" t="s">
        <v>982</v>
      </c>
      <c r="B36" s="5" t="s">
        <v>982</v>
      </c>
      <c r="C36" s="5" t="s">
        <v>1732</v>
      </c>
      <c r="D36" s="5" t="n">
        <v>2023</v>
      </c>
      <c r="E36" s="5" t="s">
        <v>1303</v>
      </c>
      <c r="F36" s="5" t="s">
        <v>1736</v>
      </c>
      <c r="G36" s="5" t="s">
        <v>1737</v>
      </c>
      <c r="H36" s="5" t="s">
        <v>422</v>
      </c>
      <c r="I36" s="5" t="s">
        <v>1712</v>
      </c>
      <c r="J36" s="5" t="s">
        <v>1735</v>
      </c>
      <c r="K36" s="5" t="s">
        <v>440</v>
      </c>
      <c r="L36" s="5" t="s">
        <v>1738</v>
      </c>
      <c r="M36" s="5" t="s">
        <v>1597</v>
      </c>
      <c r="N36" s="5" t="s">
        <v>1246</v>
      </c>
    </row>
    <row r="37" customFormat="false" ht="15" hidden="false" customHeight="true" outlineLevel="0" collapsed="false">
      <c r="A37" s="5" t="s">
        <v>982</v>
      </c>
      <c r="B37" s="5" t="s">
        <v>982</v>
      </c>
      <c r="C37" s="5" t="s">
        <v>1732</v>
      </c>
      <c r="D37" s="5" t="n">
        <v>2023</v>
      </c>
      <c r="E37" s="5" t="s">
        <v>1739</v>
      </c>
      <c r="F37" s="5" t="s">
        <v>1740</v>
      </c>
      <c r="G37" s="5" t="s">
        <v>1741</v>
      </c>
      <c r="H37" s="5" t="s">
        <v>422</v>
      </c>
      <c r="I37" s="5" t="s">
        <v>1712</v>
      </c>
      <c r="J37" s="5" t="s">
        <v>1735</v>
      </c>
      <c r="K37" s="5" t="s">
        <v>485</v>
      </c>
      <c r="L37" s="5" t="s">
        <v>1742</v>
      </c>
      <c r="M37" s="5" t="s">
        <v>1597</v>
      </c>
      <c r="N37" s="5" t="s">
        <v>485</v>
      </c>
    </row>
    <row r="38" customFormat="false" ht="15" hidden="false" customHeight="true" outlineLevel="0" collapsed="false">
      <c r="A38" s="5" t="n">
        <v>170</v>
      </c>
      <c r="B38" s="5" t="n">
        <v>170</v>
      </c>
      <c r="C38" s="5" t="s">
        <v>1001</v>
      </c>
      <c r="D38" s="5" t="n">
        <v>2003</v>
      </c>
      <c r="E38" s="5" t="s">
        <v>1743</v>
      </c>
      <c r="F38" s="5" t="s">
        <v>1744</v>
      </c>
      <c r="G38" s="5" t="s">
        <v>1745</v>
      </c>
      <c r="H38" s="5" t="s">
        <v>1600</v>
      </c>
      <c r="I38" s="5" t="s">
        <v>1595</v>
      </c>
      <c r="J38" s="5"/>
      <c r="K38" s="5" t="s">
        <v>419</v>
      </c>
      <c r="L38" s="5" t="s">
        <v>1746</v>
      </c>
      <c r="M38" s="5" t="s">
        <v>1597</v>
      </c>
      <c r="N38" s="5" t="s">
        <v>1747</v>
      </c>
    </row>
    <row r="39" customFormat="false" ht="15" hidden="false" customHeight="true" outlineLevel="0" collapsed="false">
      <c r="A39" s="5" t="n">
        <v>170</v>
      </c>
      <c r="B39" s="5" t="n">
        <v>170</v>
      </c>
      <c r="C39" s="5" t="s">
        <v>1001</v>
      </c>
      <c r="D39" s="5" t="n">
        <v>2003</v>
      </c>
      <c r="E39" s="5" t="s">
        <v>1748</v>
      </c>
      <c r="F39" s="5" t="s">
        <v>1749</v>
      </c>
      <c r="G39" s="5" t="s">
        <v>1750</v>
      </c>
      <c r="H39" s="5" t="s">
        <v>1600</v>
      </c>
      <c r="I39" s="5" t="s">
        <v>1595</v>
      </c>
      <c r="J39" s="5"/>
      <c r="K39" s="5" t="s">
        <v>431</v>
      </c>
      <c r="L39" s="5" t="s">
        <v>1751</v>
      </c>
      <c r="M39" s="5" t="s">
        <v>1614</v>
      </c>
      <c r="N39" s="5" t="s">
        <v>1752</v>
      </c>
    </row>
    <row r="40" customFormat="false" ht="15" hidden="false" customHeight="true" outlineLevel="0" collapsed="false">
      <c r="A40" s="5" t="n">
        <v>170</v>
      </c>
      <c r="B40" s="5" t="n">
        <v>170</v>
      </c>
      <c r="C40" s="5" t="s">
        <v>1001</v>
      </c>
      <c r="D40" s="5" t="n">
        <v>2003</v>
      </c>
      <c r="E40" s="5" t="s">
        <v>1753</v>
      </c>
      <c r="F40" s="5" t="s">
        <v>1754</v>
      </c>
      <c r="G40" s="5" t="s">
        <v>1755</v>
      </c>
      <c r="H40" s="5" t="s">
        <v>1600</v>
      </c>
      <c r="I40" s="5" t="s">
        <v>1595</v>
      </c>
      <c r="J40" s="5"/>
      <c r="K40" s="5" t="s">
        <v>422</v>
      </c>
      <c r="L40" s="5" t="s">
        <v>1756</v>
      </c>
      <c r="M40" s="5" t="s">
        <v>1614</v>
      </c>
      <c r="N40" s="5" t="s">
        <v>1752</v>
      </c>
    </row>
    <row r="41" customFormat="false" ht="15" hidden="false" customHeight="true" outlineLevel="0" collapsed="false">
      <c r="A41" s="5" t="s">
        <v>1018</v>
      </c>
      <c r="B41" s="5" t="s">
        <v>1018</v>
      </c>
      <c r="C41" s="5" t="s">
        <v>1757</v>
      </c>
      <c r="D41" s="5" t="n">
        <v>2011</v>
      </c>
      <c r="E41" s="5" t="s">
        <v>1758</v>
      </c>
      <c r="F41" s="5" t="s">
        <v>1759</v>
      </c>
      <c r="G41" s="5" t="s">
        <v>1593</v>
      </c>
      <c r="H41" s="5" t="s">
        <v>1600</v>
      </c>
      <c r="I41" s="5" t="s">
        <v>1760</v>
      </c>
      <c r="J41" s="5" t="n">
        <v>1</v>
      </c>
      <c r="K41" s="5" t="s">
        <v>419</v>
      </c>
      <c r="L41" s="5" t="s">
        <v>1761</v>
      </c>
      <c r="M41" s="5" t="s">
        <v>1597</v>
      </c>
      <c r="N41" s="5" t="s">
        <v>1246</v>
      </c>
    </row>
    <row r="42" customFormat="false" ht="15" hidden="false" customHeight="true" outlineLevel="0" collapsed="false">
      <c r="A42" s="5" t="s">
        <v>1018</v>
      </c>
      <c r="B42" s="5" t="s">
        <v>1018</v>
      </c>
      <c r="C42" s="5" t="s">
        <v>1757</v>
      </c>
      <c r="D42" s="5" t="n">
        <v>2011</v>
      </c>
      <c r="E42" s="5" t="s">
        <v>1762</v>
      </c>
      <c r="F42" s="5" t="s">
        <v>1763</v>
      </c>
      <c r="G42" s="5" t="s">
        <v>1764</v>
      </c>
      <c r="H42" s="5" t="s">
        <v>1765</v>
      </c>
      <c r="I42" s="5" t="s">
        <v>1766</v>
      </c>
      <c r="J42" s="5" t="n">
        <v>1</v>
      </c>
      <c r="K42" s="5" t="s">
        <v>443</v>
      </c>
      <c r="L42" s="5" t="s">
        <v>1767</v>
      </c>
      <c r="M42" s="5" t="s">
        <v>1597</v>
      </c>
      <c r="N42" s="5" t="s">
        <v>1747</v>
      </c>
    </row>
    <row r="43" customFormat="false" ht="15" hidden="false" customHeight="true" outlineLevel="0" collapsed="false">
      <c r="A43" s="5" t="s">
        <v>1018</v>
      </c>
      <c r="B43" s="5" t="s">
        <v>1018</v>
      </c>
      <c r="C43" s="5" t="s">
        <v>1757</v>
      </c>
      <c r="D43" s="5" t="n">
        <v>2011</v>
      </c>
      <c r="E43" s="5" t="s">
        <v>1768</v>
      </c>
      <c r="F43" s="5" t="s">
        <v>1769</v>
      </c>
      <c r="G43" s="5" t="s">
        <v>1770</v>
      </c>
      <c r="H43" s="5" t="s">
        <v>1765</v>
      </c>
      <c r="I43" s="5" t="s">
        <v>1771</v>
      </c>
      <c r="J43" s="5" t="n">
        <v>1</v>
      </c>
      <c r="K43" s="5" t="s">
        <v>422</v>
      </c>
      <c r="L43" s="5" t="s">
        <v>1772</v>
      </c>
      <c r="M43" s="5" t="s">
        <v>1597</v>
      </c>
      <c r="N43" s="5" t="s">
        <v>1747</v>
      </c>
    </row>
    <row r="44" customFormat="false" ht="15" hidden="false" customHeight="true" outlineLevel="0" collapsed="false">
      <c r="A44" s="5" t="s">
        <v>1018</v>
      </c>
      <c r="B44" s="5" t="s">
        <v>1018</v>
      </c>
      <c r="C44" s="5" t="s">
        <v>1757</v>
      </c>
      <c r="D44" s="5" t="n">
        <v>2011</v>
      </c>
      <c r="E44" s="5" t="s">
        <v>1773</v>
      </c>
      <c r="F44" s="5" t="s">
        <v>1774</v>
      </c>
      <c r="G44" s="5" t="s">
        <v>1775</v>
      </c>
      <c r="H44" s="5" t="s">
        <v>1765</v>
      </c>
      <c r="I44" s="5" t="s">
        <v>1771</v>
      </c>
      <c r="J44" s="5" t="n">
        <v>1</v>
      </c>
      <c r="K44" s="5" t="s">
        <v>422</v>
      </c>
      <c r="L44" s="5" t="s">
        <v>1776</v>
      </c>
      <c r="M44" s="5" t="s">
        <v>1597</v>
      </c>
      <c r="N44" s="5" t="s">
        <v>1747</v>
      </c>
    </row>
    <row r="45" customFormat="false" ht="15" hidden="false" customHeight="true" outlineLevel="0" collapsed="false">
      <c r="A45" s="5" t="s">
        <v>1018</v>
      </c>
      <c r="B45" s="5" t="s">
        <v>1018</v>
      </c>
      <c r="C45" s="5" t="s">
        <v>1757</v>
      </c>
      <c r="D45" s="5" t="n">
        <v>2011</v>
      </c>
      <c r="E45" s="5" t="s">
        <v>1777</v>
      </c>
      <c r="F45" s="5" t="s">
        <v>1778</v>
      </c>
      <c r="G45" s="5" t="s">
        <v>1779</v>
      </c>
      <c r="H45" s="5" t="s">
        <v>1780</v>
      </c>
      <c r="I45" s="5" t="s">
        <v>1771</v>
      </c>
      <c r="J45" s="5" t="n">
        <v>1</v>
      </c>
      <c r="K45" s="5" t="s">
        <v>431</v>
      </c>
      <c r="L45" s="5" t="s">
        <v>1781</v>
      </c>
      <c r="M45" s="5" t="s">
        <v>1597</v>
      </c>
      <c r="N45" s="5" t="s">
        <v>1747</v>
      </c>
    </row>
    <row r="46" customFormat="false" ht="15" hidden="false" customHeight="true" outlineLevel="0" collapsed="false">
      <c r="A46" s="5" t="s">
        <v>1018</v>
      </c>
      <c r="B46" s="5" t="s">
        <v>1018</v>
      </c>
      <c r="C46" s="5" t="s">
        <v>1757</v>
      </c>
      <c r="D46" s="5" t="n">
        <v>2011</v>
      </c>
      <c r="E46" s="5" t="s">
        <v>1782</v>
      </c>
      <c r="F46" s="5" t="s">
        <v>1783</v>
      </c>
      <c r="G46" s="5" t="s">
        <v>1784</v>
      </c>
      <c r="H46" s="5" t="s">
        <v>1780</v>
      </c>
      <c r="I46" s="5" t="s">
        <v>1771</v>
      </c>
      <c r="J46" s="5" t="n">
        <v>1</v>
      </c>
      <c r="K46" s="5" t="s">
        <v>431</v>
      </c>
      <c r="L46" s="5" t="s">
        <v>1785</v>
      </c>
      <c r="M46" s="5" t="s">
        <v>1597</v>
      </c>
      <c r="N46" s="5" t="s">
        <v>1747</v>
      </c>
    </row>
    <row r="47" customFormat="false" ht="15" hidden="false" customHeight="true" outlineLevel="0" collapsed="false">
      <c r="A47" s="5" t="s">
        <v>1041</v>
      </c>
      <c r="B47" s="5" t="s">
        <v>1041</v>
      </c>
      <c r="C47" s="5" t="s">
        <v>1786</v>
      </c>
      <c r="D47" s="5" t="n">
        <v>2022</v>
      </c>
      <c r="E47" s="5" t="s">
        <v>1787</v>
      </c>
      <c r="F47" s="5" t="s">
        <v>1788</v>
      </c>
      <c r="G47" s="5" t="s">
        <v>1789</v>
      </c>
      <c r="H47" s="5" t="s">
        <v>1790</v>
      </c>
      <c r="I47" s="5" t="s">
        <v>1791</v>
      </c>
      <c r="J47" s="5" t="s">
        <v>1792</v>
      </c>
      <c r="K47" s="5" t="s">
        <v>434</v>
      </c>
      <c r="L47" s="5" t="s">
        <v>1793</v>
      </c>
      <c r="M47" s="5" t="s">
        <v>1597</v>
      </c>
      <c r="N47" s="5" t="s">
        <v>1246</v>
      </c>
    </row>
    <row r="48" customFormat="false" ht="15" hidden="false" customHeight="true" outlineLevel="0" collapsed="false">
      <c r="A48" s="5" t="s">
        <v>1041</v>
      </c>
      <c r="B48" s="5" t="s">
        <v>1041</v>
      </c>
      <c r="C48" s="5" t="s">
        <v>1786</v>
      </c>
      <c r="D48" s="5" t="n">
        <v>2022</v>
      </c>
      <c r="E48" s="5" t="s">
        <v>1794</v>
      </c>
      <c r="F48" s="5" t="s">
        <v>1795</v>
      </c>
      <c r="G48" s="5" t="s">
        <v>1796</v>
      </c>
      <c r="H48" s="5" t="s">
        <v>1797</v>
      </c>
      <c r="I48" s="5" t="s">
        <v>1791</v>
      </c>
      <c r="J48" s="5" t="s">
        <v>1792</v>
      </c>
      <c r="K48" s="5" t="s">
        <v>428</v>
      </c>
      <c r="L48" s="5" t="s">
        <v>1798</v>
      </c>
      <c r="M48" s="5" t="s">
        <v>1597</v>
      </c>
      <c r="N48" s="5" t="s">
        <v>1246</v>
      </c>
    </row>
    <row r="49" customFormat="false" ht="15" hidden="false" customHeight="true" outlineLevel="0" collapsed="false">
      <c r="A49" s="5" t="s">
        <v>1064</v>
      </c>
      <c r="B49" s="5" t="s">
        <v>1064</v>
      </c>
      <c r="C49" s="5" t="s">
        <v>79</v>
      </c>
      <c r="D49" s="5" t="n">
        <v>2022</v>
      </c>
      <c r="E49" s="5" t="s">
        <v>1799</v>
      </c>
      <c r="F49" s="5" t="s">
        <v>1800</v>
      </c>
      <c r="G49" s="5" t="s">
        <v>1593</v>
      </c>
      <c r="H49" s="5" t="s">
        <v>1600</v>
      </c>
      <c r="I49" s="5" t="s">
        <v>1595</v>
      </c>
      <c r="J49" s="5"/>
      <c r="K49" s="5" t="s">
        <v>419</v>
      </c>
      <c r="L49" s="5" t="s">
        <v>1678</v>
      </c>
      <c r="M49" s="5" t="s">
        <v>1597</v>
      </c>
      <c r="N49" s="5" t="s">
        <v>1246</v>
      </c>
    </row>
    <row r="50" customFormat="false" ht="15" hidden="false" customHeight="true" outlineLevel="0" collapsed="false">
      <c r="A50" s="5" t="s">
        <v>1064</v>
      </c>
      <c r="B50" s="5" t="s">
        <v>1064</v>
      </c>
      <c r="C50" s="5" t="s">
        <v>79</v>
      </c>
      <c r="D50" s="5" t="n">
        <v>2022</v>
      </c>
      <c r="E50" s="5" t="s">
        <v>1801</v>
      </c>
      <c r="F50" s="5" t="s">
        <v>1802</v>
      </c>
      <c r="G50" s="5" t="s">
        <v>1593</v>
      </c>
      <c r="H50" s="5" t="s">
        <v>1765</v>
      </c>
      <c r="I50" s="5" t="s">
        <v>1712</v>
      </c>
      <c r="J50" s="5"/>
      <c r="K50" s="5" t="s">
        <v>440</v>
      </c>
      <c r="L50" s="5" t="s">
        <v>1803</v>
      </c>
      <c r="M50" s="5" t="s">
        <v>1597</v>
      </c>
      <c r="N50" s="5" t="s">
        <v>1246</v>
      </c>
    </row>
    <row r="51" customFormat="false" ht="15" hidden="false" customHeight="true" outlineLevel="0" collapsed="false">
      <c r="A51" s="5" t="s">
        <v>1064</v>
      </c>
      <c r="B51" s="5" t="s">
        <v>1064</v>
      </c>
      <c r="C51" s="5" t="s">
        <v>79</v>
      </c>
      <c r="D51" s="5" t="n">
        <v>2022</v>
      </c>
      <c r="E51" s="5" t="s">
        <v>1804</v>
      </c>
      <c r="F51" s="5" t="s">
        <v>1805</v>
      </c>
      <c r="G51" s="5" t="s">
        <v>1770</v>
      </c>
      <c r="H51" s="5" t="s">
        <v>1765</v>
      </c>
      <c r="I51" s="5" t="s">
        <v>1712</v>
      </c>
      <c r="J51" s="5"/>
      <c r="K51" s="5" t="s">
        <v>416</v>
      </c>
      <c r="L51" s="5" t="s">
        <v>1806</v>
      </c>
      <c r="M51" s="5" t="s">
        <v>1597</v>
      </c>
      <c r="N51" s="5" t="s">
        <v>1246</v>
      </c>
    </row>
    <row r="52" customFormat="false" ht="15" hidden="false" customHeight="true" outlineLevel="0" collapsed="false">
      <c r="A52" s="5" t="s">
        <v>1064</v>
      </c>
      <c r="B52" s="5" t="s">
        <v>1064</v>
      </c>
      <c r="C52" s="5" t="s">
        <v>79</v>
      </c>
      <c r="D52" s="5" t="n">
        <v>2022</v>
      </c>
      <c r="E52" s="5" t="s">
        <v>1807</v>
      </c>
      <c r="F52" s="5" t="s">
        <v>1808</v>
      </c>
      <c r="G52" s="5" t="s">
        <v>1770</v>
      </c>
      <c r="H52" s="5" t="s">
        <v>1765</v>
      </c>
      <c r="I52" s="5" t="s">
        <v>1712</v>
      </c>
      <c r="J52" s="5"/>
      <c r="K52" s="5" t="s">
        <v>485</v>
      </c>
      <c r="L52" s="5" t="s">
        <v>1809</v>
      </c>
      <c r="M52" s="5" t="s">
        <v>1597</v>
      </c>
      <c r="N52" s="5" t="s">
        <v>485</v>
      </c>
    </row>
    <row r="53" customFormat="false" ht="15" hidden="false" customHeight="true" outlineLevel="0" collapsed="false">
      <c r="A53" s="5" t="s">
        <v>1064</v>
      </c>
      <c r="B53" s="5" t="s">
        <v>1064</v>
      </c>
      <c r="C53" s="5" t="s">
        <v>79</v>
      </c>
      <c r="D53" s="5" t="n">
        <v>2022</v>
      </c>
      <c r="E53" s="5" t="s">
        <v>1810</v>
      </c>
      <c r="F53" s="5" t="s">
        <v>1811</v>
      </c>
      <c r="G53" s="5" t="s">
        <v>1812</v>
      </c>
      <c r="H53" s="5" t="s">
        <v>1765</v>
      </c>
      <c r="I53" s="5" t="s">
        <v>1712</v>
      </c>
      <c r="J53" s="5"/>
      <c r="K53" s="5" t="s">
        <v>485</v>
      </c>
      <c r="L53" s="5" t="s">
        <v>1713</v>
      </c>
      <c r="M53" s="5" t="s">
        <v>1597</v>
      </c>
      <c r="N53" s="5" t="s">
        <v>485</v>
      </c>
    </row>
    <row r="54" customFormat="false" ht="15" hidden="false" customHeight="true" outlineLevel="0" collapsed="false">
      <c r="A54" s="5" t="n">
        <v>171</v>
      </c>
      <c r="B54" s="5" t="n">
        <v>171</v>
      </c>
      <c r="C54" s="5" t="s">
        <v>1813</v>
      </c>
      <c r="D54" s="5" t="n">
        <v>2012</v>
      </c>
      <c r="E54" s="5" t="s">
        <v>1814</v>
      </c>
      <c r="F54" s="5" t="s">
        <v>1815</v>
      </c>
      <c r="G54" s="5" t="s">
        <v>1816</v>
      </c>
      <c r="H54" s="5" t="s">
        <v>1600</v>
      </c>
      <c r="I54" s="5" t="s">
        <v>1817</v>
      </c>
      <c r="J54" s="5"/>
      <c r="K54" s="5" t="s">
        <v>419</v>
      </c>
      <c r="L54" s="5" t="s">
        <v>1678</v>
      </c>
      <c r="M54" s="5" t="s">
        <v>1597</v>
      </c>
      <c r="N54" s="5" t="s">
        <v>1246</v>
      </c>
    </row>
    <row r="55" customFormat="false" ht="15" hidden="false" customHeight="true" outlineLevel="0" collapsed="false">
      <c r="A55" s="5" t="n">
        <v>171</v>
      </c>
      <c r="B55" s="5" t="n">
        <v>171</v>
      </c>
      <c r="C55" s="5" t="s">
        <v>1813</v>
      </c>
      <c r="D55" s="5" t="n">
        <v>2012</v>
      </c>
      <c r="E55" s="5" t="s">
        <v>1818</v>
      </c>
      <c r="F55" s="5" t="s">
        <v>1819</v>
      </c>
      <c r="G55" s="5" t="s">
        <v>1816</v>
      </c>
      <c r="H55" s="5" t="s">
        <v>1600</v>
      </c>
      <c r="I55" s="5" t="s">
        <v>1628</v>
      </c>
      <c r="J55" s="5" t="s">
        <v>1820</v>
      </c>
      <c r="K55" s="5" t="s">
        <v>434</v>
      </c>
      <c r="L55" s="5" t="s">
        <v>1682</v>
      </c>
      <c r="M55" s="5" t="s">
        <v>1597</v>
      </c>
      <c r="N55" s="5" t="s">
        <v>1246</v>
      </c>
    </row>
    <row r="56" customFormat="false" ht="15" hidden="false" customHeight="true" outlineLevel="0" collapsed="false">
      <c r="A56" s="5" t="n">
        <v>171</v>
      </c>
      <c r="B56" s="5" t="n">
        <v>171</v>
      </c>
      <c r="C56" s="5" t="s">
        <v>1813</v>
      </c>
      <c r="D56" s="5" t="n">
        <v>2012</v>
      </c>
      <c r="E56" s="5" t="s">
        <v>1821</v>
      </c>
      <c r="F56" s="5" t="s">
        <v>1822</v>
      </c>
      <c r="G56" s="5" t="s">
        <v>1823</v>
      </c>
      <c r="H56" s="5" t="s">
        <v>1824</v>
      </c>
      <c r="I56" s="5" t="s">
        <v>1817</v>
      </c>
      <c r="J56" s="5"/>
      <c r="K56" s="5" t="s">
        <v>422</v>
      </c>
      <c r="L56" s="5" t="s">
        <v>1825</v>
      </c>
      <c r="M56" s="5" t="s">
        <v>1597</v>
      </c>
      <c r="N56" s="5" t="s">
        <v>1246</v>
      </c>
    </row>
    <row r="57" customFormat="false" ht="15" hidden="false" customHeight="true" outlineLevel="0" collapsed="false">
      <c r="A57" s="5" t="n">
        <v>171</v>
      </c>
      <c r="B57" s="5" t="n">
        <v>171</v>
      </c>
      <c r="C57" s="5" t="s">
        <v>1813</v>
      </c>
      <c r="D57" s="5" t="n">
        <v>2012</v>
      </c>
      <c r="E57" s="5" t="s">
        <v>1826</v>
      </c>
      <c r="F57" s="5" t="s">
        <v>1827</v>
      </c>
      <c r="G57" s="5" t="s">
        <v>1823</v>
      </c>
      <c r="H57" s="5" t="s">
        <v>1824</v>
      </c>
      <c r="I57" s="5" t="s">
        <v>1707</v>
      </c>
      <c r="J57" s="5" t="s">
        <v>1820</v>
      </c>
      <c r="K57" s="5" t="s">
        <v>416</v>
      </c>
      <c r="L57" s="5" t="s">
        <v>1828</v>
      </c>
      <c r="M57" s="5" t="s">
        <v>1597</v>
      </c>
      <c r="N57" s="5" t="s">
        <v>1246</v>
      </c>
    </row>
    <row r="58" customFormat="false" ht="15" hidden="false" customHeight="true" outlineLevel="0" collapsed="false">
      <c r="A58" s="5" t="n">
        <v>172</v>
      </c>
      <c r="B58" s="5" t="n">
        <v>172</v>
      </c>
      <c r="C58" s="5" t="s">
        <v>1829</v>
      </c>
      <c r="D58" s="5" t="n">
        <v>2005</v>
      </c>
      <c r="E58" s="5" t="s">
        <v>1830</v>
      </c>
      <c r="F58" s="5" t="s">
        <v>1831</v>
      </c>
      <c r="G58" s="5" t="s">
        <v>1593</v>
      </c>
      <c r="H58" s="5" t="s">
        <v>1832</v>
      </c>
      <c r="I58" s="5" t="s">
        <v>1595</v>
      </c>
      <c r="J58" s="5"/>
      <c r="K58" s="5" t="s">
        <v>419</v>
      </c>
      <c r="L58" s="5" t="s">
        <v>1833</v>
      </c>
      <c r="M58" s="5" t="s">
        <v>1597</v>
      </c>
      <c r="N58" s="5" t="s">
        <v>1246</v>
      </c>
    </row>
    <row r="59" customFormat="false" ht="15" hidden="false" customHeight="true" outlineLevel="0" collapsed="false">
      <c r="A59" s="5" t="n">
        <v>172</v>
      </c>
      <c r="B59" s="5" t="n">
        <v>172</v>
      </c>
      <c r="C59" s="5" t="s">
        <v>1829</v>
      </c>
      <c r="D59" s="5" t="n">
        <v>2005</v>
      </c>
      <c r="E59" s="5" t="s">
        <v>1834</v>
      </c>
      <c r="F59" s="5" t="s">
        <v>1835</v>
      </c>
      <c r="G59" s="5" t="s">
        <v>1593</v>
      </c>
      <c r="H59" s="5" t="s">
        <v>1836</v>
      </c>
      <c r="I59" s="5" t="s">
        <v>1628</v>
      </c>
      <c r="J59" s="5" t="n">
        <v>10</v>
      </c>
      <c r="K59" s="5" t="s">
        <v>434</v>
      </c>
      <c r="L59" s="5" t="s">
        <v>1837</v>
      </c>
      <c r="M59" s="5" t="s">
        <v>1597</v>
      </c>
      <c r="N59" s="5" t="s">
        <v>1246</v>
      </c>
    </row>
    <row r="60" customFormat="false" ht="15" hidden="false" customHeight="true" outlineLevel="0" collapsed="false">
      <c r="A60" s="5" t="n">
        <v>172</v>
      </c>
      <c r="B60" s="5" t="n">
        <v>172</v>
      </c>
      <c r="C60" s="5" t="s">
        <v>1829</v>
      </c>
      <c r="D60" s="5" t="n">
        <v>2005</v>
      </c>
      <c r="E60" s="5" t="s">
        <v>1838</v>
      </c>
      <c r="F60" s="5" t="s">
        <v>1839</v>
      </c>
      <c r="G60" s="5" t="s">
        <v>1593</v>
      </c>
      <c r="H60" s="5" t="s">
        <v>1836</v>
      </c>
      <c r="I60" s="5" t="s">
        <v>1628</v>
      </c>
      <c r="J60" s="5" t="s">
        <v>1840</v>
      </c>
      <c r="K60" s="5" t="s">
        <v>434</v>
      </c>
      <c r="L60" s="5" t="s">
        <v>1841</v>
      </c>
      <c r="M60" s="5" t="s">
        <v>1614</v>
      </c>
      <c r="N60" s="5" t="s">
        <v>1842</v>
      </c>
    </row>
    <row r="61" customFormat="false" ht="15" hidden="false" customHeight="true" outlineLevel="0" collapsed="false">
      <c r="A61" s="5" t="n">
        <v>172</v>
      </c>
      <c r="B61" s="5" t="n">
        <v>172</v>
      </c>
      <c r="C61" s="5" t="s">
        <v>1829</v>
      </c>
      <c r="D61" s="5" t="n">
        <v>2005</v>
      </c>
      <c r="E61" s="5" t="s">
        <v>1843</v>
      </c>
      <c r="F61" s="5" t="s">
        <v>1844</v>
      </c>
      <c r="G61" s="5" t="s">
        <v>1593</v>
      </c>
      <c r="H61" s="5" t="s">
        <v>1836</v>
      </c>
      <c r="I61" s="5" t="s">
        <v>1845</v>
      </c>
      <c r="J61" s="5" t="n">
        <v>20</v>
      </c>
      <c r="K61" s="5" t="s">
        <v>434</v>
      </c>
      <c r="L61" s="5" t="s">
        <v>1846</v>
      </c>
      <c r="M61" s="5" t="s">
        <v>1614</v>
      </c>
      <c r="N61" s="5" t="s">
        <v>1752</v>
      </c>
    </row>
    <row r="62" customFormat="false" ht="15" hidden="false" customHeight="true" outlineLevel="0" collapsed="false">
      <c r="A62" s="5" t="n">
        <v>172</v>
      </c>
      <c r="B62" s="5" t="n">
        <v>172</v>
      </c>
      <c r="C62" s="5" t="s">
        <v>1829</v>
      </c>
      <c r="D62" s="5" t="n">
        <v>2005</v>
      </c>
      <c r="E62" s="5" t="s">
        <v>1847</v>
      </c>
      <c r="F62" s="5" t="s">
        <v>1848</v>
      </c>
      <c r="G62" s="5" t="s">
        <v>1593</v>
      </c>
      <c r="H62" s="5" t="s">
        <v>1836</v>
      </c>
      <c r="I62" s="5" t="s">
        <v>1849</v>
      </c>
      <c r="J62" s="5" t="n">
        <v>20</v>
      </c>
      <c r="K62" s="5" t="s">
        <v>485</v>
      </c>
      <c r="L62" s="5" t="s">
        <v>1850</v>
      </c>
      <c r="M62" s="5" t="s">
        <v>1597</v>
      </c>
      <c r="N62" s="5" t="s">
        <v>485</v>
      </c>
    </row>
    <row r="63" customFormat="false" ht="15" hidden="false" customHeight="true" outlineLevel="0" collapsed="false">
      <c r="A63" s="5" t="n">
        <v>172</v>
      </c>
      <c r="B63" s="5" t="n">
        <v>172</v>
      </c>
      <c r="C63" s="5" t="s">
        <v>1829</v>
      </c>
      <c r="D63" s="5" t="n">
        <v>2005</v>
      </c>
      <c r="E63" s="5" t="s">
        <v>1851</v>
      </c>
      <c r="F63" s="5" t="s">
        <v>1852</v>
      </c>
      <c r="G63" s="5" t="s">
        <v>1593</v>
      </c>
      <c r="H63" s="5" t="s">
        <v>1836</v>
      </c>
      <c r="I63" s="5" t="s">
        <v>686</v>
      </c>
      <c r="J63" s="5"/>
      <c r="K63" s="5" t="s">
        <v>485</v>
      </c>
      <c r="L63" s="5" t="s">
        <v>1853</v>
      </c>
      <c r="M63" s="5" t="s">
        <v>1597</v>
      </c>
      <c r="N63" s="5" t="s">
        <v>485</v>
      </c>
    </row>
    <row r="64" customFormat="false" ht="15" hidden="false" customHeight="true" outlineLevel="0" collapsed="false">
      <c r="A64" s="5" t="s">
        <v>1115</v>
      </c>
      <c r="B64" s="5" t="s">
        <v>1115</v>
      </c>
      <c r="C64" s="5" t="s">
        <v>1854</v>
      </c>
      <c r="D64" s="5" t="n">
        <v>2023</v>
      </c>
      <c r="E64" s="5" t="s">
        <v>419</v>
      </c>
      <c r="F64" s="5" t="s">
        <v>1855</v>
      </c>
      <c r="G64" s="5" t="s">
        <v>1816</v>
      </c>
      <c r="H64" s="5" t="s">
        <v>1600</v>
      </c>
      <c r="I64" s="5" t="s">
        <v>1856</v>
      </c>
      <c r="J64" s="5" t="n">
        <v>0.7</v>
      </c>
      <c r="K64" s="5" t="s">
        <v>419</v>
      </c>
      <c r="L64" s="5" t="s">
        <v>1857</v>
      </c>
      <c r="M64" s="5" t="s">
        <v>1597</v>
      </c>
      <c r="N64" s="5" t="s">
        <v>1246</v>
      </c>
    </row>
    <row r="65" customFormat="false" ht="15" hidden="false" customHeight="true" outlineLevel="0" collapsed="false">
      <c r="A65" s="5" t="s">
        <v>1115</v>
      </c>
      <c r="B65" s="5" t="s">
        <v>1115</v>
      </c>
      <c r="C65" s="5" t="s">
        <v>1854</v>
      </c>
      <c r="D65" s="5" t="n">
        <v>2023</v>
      </c>
      <c r="E65" s="5" t="s">
        <v>416</v>
      </c>
      <c r="F65" s="5" t="s">
        <v>1858</v>
      </c>
      <c r="G65" s="5" t="s">
        <v>1859</v>
      </c>
      <c r="H65" s="5" t="s">
        <v>1797</v>
      </c>
      <c r="I65" s="5" t="s">
        <v>1712</v>
      </c>
      <c r="J65" s="5" t="n">
        <v>3</v>
      </c>
      <c r="K65" s="5" t="s">
        <v>428</v>
      </c>
      <c r="L65" s="5" t="s">
        <v>1857</v>
      </c>
      <c r="M65" s="5" t="s">
        <v>1597</v>
      </c>
      <c r="N65" s="5" t="s">
        <v>1246</v>
      </c>
    </row>
    <row r="66" customFormat="false" ht="15" hidden="false" customHeight="true" outlineLevel="0" collapsed="false">
      <c r="A66" s="5" t="s">
        <v>1115</v>
      </c>
      <c r="B66" s="5" t="s">
        <v>1115</v>
      </c>
      <c r="C66" s="5" t="s">
        <v>1854</v>
      </c>
      <c r="D66" s="5" t="n">
        <v>2023</v>
      </c>
      <c r="E66" s="5" t="s">
        <v>1860</v>
      </c>
      <c r="F66" s="5" t="s">
        <v>1861</v>
      </c>
      <c r="G66" s="5" t="s">
        <v>1816</v>
      </c>
      <c r="H66" s="5" t="s">
        <v>1797</v>
      </c>
      <c r="I66" s="5" t="s">
        <v>1712</v>
      </c>
      <c r="J66" s="5" t="n">
        <v>3</v>
      </c>
      <c r="K66" s="5" t="s">
        <v>449</v>
      </c>
      <c r="L66" s="5" t="s">
        <v>1862</v>
      </c>
      <c r="M66" s="5" t="s">
        <v>1597</v>
      </c>
      <c r="N66" s="5" t="s">
        <v>1246</v>
      </c>
    </row>
    <row r="67" customFormat="false" ht="15" hidden="false" customHeight="true" outlineLevel="0" collapsed="false">
      <c r="A67" s="5" t="n">
        <v>173</v>
      </c>
      <c r="B67" s="5" t="n">
        <v>173</v>
      </c>
      <c r="C67" s="5" t="s">
        <v>1863</v>
      </c>
      <c r="D67" s="5" t="n">
        <v>2023</v>
      </c>
      <c r="E67" s="5" t="s">
        <v>1864</v>
      </c>
      <c r="F67" s="5" t="s">
        <v>1865</v>
      </c>
      <c r="G67" s="5" t="s">
        <v>1866</v>
      </c>
      <c r="H67" s="5" t="s">
        <v>1600</v>
      </c>
      <c r="I67" s="5" t="s">
        <v>1595</v>
      </c>
      <c r="J67" s="5"/>
      <c r="K67" s="5" t="s">
        <v>425</v>
      </c>
      <c r="L67" s="5" t="s">
        <v>1867</v>
      </c>
      <c r="M67" s="5" t="s">
        <v>1597</v>
      </c>
      <c r="N67" s="5" t="s">
        <v>1747</v>
      </c>
    </row>
    <row r="68" customFormat="false" ht="15" hidden="false" customHeight="true" outlineLevel="0" collapsed="false">
      <c r="A68" s="5" t="n">
        <v>173</v>
      </c>
      <c r="B68" s="5" t="n">
        <v>173</v>
      </c>
      <c r="C68" s="5" t="s">
        <v>1863</v>
      </c>
      <c r="D68" s="5" t="n">
        <v>2023</v>
      </c>
      <c r="E68" s="5" t="s">
        <v>1868</v>
      </c>
      <c r="F68" s="5" t="s">
        <v>1869</v>
      </c>
      <c r="G68" s="5" t="s">
        <v>1870</v>
      </c>
      <c r="H68" s="5" t="s">
        <v>1871</v>
      </c>
      <c r="I68" s="5" t="s">
        <v>1595</v>
      </c>
      <c r="J68" s="5"/>
      <c r="K68" s="5" t="s">
        <v>419</v>
      </c>
      <c r="L68" s="5" t="s">
        <v>1872</v>
      </c>
      <c r="M68" s="5" t="s">
        <v>1614</v>
      </c>
      <c r="N68" s="5" t="s">
        <v>1752</v>
      </c>
    </row>
    <row r="69" customFormat="false" ht="15" hidden="false" customHeight="true" outlineLevel="0" collapsed="false">
      <c r="A69" s="5" t="n">
        <v>173</v>
      </c>
      <c r="B69" s="5" t="n">
        <v>173</v>
      </c>
      <c r="C69" s="5" t="s">
        <v>1863</v>
      </c>
      <c r="D69" s="5" t="n">
        <v>2023</v>
      </c>
      <c r="E69" s="5" t="s">
        <v>1873</v>
      </c>
      <c r="F69" s="5" t="s">
        <v>1874</v>
      </c>
      <c r="G69" s="5" t="s">
        <v>1875</v>
      </c>
      <c r="H69" s="5" t="s">
        <v>1876</v>
      </c>
      <c r="I69" s="5" t="s">
        <v>1712</v>
      </c>
      <c r="J69" s="5" t="s">
        <v>1877</v>
      </c>
      <c r="K69" s="5" t="s">
        <v>416</v>
      </c>
      <c r="L69" s="5" t="s">
        <v>1878</v>
      </c>
      <c r="M69" s="5" t="s">
        <v>1597</v>
      </c>
      <c r="N69" s="5" t="s">
        <v>1246</v>
      </c>
    </row>
    <row r="70" customFormat="false" ht="15" hidden="false" customHeight="true" outlineLevel="0" collapsed="false">
      <c r="A70" s="5" t="n">
        <v>173</v>
      </c>
      <c r="B70" s="5" t="n">
        <v>173</v>
      </c>
      <c r="C70" s="5" t="s">
        <v>1863</v>
      </c>
      <c r="D70" s="5" t="n">
        <v>2023</v>
      </c>
      <c r="E70" s="5" t="s">
        <v>1879</v>
      </c>
      <c r="F70" s="5" t="s">
        <v>1880</v>
      </c>
      <c r="G70" s="5" t="s">
        <v>1875</v>
      </c>
      <c r="H70" s="5" t="s">
        <v>1876</v>
      </c>
      <c r="I70" s="5" t="s">
        <v>1881</v>
      </c>
      <c r="J70" s="5" t="s">
        <v>1882</v>
      </c>
      <c r="K70" s="5" t="s">
        <v>416</v>
      </c>
      <c r="L70" s="5" t="s">
        <v>1883</v>
      </c>
      <c r="M70" s="5" t="s">
        <v>1597</v>
      </c>
      <c r="N70" s="5" t="s">
        <v>1842</v>
      </c>
    </row>
    <row r="71" customFormat="false" ht="15" hidden="false" customHeight="true" outlineLevel="0" collapsed="false">
      <c r="A71" s="24" t="n">
        <v>174</v>
      </c>
      <c r="B71" s="24" t="n">
        <v>174</v>
      </c>
      <c r="C71" s="24" t="s">
        <v>1757</v>
      </c>
      <c r="D71" s="24" t="n">
        <v>2017</v>
      </c>
      <c r="E71" s="24" t="s">
        <v>1884</v>
      </c>
      <c r="F71" s="24" t="s">
        <v>1885</v>
      </c>
      <c r="G71" s="24" t="s">
        <v>1816</v>
      </c>
      <c r="H71" s="24" t="s">
        <v>1876</v>
      </c>
      <c r="I71" s="24" t="s">
        <v>1595</v>
      </c>
      <c r="J71" s="24"/>
      <c r="K71" s="24" t="s">
        <v>443</v>
      </c>
      <c r="L71" s="24" t="s">
        <v>1886</v>
      </c>
      <c r="M71" s="24" t="s">
        <v>1597</v>
      </c>
      <c r="N71" s="24" t="s">
        <v>1246</v>
      </c>
    </row>
    <row r="72" customFormat="false" ht="15" hidden="false" customHeight="true" outlineLevel="0" collapsed="false">
      <c r="A72" s="24" t="n">
        <v>174</v>
      </c>
      <c r="B72" s="24" t="n">
        <v>174</v>
      </c>
      <c r="C72" s="24" t="s">
        <v>1757</v>
      </c>
      <c r="D72" s="24" t="n">
        <v>2017</v>
      </c>
      <c r="E72" s="24" t="s">
        <v>1887</v>
      </c>
      <c r="F72" s="24" t="s">
        <v>1888</v>
      </c>
      <c r="G72" s="24" t="s">
        <v>1816</v>
      </c>
      <c r="H72" s="24" t="s">
        <v>1876</v>
      </c>
      <c r="I72" s="24" t="s">
        <v>1712</v>
      </c>
      <c r="J72" s="24" t="n">
        <v>8</v>
      </c>
      <c r="K72" s="24" t="s">
        <v>440</v>
      </c>
      <c r="L72" s="24" t="s">
        <v>1889</v>
      </c>
      <c r="M72" s="24" t="s">
        <v>1597</v>
      </c>
      <c r="N72" s="24" t="s">
        <v>1842</v>
      </c>
    </row>
    <row r="73" customFormat="false" ht="15" hidden="false" customHeight="true" outlineLevel="0" collapsed="false">
      <c r="A73" s="24" t="n">
        <v>174</v>
      </c>
      <c r="B73" s="24" t="n">
        <v>174</v>
      </c>
      <c r="C73" s="24" t="s">
        <v>1757</v>
      </c>
      <c r="D73" s="24" t="n">
        <v>2017</v>
      </c>
      <c r="E73" s="24" t="s">
        <v>1890</v>
      </c>
      <c r="F73" s="24" t="s">
        <v>1891</v>
      </c>
      <c r="G73" s="24" t="s">
        <v>1892</v>
      </c>
      <c r="H73" s="24" t="s">
        <v>1876</v>
      </c>
      <c r="I73" s="24" t="s">
        <v>1595</v>
      </c>
      <c r="J73" s="24"/>
      <c r="K73" s="24" t="s">
        <v>422</v>
      </c>
      <c r="L73" s="24" t="s">
        <v>1893</v>
      </c>
      <c r="M73" s="24" t="s">
        <v>1614</v>
      </c>
      <c r="N73" s="24" t="s">
        <v>1842</v>
      </c>
    </row>
    <row r="74" customFormat="false" ht="15" hidden="false" customHeight="true" outlineLevel="0" collapsed="false">
      <c r="A74" s="24" t="n">
        <v>174</v>
      </c>
      <c r="B74" s="24" t="n">
        <v>174</v>
      </c>
      <c r="C74" s="24" t="s">
        <v>1757</v>
      </c>
      <c r="D74" s="24" t="n">
        <v>2017</v>
      </c>
      <c r="E74" s="24" t="s">
        <v>1894</v>
      </c>
      <c r="F74" s="24" t="s">
        <v>1895</v>
      </c>
      <c r="G74" s="24" t="s">
        <v>1892</v>
      </c>
      <c r="H74" s="24" t="s">
        <v>1876</v>
      </c>
      <c r="I74" s="24" t="s">
        <v>1712</v>
      </c>
      <c r="J74" s="24" t="n">
        <v>8</v>
      </c>
      <c r="K74" s="24" t="s">
        <v>416</v>
      </c>
      <c r="L74" s="24" t="s">
        <v>1896</v>
      </c>
      <c r="M74" s="24" t="s">
        <v>1614</v>
      </c>
      <c r="N74" s="24" t="s">
        <v>1842</v>
      </c>
    </row>
    <row r="75" customFormat="false" ht="15" hidden="false" customHeight="true" outlineLevel="0" collapsed="false">
      <c r="A75" s="24" t="n">
        <v>174</v>
      </c>
      <c r="B75" s="24" t="n">
        <v>174</v>
      </c>
      <c r="C75" s="24" t="s">
        <v>1757</v>
      </c>
      <c r="D75" s="24" t="n">
        <v>2017</v>
      </c>
      <c r="E75" s="24" t="s">
        <v>1897</v>
      </c>
      <c r="F75" s="24" t="s">
        <v>1898</v>
      </c>
      <c r="G75" s="24" t="s">
        <v>1876</v>
      </c>
      <c r="H75" s="24" t="s">
        <v>1876</v>
      </c>
      <c r="I75" s="24" t="s">
        <v>1595</v>
      </c>
      <c r="J75" s="24"/>
      <c r="K75" s="24" t="s">
        <v>422</v>
      </c>
      <c r="L75" s="24" t="s">
        <v>1899</v>
      </c>
      <c r="M75" s="24" t="s">
        <v>1597</v>
      </c>
      <c r="N75" s="24" t="s">
        <v>1246</v>
      </c>
    </row>
    <row r="76" customFormat="false" ht="15" hidden="false" customHeight="true" outlineLevel="0" collapsed="false">
      <c r="A76" s="24" t="n">
        <v>174</v>
      </c>
      <c r="B76" s="24" t="n">
        <v>174</v>
      </c>
      <c r="C76" s="24" t="s">
        <v>1757</v>
      </c>
      <c r="D76" s="24" t="n">
        <v>2017</v>
      </c>
      <c r="E76" s="24" t="s">
        <v>1900</v>
      </c>
      <c r="F76" s="24" t="s">
        <v>1901</v>
      </c>
      <c r="G76" s="24" t="s">
        <v>1876</v>
      </c>
      <c r="H76" s="24" t="s">
        <v>1876</v>
      </c>
      <c r="I76" s="24" t="s">
        <v>1712</v>
      </c>
      <c r="J76" s="24" t="n">
        <v>8</v>
      </c>
      <c r="K76" s="24" t="s">
        <v>416</v>
      </c>
      <c r="L76" s="24" t="s">
        <v>1902</v>
      </c>
      <c r="M76" s="24" t="s">
        <v>1597</v>
      </c>
      <c r="N76" s="24" t="s">
        <v>1246</v>
      </c>
    </row>
    <row r="77" customFormat="false" ht="15" hidden="false" customHeight="true" outlineLevel="0" collapsed="false">
      <c r="A77" s="24" t="n">
        <v>175</v>
      </c>
      <c r="B77" s="24" t="n">
        <v>175</v>
      </c>
      <c r="C77" s="24" t="s">
        <v>1903</v>
      </c>
      <c r="D77" s="24" t="n">
        <v>2022</v>
      </c>
      <c r="E77" s="24" t="s">
        <v>1904</v>
      </c>
      <c r="F77" s="24" t="s">
        <v>1905</v>
      </c>
      <c r="G77" s="24" t="s">
        <v>1816</v>
      </c>
      <c r="H77" s="24" t="s">
        <v>1600</v>
      </c>
      <c r="I77" s="24" t="s">
        <v>1595</v>
      </c>
      <c r="J77" s="24"/>
      <c r="K77" s="24" t="s">
        <v>419</v>
      </c>
      <c r="L77" s="24" t="s">
        <v>1678</v>
      </c>
      <c r="M77" s="24" t="s">
        <v>1597</v>
      </c>
      <c r="N77" s="24" t="s">
        <v>1246</v>
      </c>
    </row>
    <row r="78" customFormat="false" ht="15" hidden="false" customHeight="true" outlineLevel="0" collapsed="false">
      <c r="A78" s="24" t="n">
        <v>175</v>
      </c>
      <c r="B78" s="24" t="n">
        <v>175</v>
      </c>
      <c r="C78" s="24" t="s">
        <v>1903</v>
      </c>
      <c r="D78" s="24" t="n">
        <v>2022</v>
      </c>
      <c r="E78" s="24" t="s">
        <v>1906</v>
      </c>
      <c r="F78" s="24" t="s">
        <v>1907</v>
      </c>
      <c r="G78" s="24" t="s">
        <v>1796</v>
      </c>
      <c r="H78" s="24" t="s">
        <v>1908</v>
      </c>
      <c r="I78" s="24" t="s">
        <v>1909</v>
      </c>
      <c r="J78" s="24"/>
      <c r="K78" s="24" t="s">
        <v>428</v>
      </c>
      <c r="L78" s="24" t="s">
        <v>1910</v>
      </c>
      <c r="M78" s="24" t="s">
        <v>1597</v>
      </c>
      <c r="N78" s="24" t="s">
        <v>1246</v>
      </c>
    </row>
    <row r="79" customFormat="false" ht="15" hidden="false" customHeight="true" outlineLevel="0" collapsed="false">
      <c r="A79" s="24" t="n">
        <v>176</v>
      </c>
      <c r="B79" s="24" t="n">
        <v>176</v>
      </c>
      <c r="C79" s="24" t="s">
        <v>1911</v>
      </c>
      <c r="D79" s="24" t="n">
        <v>2015</v>
      </c>
      <c r="E79" s="24" t="s">
        <v>1912</v>
      </c>
      <c r="F79" s="24" t="s">
        <v>1913</v>
      </c>
      <c r="G79" s="24" t="s">
        <v>1914</v>
      </c>
      <c r="H79" s="24" t="s">
        <v>1915</v>
      </c>
      <c r="I79" s="24" t="s">
        <v>1916</v>
      </c>
      <c r="J79" s="24"/>
      <c r="K79" s="24" t="s">
        <v>422</v>
      </c>
      <c r="L79" s="24" t="s">
        <v>1917</v>
      </c>
      <c r="M79" s="24" t="s">
        <v>1597</v>
      </c>
      <c r="N79" s="24" t="s">
        <v>1246</v>
      </c>
    </row>
    <row r="80" customFormat="false" ht="15" hidden="false" customHeight="true" outlineLevel="0" collapsed="false">
      <c r="A80" s="24" t="n">
        <v>176</v>
      </c>
      <c r="B80" s="24" t="n">
        <v>176</v>
      </c>
      <c r="C80" s="24" t="s">
        <v>1911</v>
      </c>
      <c r="D80" s="24" t="n">
        <v>2015</v>
      </c>
      <c r="E80" s="24" t="s">
        <v>1918</v>
      </c>
      <c r="F80" s="24" t="s">
        <v>1919</v>
      </c>
      <c r="G80" s="24" t="s">
        <v>1914</v>
      </c>
      <c r="H80" s="24" t="s">
        <v>1915</v>
      </c>
      <c r="I80" s="24" t="s">
        <v>1712</v>
      </c>
      <c r="J80" s="24" t="s">
        <v>1920</v>
      </c>
      <c r="K80" s="24" t="s">
        <v>416</v>
      </c>
      <c r="L80" s="24" t="s">
        <v>1921</v>
      </c>
      <c r="M80" s="24" t="s">
        <v>1597</v>
      </c>
      <c r="N80" s="24" t="s">
        <v>1246</v>
      </c>
    </row>
    <row r="81" customFormat="false" ht="15" hidden="false" customHeight="true" outlineLevel="0" collapsed="false">
      <c r="A81" s="24" t="n">
        <v>176</v>
      </c>
      <c r="B81" s="24" t="n">
        <v>176</v>
      </c>
      <c r="C81" s="24" t="s">
        <v>1911</v>
      </c>
      <c r="D81" s="24" t="n">
        <v>2015</v>
      </c>
      <c r="E81" s="24" t="s">
        <v>1922</v>
      </c>
      <c r="F81" s="24" t="s">
        <v>1923</v>
      </c>
      <c r="G81" s="24" t="s">
        <v>1876</v>
      </c>
      <c r="H81" s="24" t="s">
        <v>1915</v>
      </c>
      <c r="I81" s="24" t="s">
        <v>1595</v>
      </c>
      <c r="J81" s="24"/>
      <c r="K81" s="24" t="s">
        <v>422</v>
      </c>
      <c r="L81" s="24" t="s">
        <v>1924</v>
      </c>
      <c r="M81" s="24" t="s">
        <v>1597</v>
      </c>
      <c r="N81" s="24" t="s">
        <v>1246</v>
      </c>
    </row>
    <row r="82" customFormat="false" ht="15" hidden="false" customHeight="true" outlineLevel="0" collapsed="false">
      <c r="A82" s="24" t="n">
        <v>176</v>
      </c>
      <c r="B82" s="24" t="n">
        <v>176</v>
      </c>
      <c r="C82" s="24" t="s">
        <v>1911</v>
      </c>
      <c r="D82" s="24" t="n">
        <v>2015</v>
      </c>
      <c r="E82" s="24" t="s">
        <v>1925</v>
      </c>
      <c r="F82" s="24" t="s">
        <v>1926</v>
      </c>
      <c r="G82" s="24" t="s">
        <v>1876</v>
      </c>
      <c r="H82" s="24" t="s">
        <v>1915</v>
      </c>
      <c r="I82" s="24" t="s">
        <v>1712</v>
      </c>
      <c r="J82" s="24" t="s">
        <v>1920</v>
      </c>
      <c r="K82" s="24" t="s">
        <v>416</v>
      </c>
      <c r="L82" s="24" t="s">
        <v>1927</v>
      </c>
      <c r="M82" s="24" t="s">
        <v>1597</v>
      </c>
      <c r="N82" s="24" t="s">
        <v>1246</v>
      </c>
    </row>
    <row r="83" customFormat="false" ht="15" hidden="false" customHeight="true" outlineLevel="0" collapsed="false">
      <c r="A83" s="24" t="n">
        <v>176</v>
      </c>
      <c r="B83" s="24" t="n">
        <v>176</v>
      </c>
      <c r="C83" s="24" t="s">
        <v>1911</v>
      </c>
      <c r="D83" s="24" t="n">
        <v>2015</v>
      </c>
      <c r="E83" s="24" t="s">
        <v>1928</v>
      </c>
      <c r="F83" s="24" t="s">
        <v>1929</v>
      </c>
      <c r="G83" s="24" t="s">
        <v>1930</v>
      </c>
      <c r="H83" s="24" t="s">
        <v>1915</v>
      </c>
      <c r="I83" s="24" t="s">
        <v>1595</v>
      </c>
      <c r="J83" s="24"/>
      <c r="K83" s="24" t="s">
        <v>1931</v>
      </c>
      <c r="L83" s="24" t="s">
        <v>1932</v>
      </c>
      <c r="M83" s="24" t="s">
        <v>1933</v>
      </c>
      <c r="N83" s="24" t="s">
        <v>1934</v>
      </c>
    </row>
    <row r="84" customFormat="false" ht="15" hidden="false" customHeight="true" outlineLevel="0" collapsed="false">
      <c r="A84" s="24" t="s">
        <v>1214</v>
      </c>
      <c r="B84" s="24" t="s">
        <v>1214</v>
      </c>
      <c r="C84" s="24" t="s">
        <v>1911</v>
      </c>
      <c r="D84" s="24" t="n">
        <v>2015</v>
      </c>
      <c r="E84" s="24" t="s">
        <v>1935</v>
      </c>
      <c r="F84" s="24" t="s">
        <v>1219</v>
      </c>
      <c r="G84" s="24" t="s">
        <v>1876</v>
      </c>
      <c r="H84" s="24" t="s">
        <v>1876</v>
      </c>
      <c r="I84" s="24" t="s">
        <v>1936</v>
      </c>
      <c r="J84" s="24"/>
      <c r="K84" s="24" t="s">
        <v>1937</v>
      </c>
      <c r="L84" s="24" t="s">
        <v>1938</v>
      </c>
      <c r="M84" s="24" t="s">
        <v>1597</v>
      </c>
      <c r="N84" s="24" t="s">
        <v>1246</v>
      </c>
    </row>
    <row r="85" customFormat="false" ht="15" hidden="false" customHeight="true" outlineLevel="0" collapsed="false">
      <c r="A85" s="24" t="s">
        <v>1214</v>
      </c>
      <c r="B85" s="24" t="s">
        <v>1214</v>
      </c>
      <c r="C85" s="24" t="s">
        <v>1911</v>
      </c>
      <c r="D85" s="24" t="n">
        <v>2015</v>
      </c>
      <c r="E85" s="24" t="s">
        <v>1939</v>
      </c>
      <c r="F85" s="24" t="s">
        <v>1219</v>
      </c>
      <c r="G85" s="24" t="s">
        <v>1940</v>
      </c>
      <c r="H85" s="24" t="s">
        <v>1876</v>
      </c>
      <c r="I85" s="24" t="s">
        <v>1595</v>
      </c>
      <c r="J85" s="24"/>
      <c r="K85" s="24" t="s">
        <v>1931</v>
      </c>
      <c r="L85" s="24" t="s">
        <v>1219</v>
      </c>
      <c r="M85" s="24" t="s">
        <v>1933</v>
      </c>
      <c r="N85" s="24" t="s">
        <v>1934</v>
      </c>
    </row>
    <row r="86" customFormat="false" ht="15" hidden="false" customHeight="true" outlineLevel="0" collapsed="false">
      <c r="A86" s="24" t="s">
        <v>1214</v>
      </c>
      <c r="B86" s="24" t="s">
        <v>1214</v>
      </c>
      <c r="C86" s="24" t="s">
        <v>1911</v>
      </c>
      <c r="D86" s="24" t="n">
        <v>2015</v>
      </c>
      <c r="E86" s="24" t="s">
        <v>1941</v>
      </c>
      <c r="F86" s="24" t="s">
        <v>1942</v>
      </c>
      <c r="G86" s="24" t="s">
        <v>686</v>
      </c>
      <c r="H86" s="24" t="s">
        <v>686</v>
      </c>
      <c r="I86" s="24" t="s">
        <v>1595</v>
      </c>
      <c r="J86" s="24"/>
      <c r="K86" s="24" t="s">
        <v>485</v>
      </c>
      <c r="L86" s="24" t="s">
        <v>1943</v>
      </c>
      <c r="M86" s="24" t="s">
        <v>1597</v>
      </c>
      <c r="N86" s="24" t="s">
        <v>485</v>
      </c>
    </row>
    <row r="87" customFormat="false" ht="15" hidden="false" customHeight="true" outlineLevel="0" collapsed="false">
      <c r="A87" s="24" t="s">
        <v>1225</v>
      </c>
      <c r="B87" s="24" t="s">
        <v>1225</v>
      </c>
      <c r="C87" s="24" t="s">
        <v>1944</v>
      </c>
      <c r="D87" s="24" t="n">
        <v>2018</v>
      </c>
      <c r="E87" s="24" t="s">
        <v>1945</v>
      </c>
      <c r="F87" s="24" t="s">
        <v>1946</v>
      </c>
      <c r="G87" s="24" t="s">
        <v>1816</v>
      </c>
      <c r="H87" s="24" t="s">
        <v>1600</v>
      </c>
      <c r="I87" s="24" t="s">
        <v>1595</v>
      </c>
      <c r="J87" s="24"/>
      <c r="K87" s="24" t="s">
        <v>419</v>
      </c>
      <c r="L87" s="24" t="s">
        <v>1947</v>
      </c>
      <c r="M87" s="24" t="s">
        <v>1597</v>
      </c>
      <c r="N87" s="24" t="s">
        <v>1246</v>
      </c>
    </row>
    <row r="88" customFormat="false" ht="15" hidden="false" customHeight="true" outlineLevel="0" collapsed="false">
      <c r="A88" s="24" t="s">
        <v>1225</v>
      </c>
      <c r="B88" s="24" t="s">
        <v>1225</v>
      </c>
      <c r="C88" s="24" t="s">
        <v>1944</v>
      </c>
      <c r="D88" s="24" t="n">
        <v>2018</v>
      </c>
      <c r="E88" s="24" t="s">
        <v>1948</v>
      </c>
      <c r="F88" s="24" t="s">
        <v>1949</v>
      </c>
      <c r="G88" s="24" t="s">
        <v>1816</v>
      </c>
      <c r="H88" s="24" t="s">
        <v>1876</v>
      </c>
      <c r="I88" s="24" t="s">
        <v>1950</v>
      </c>
      <c r="J88" s="24"/>
      <c r="K88" s="24" t="s">
        <v>440</v>
      </c>
      <c r="L88" s="24" t="s">
        <v>1951</v>
      </c>
      <c r="M88" s="24" t="s">
        <v>1614</v>
      </c>
      <c r="N88" s="24" t="s">
        <v>1842</v>
      </c>
    </row>
    <row r="89" customFormat="false" ht="15" hidden="false" customHeight="true" outlineLevel="0" collapsed="false">
      <c r="A89" s="24" t="s">
        <v>1225</v>
      </c>
      <c r="B89" s="24" t="s">
        <v>1225</v>
      </c>
      <c r="C89" s="24" t="s">
        <v>1944</v>
      </c>
      <c r="D89" s="24" t="n">
        <v>2018</v>
      </c>
      <c r="E89" s="24" t="s">
        <v>1952</v>
      </c>
      <c r="F89" s="24" t="s">
        <v>1953</v>
      </c>
      <c r="G89" s="24" t="s">
        <v>1876</v>
      </c>
      <c r="H89" s="24" t="s">
        <v>1876</v>
      </c>
      <c r="I89" s="24" t="s">
        <v>1950</v>
      </c>
      <c r="J89" s="24"/>
      <c r="K89" s="24" t="s">
        <v>416</v>
      </c>
      <c r="L89" s="24" t="s">
        <v>1954</v>
      </c>
      <c r="M89" s="24" t="s">
        <v>1614</v>
      </c>
      <c r="N89" s="24" t="s">
        <v>1842</v>
      </c>
    </row>
    <row r="90" customFormat="false" ht="15" hidden="false" customHeight="true" outlineLevel="0" collapsed="false">
      <c r="A90" s="24" t="s">
        <v>1225</v>
      </c>
      <c r="B90" s="24" t="s">
        <v>1225</v>
      </c>
      <c r="C90" s="24" t="s">
        <v>1944</v>
      </c>
      <c r="D90" s="24" t="n">
        <v>2018</v>
      </c>
      <c r="E90" s="24" t="s">
        <v>1955</v>
      </c>
      <c r="F90" s="24" t="s">
        <v>1956</v>
      </c>
      <c r="G90" s="24" t="s">
        <v>1957</v>
      </c>
      <c r="H90" s="24" t="s">
        <v>1876</v>
      </c>
      <c r="I90" s="24" t="s">
        <v>1950</v>
      </c>
      <c r="J90" s="24"/>
      <c r="K90" s="24" t="s">
        <v>416</v>
      </c>
      <c r="L90" s="24" t="s">
        <v>1958</v>
      </c>
      <c r="M90" s="24" t="s">
        <v>1614</v>
      </c>
      <c r="N90" s="24" t="s">
        <v>1842</v>
      </c>
    </row>
    <row r="91" customFormat="false" ht="15" hidden="false" customHeight="true" outlineLevel="0" collapsed="false">
      <c r="A91" s="24" t="s">
        <v>1225</v>
      </c>
      <c r="B91" s="24" t="s">
        <v>1225</v>
      </c>
      <c r="C91" s="24" t="s">
        <v>1944</v>
      </c>
      <c r="D91" s="24" t="n">
        <v>2018</v>
      </c>
      <c r="E91" s="24" t="s">
        <v>1959</v>
      </c>
      <c r="F91" s="24" t="s">
        <v>1960</v>
      </c>
      <c r="G91" s="24" t="s">
        <v>686</v>
      </c>
      <c r="H91" s="24" t="s">
        <v>686</v>
      </c>
      <c r="I91" s="24" t="s">
        <v>686</v>
      </c>
      <c r="J91" s="24"/>
      <c r="K91" s="24" t="s">
        <v>485</v>
      </c>
      <c r="L91" s="24" t="s">
        <v>1961</v>
      </c>
      <c r="M91" s="24" t="s">
        <v>1597</v>
      </c>
      <c r="N91" s="24" t="s">
        <v>485</v>
      </c>
    </row>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816</v>
      </c>
      <c r="H1" s="20" t="s">
        <v>817</v>
      </c>
      <c r="I1" s="20" t="s">
        <v>62</v>
      </c>
      <c r="J1" s="20" t="s">
        <v>63</v>
      </c>
      <c r="K1" s="20" t="s">
        <v>818</v>
      </c>
      <c r="L1" s="20" t="s">
        <v>64</v>
      </c>
      <c r="M1" s="20" t="s">
        <v>1962</v>
      </c>
    </row>
    <row r="2" customFormat="false" ht="15" hidden="false" customHeight="true" outlineLevel="0" collapsed="false">
      <c r="A2" s="5" t="n">
        <v>164</v>
      </c>
      <c r="B2" s="5" t="n">
        <v>164</v>
      </c>
      <c r="C2" s="5" t="s">
        <v>1590</v>
      </c>
      <c r="D2" s="5" t="n">
        <v>2000</v>
      </c>
      <c r="E2" s="5" t="s">
        <v>917</v>
      </c>
      <c r="F2" s="5" t="s">
        <v>1963</v>
      </c>
      <c r="G2" s="5" t="s">
        <v>919</v>
      </c>
      <c r="H2" s="5" t="s">
        <v>920</v>
      </c>
      <c r="I2" s="5" t="n">
        <v>30.933</v>
      </c>
      <c r="J2" s="5" t="n">
        <v>75.867</v>
      </c>
      <c r="K2" s="5" t="s">
        <v>870</v>
      </c>
      <c r="L2" s="5" t="s">
        <v>921</v>
      </c>
      <c r="M2" s="5"/>
    </row>
    <row r="3" customFormat="false" ht="15" hidden="false" customHeight="true" outlineLevel="0" collapsed="false">
      <c r="A3" s="5" t="n">
        <v>164</v>
      </c>
      <c r="B3" s="5" t="n">
        <v>164</v>
      </c>
      <c r="C3" s="5" t="s">
        <v>1590</v>
      </c>
      <c r="D3" s="5" t="n">
        <v>2000</v>
      </c>
      <c r="E3" s="5" t="s">
        <v>1964</v>
      </c>
      <c r="F3" s="5" t="s">
        <v>1965</v>
      </c>
      <c r="G3" s="5" t="s">
        <v>1966</v>
      </c>
      <c r="H3" s="5" t="s">
        <v>1967</v>
      </c>
      <c r="I3" s="5" t="n">
        <v>29</v>
      </c>
      <c r="J3" s="5" t="n">
        <v>79.083</v>
      </c>
      <c r="K3" s="5" t="s">
        <v>870</v>
      </c>
      <c r="L3" s="5" t="s">
        <v>83</v>
      </c>
      <c r="M3" s="5" t="s">
        <v>1968</v>
      </c>
    </row>
    <row r="4" customFormat="false" ht="15" hidden="false" customHeight="true" outlineLevel="0" collapsed="false">
      <c r="A4" s="5" t="n">
        <v>164</v>
      </c>
      <c r="B4" s="5" t="n">
        <v>164</v>
      </c>
      <c r="C4" s="5" t="s">
        <v>1590</v>
      </c>
      <c r="D4" s="5" t="n">
        <v>2000</v>
      </c>
      <c r="E4" s="5" t="s">
        <v>887</v>
      </c>
      <c r="F4" s="5" t="s">
        <v>1969</v>
      </c>
      <c r="G4" s="5" t="s">
        <v>1970</v>
      </c>
      <c r="H4" s="5" t="s">
        <v>1971</v>
      </c>
      <c r="I4" s="5" t="n">
        <v>26.967</v>
      </c>
      <c r="J4" s="5" t="n">
        <v>80.567</v>
      </c>
      <c r="K4" s="5" t="s">
        <v>870</v>
      </c>
      <c r="L4" s="5" t="s">
        <v>83</v>
      </c>
      <c r="M4" s="5"/>
    </row>
    <row r="5" customFormat="false" ht="15" hidden="false" customHeight="true" outlineLevel="0" collapsed="false">
      <c r="A5" s="5" t="n">
        <v>164</v>
      </c>
      <c r="B5" s="5" t="n">
        <v>164</v>
      </c>
      <c r="C5" s="5" t="s">
        <v>1590</v>
      </c>
      <c r="D5" s="5" t="n">
        <v>2000</v>
      </c>
      <c r="E5" s="5" t="s">
        <v>887</v>
      </c>
      <c r="F5" s="5" t="s">
        <v>1972</v>
      </c>
      <c r="G5" s="5" t="s">
        <v>1973</v>
      </c>
      <c r="H5" s="5" t="s">
        <v>1974</v>
      </c>
      <c r="I5" s="5" t="n">
        <v>26.067</v>
      </c>
      <c r="J5" s="5" t="n">
        <v>82.133</v>
      </c>
      <c r="K5" s="5" t="s">
        <v>870</v>
      </c>
      <c r="L5" s="5" t="s">
        <v>83</v>
      </c>
      <c r="M5" s="5" t="s">
        <v>1975</v>
      </c>
    </row>
    <row r="6" customFormat="false" ht="15" hidden="false" customHeight="true" outlineLevel="0" collapsed="false">
      <c r="A6" s="5" t="n">
        <v>164</v>
      </c>
      <c r="B6" s="5" t="n">
        <v>164</v>
      </c>
      <c r="C6" s="5" t="s">
        <v>1590</v>
      </c>
      <c r="D6" s="5" t="n">
        <v>2000</v>
      </c>
      <c r="E6" s="5" t="s">
        <v>1976</v>
      </c>
      <c r="F6" s="5" t="s">
        <v>1977</v>
      </c>
      <c r="G6" s="5" t="s">
        <v>1978</v>
      </c>
      <c r="H6" s="5" t="s">
        <v>1979</v>
      </c>
      <c r="I6" s="5" t="n">
        <v>25.233</v>
      </c>
      <c r="J6" s="5" t="n">
        <v>87.067</v>
      </c>
      <c r="K6" s="5" t="s">
        <v>870</v>
      </c>
      <c r="L6" s="5" t="s">
        <v>83</v>
      </c>
      <c r="M6" s="5"/>
    </row>
    <row r="7" customFormat="false" ht="15" hidden="false" customHeight="true" outlineLevel="0" collapsed="false">
      <c r="A7" s="5" t="n">
        <v>164</v>
      </c>
      <c r="B7" s="5" t="n">
        <v>164</v>
      </c>
      <c r="C7" s="5" t="s">
        <v>1590</v>
      </c>
      <c r="D7" s="5" t="n">
        <v>2000</v>
      </c>
      <c r="E7" s="5" t="s">
        <v>1980</v>
      </c>
      <c r="F7" s="5" t="s">
        <v>1981</v>
      </c>
      <c r="G7" s="5" t="s">
        <v>1982</v>
      </c>
      <c r="H7" s="5" t="s">
        <v>1983</v>
      </c>
      <c r="I7" s="5" t="n">
        <v>23</v>
      </c>
      <c r="J7" s="5" t="n">
        <v>89</v>
      </c>
      <c r="K7" s="5" t="s">
        <v>870</v>
      </c>
      <c r="L7" s="5" t="s">
        <v>83</v>
      </c>
      <c r="M7" s="5" t="s">
        <v>1984</v>
      </c>
    </row>
    <row r="8" customFormat="false" ht="15" hidden="false" customHeight="true" outlineLevel="0" collapsed="false">
      <c r="A8" s="5" t="n">
        <v>164</v>
      </c>
      <c r="B8" s="5" t="n">
        <v>164</v>
      </c>
      <c r="C8" s="5" t="s">
        <v>1590</v>
      </c>
      <c r="D8" s="5" t="n">
        <v>2000</v>
      </c>
      <c r="E8" s="5" t="s">
        <v>1985</v>
      </c>
      <c r="F8" s="5" t="s">
        <v>1986</v>
      </c>
      <c r="G8" s="5" t="s">
        <v>1987</v>
      </c>
      <c r="H8" s="5" t="s">
        <v>1988</v>
      </c>
      <c r="I8" s="5" t="n">
        <v>23.167</v>
      </c>
      <c r="J8" s="5" t="n">
        <v>79.95</v>
      </c>
      <c r="K8" s="5" t="s">
        <v>870</v>
      </c>
      <c r="L8" s="5" t="s">
        <v>83</v>
      </c>
      <c r="M8" s="5"/>
    </row>
    <row r="9" customFormat="false" ht="15" hidden="false" customHeight="true" outlineLevel="0" collapsed="false">
      <c r="A9" s="5" t="n">
        <v>165</v>
      </c>
      <c r="B9" s="5" t="n">
        <v>165</v>
      </c>
      <c r="C9" s="5" t="s">
        <v>1620</v>
      </c>
      <c r="D9" s="5" t="n">
        <v>2012</v>
      </c>
      <c r="E9" s="5" t="s">
        <v>866</v>
      </c>
      <c r="F9" s="5" t="s">
        <v>1989</v>
      </c>
      <c r="G9" s="5" t="s">
        <v>868</v>
      </c>
      <c r="H9" s="5" t="s">
        <v>869</v>
      </c>
      <c r="I9" s="5" t="n">
        <v>28.633</v>
      </c>
      <c r="J9" s="5" t="n">
        <v>77.183</v>
      </c>
      <c r="K9" s="5" t="s">
        <v>870</v>
      </c>
      <c r="L9" s="5" t="s">
        <v>83</v>
      </c>
      <c r="M9" s="5"/>
    </row>
    <row r="10" customFormat="false" ht="15" hidden="false" customHeight="true" outlineLevel="0" collapsed="false">
      <c r="A10" s="5" t="n">
        <v>166</v>
      </c>
      <c r="B10" s="5" t="n">
        <v>166</v>
      </c>
      <c r="C10" s="5" t="s">
        <v>1638</v>
      </c>
      <c r="D10" s="5" t="n">
        <v>2014</v>
      </c>
      <c r="E10" s="5" t="s">
        <v>887</v>
      </c>
      <c r="F10" s="5" t="s">
        <v>1990</v>
      </c>
      <c r="G10" s="5" t="s">
        <v>889</v>
      </c>
      <c r="H10" s="5" t="s">
        <v>890</v>
      </c>
      <c r="I10" s="5" t="n">
        <v>29.067</v>
      </c>
      <c r="J10" s="5" t="n">
        <v>77.767</v>
      </c>
      <c r="K10" s="5" t="s">
        <v>870</v>
      </c>
      <c r="L10" s="5" t="s">
        <v>83</v>
      </c>
      <c r="M10" s="5"/>
    </row>
    <row r="11" customFormat="false" ht="15" hidden="false" customHeight="true" outlineLevel="0" collapsed="false">
      <c r="A11" s="5" t="n">
        <v>167</v>
      </c>
      <c r="B11" s="5" t="n">
        <v>167</v>
      </c>
      <c r="C11" s="5" t="s">
        <v>1669</v>
      </c>
      <c r="D11" s="5" t="n">
        <v>2023</v>
      </c>
      <c r="E11" s="5" t="s">
        <v>906</v>
      </c>
      <c r="F11" s="5" t="s">
        <v>1991</v>
      </c>
      <c r="G11" s="5"/>
      <c r="H11" s="5"/>
      <c r="I11" s="5"/>
      <c r="J11" s="5"/>
      <c r="K11" s="5" t="s">
        <v>1992</v>
      </c>
      <c r="L11" s="5"/>
      <c r="M11" s="5" t="s">
        <v>1993</v>
      </c>
    </row>
    <row r="12" customFormat="false" ht="15" hidden="false" customHeight="true" outlineLevel="0" collapsed="false">
      <c r="A12" s="5" t="n">
        <v>168</v>
      </c>
      <c r="B12" s="5" t="n">
        <v>168</v>
      </c>
      <c r="C12" s="5" t="s">
        <v>1674</v>
      </c>
      <c r="D12" s="5" t="n">
        <v>2020</v>
      </c>
      <c r="E12" s="5" t="s">
        <v>917</v>
      </c>
      <c r="F12" s="5" t="s">
        <v>1994</v>
      </c>
      <c r="G12" s="5" t="s">
        <v>919</v>
      </c>
      <c r="H12" s="5" t="s">
        <v>920</v>
      </c>
      <c r="I12" s="5" t="n">
        <v>30.933</v>
      </c>
      <c r="J12" s="5" t="n">
        <v>75.867</v>
      </c>
      <c r="K12" s="5" t="s">
        <v>870</v>
      </c>
      <c r="L12" s="5" t="s">
        <v>921</v>
      </c>
      <c r="M12" s="5"/>
    </row>
    <row r="13" customFormat="false" ht="15" hidden="false" customHeight="true" outlineLevel="0" collapsed="false">
      <c r="A13" s="5" t="n">
        <v>169</v>
      </c>
      <c r="B13" s="5" t="n">
        <v>169</v>
      </c>
      <c r="C13" s="5" t="s">
        <v>1690</v>
      </c>
      <c r="D13" s="5" t="n">
        <v>2005</v>
      </c>
      <c r="E13" s="5" t="s">
        <v>887</v>
      </c>
      <c r="F13" s="5" t="s">
        <v>1995</v>
      </c>
      <c r="G13" s="5"/>
      <c r="H13" s="5"/>
      <c r="I13" s="5"/>
      <c r="J13" s="5"/>
      <c r="K13" s="5" t="s">
        <v>1996</v>
      </c>
      <c r="L13" s="5"/>
      <c r="M13" s="5" t="s">
        <v>1993</v>
      </c>
    </row>
    <row r="14" customFormat="false" ht="15" hidden="false" customHeight="true" outlineLevel="0" collapsed="false">
      <c r="A14" s="5" t="s">
        <v>938</v>
      </c>
      <c r="B14" s="5" t="s">
        <v>938</v>
      </c>
      <c r="C14" s="5" t="s">
        <v>1695</v>
      </c>
      <c r="D14" s="5" t="n">
        <v>2019</v>
      </c>
      <c r="E14" s="5" t="s">
        <v>942</v>
      </c>
      <c r="F14" s="5" t="s">
        <v>1997</v>
      </c>
      <c r="G14" s="5" t="s">
        <v>1998</v>
      </c>
      <c r="H14" s="5" t="s">
        <v>1999</v>
      </c>
      <c r="I14" s="5" t="n">
        <v>29.7</v>
      </c>
      <c r="J14" s="5" t="n">
        <v>76.96</v>
      </c>
      <c r="K14" s="5" t="s">
        <v>870</v>
      </c>
      <c r="L14" s="5" t="s">
        <v>83</v>
      </c>
      <c r="M14" s="5" t="s">
        <v>2000</v>
      </c>
    </row>
    <row r="15" customFormat="false" ht="15" hidden="false" customHeight="true" outlineLevel="0" collapsed="false">
      <c r="A15" s="5" t="s">
        <v>955</v>
      </c>
      <c r="B15" s="5" t="s">
        <v>955</v>
      </c>
      <c r="C15" s="5" t="s">
        <v>1695</v>
      </c>
      <c r="D15" s="5" t="n">
        <v>2019</v>
      </c>
      <c r="E15" s="5" t="s">
        <v>942</v>
      </c>
      <c r="F15" s="5" t="s">
        <v>1997</v>
      </c>
      <c r="G15" s="5" t="s">
        <v>1998</v>
      </c>
      <c r="H15" s="5" t="s">
        <v>2001</v>
      </c>
      <c r="I15" s="5" t="n">
        <v>29.7</v>
      </c>
      <c r="J15" s="5" t="n">
        <v>76.95</v>
      </c>
      <c r="K15" s="5" t="s">
        <v>870</v>
      </c>
      <c r="L15" s="5" t="s">
        <v>83</v>
      </c>
      <c r="M15" s="5"/>
    </row>
    <row r="16" customFormat="false" ht="15" hidden="false" customHeight="true" outlineLevel="0" collapsed="false">
      <c r="A16" s="5" t="s">
        <v>965</v>
      </c>
      <c r="B16" s="5" t="s">
        <v>965</v>
      </c>
      <c r="C16" s="5" t="s">
        <v>1718</v>
      </c>
      <c r="D16" s="5" t="n">
        <v>2020</v>
      </c>
      <c r="E16" s="5" t="s">
        <v>866</v>
      </c>
      <c r="F16" s="5" t="s">
        <v>1989</v>
      </c>
      <c r="G16" s="5" t="s">
        <v>971</v>
      </c>
      <c r="H16" s="5" t="s">
        <v>972</v>
      </c>
      <c r="I16" s="5" t="n">
        <v>28.4</v>
      </c>
      <c r="J16" s="5" t="n">
        <v>77.1</v>
      </c>
      <c r="K16" s="5" t="s">
        <v>870</v>
      </c>
      <c r="L16" s="5" t="s">
        <v>83</v>
      </c>
      <c r="M16" s="5"/>
    </row>
    <row r="17" customFormat="false" ht="15" hidden="false" customHeight="true" outlineLevel="0" collapsed="false">
      <c r="A17" s="5" t="s">
        <v>982</v>
      </c>
      <c r="B17" s="5" t="s">
        <v>982</v>
      </c>
      <c r="C17" s="5" t="s">
        <v>1732</v>
      </c>
      <c r="D17" s="5" t="n">
        <v>2023</v>
      </c>
      <c r="E17" s="5" t="s">
        <v>987</v>
      </c>
      <c r="F17" s="5" t="s">
        <v>2002</v>
      </c>
      <c r="G17" s="5" t="s">
        <v>686</v>
      </c>
      <c r="H17" s="5" t="s">
        <v>686</v>
      </c>
      <c r="I17" s="5" t="n">
        <v>35.27</v>
      </c>
      <c r="J17" s="5" t="n">
        <v>119.38</v>
      </c>
      <c r="K17" s="5" t="s">
        <v>2003</v>
      </c>
      <c r="L17" s="5" t="s">
        <v>921</v>
      </c>
      <c r="M17" s="5" t="s">
        <v>2004</v>
      </c>
    </row>
    <row r="18" customFormat="false" ht="15" hidden="false" customHeight="true" outlineLevel="0" collapsed="false">
      <c r="A18" s="5" t="n">
        <v>170</v>
      </c>
      <c r="B18" s="5" t="n">
        <v>170</v>
      </c>
      <c r="C18" s="5" t="s">
        <v>1001</v>
      </c>
      <c r="D18" s="5" t="n">
        <v>2003</v>
      </c>
      <c r="E18" s="5" t="s">
        <v>917</v>
      </c>
      <c r="F18" s="5" t="s">
        <v>1994</v>
      </c>
      <c r="G18" s="5" t="s">
        <v>1005</v>
      </c>
      <c r="H18" s="5" t="s">
        <v>1006</v>
      </c>
      <c r="I18" s="5" t="n">
        <v>30.933</v>
      </c>
      <c r="J18" s="5" t="n">
        <v>75.867</v>
      </c>
      <c r="K18" s="5" t="s">
        <v>870</v>
      </c>
      <c r="L18" s="5" t="s">
        <v>921</v>
      </c>
      <c r="M18" s="5"/>
    </row>
    <row r="19" customFormat="false" ht="15" hidden="false" customHeight="true" outlineLevel="0" collapsed="false">
      <c r="A19" s="5" t="s">
        <v>1018</v>
      </c>
      <c r="B19" s="5" t="s">
        <v>1018</v>
      </c>
      <c r="C19" s="5" t="s">
        <v>1757</v>
      </c>
      <c r="D19" s="5" t="n">
        <v>2011</v>
      </c>
      <c r="E19" s="5" t="s">
        <v>887</v>
      </c>
      <c r="F19" s="5" t="s">
        <v>2005</v>
      </c>
      <c r="G19" s="5" t="s">
        <v>2006</v>
      </c>
      <c r="H19" s="5" t="s">
        <v>1025</v>
      </c>
      <c r="I19" s="5" t="n">
        <v>29.017</v>
      </c>
      <c r="J19" s="5" t="n">
        <v>77.75</v>
      </c>
      <c r="K19" s="5" t="s">
        <v>1026</v>
      </c>
      <c r="L19" s="5" t="s">
        <v>83</v>
      </c>
      <c r="M19" s="5"/>
    </row>
    <row r="20" customFormat="false" ht="15" hidden="false" customHeight="true" outlineLevel="0" collapsed="false">
      <c r="A20" s="5" t="s">
        <v>1041</v>
      </c>
      <c r="B20" s="5" t="s">
        <v>1041</v>
      </c>
      <c r="C20" s="5" t="s">
        <v>1786</v>
      </c>
      <c r="D20" s="5" t="n">
        <v>2022</v>
      </c>
      <c r="E20" s="5" t="s">
        <v>1045</v>
      </c>
      <c r="F20" s="5" t="s">
        <v>2007</v>
      </c>
      <c r="G20" s="5" t="s">
        <v>1047</v>
      </c>
      <c r="H20" s="5" t="s">
        <v>1048</v>
      </c>
      <c r="I20" s="5" t="n">
        <v>24.724</v>
      </c>
      <c r="J20" s="5" t="n">
        <v>90.437</v>
      </c>
      <c r="K20" s="5" t="s">
        <v>870</v>
      </c>
      <c r="L20" s="5" t="s">
        <v>83</v>
      </c>
      <c r="M20" s="5" t="s">
        <v>2008</v>
      </c>
    </row>
    <row r="21" customFormat="false" ht="15" hidden="false" customHeight="true" outlineLevel="0" collapsed="false">
      <c r="A21" s="5" t="s">
        <v>1064</v>
      </c>
      <c r="B21" s="5" t="s">
        <v>1064</v>
      </c>
      <c r="C21" s="5" t="s">
        <v>79</v>
      </c>
      <c r="D21" s="5" t="n">
        <v>2022</v>
      </c>
      <c r="E21" s="5" t="s">
        <v>942</v>
      </c>
      <c r="F21" s="5" t="s">
        <v>1997</v>
      </c>
      <c r="G21" s="5" t="s">
        <v>1068</v>
      </c>
      <c r="H21" s="5" t="s">
        <v>1069</v>
      </c>
      <c r="I21" s="5" t="n">
        <v>29.706</v>
      </c>
      <c r="J21" s="5" t="n">
        <v>76.956</v>
      </c>
      <c r="K21" s="5" t="s">
        <v>870</v>
      </c>
      <c r="L21" s="5" t="s">
        <v>83</v>
      </c>
      <c r="M21" s="5"/>
    </row>
    <row r="22" customFormat="false" ht="15" hidden="false" customHeight="true" outlineLevel="0" collapsed="false">
      <c r="A22" s="5" t="n">
        <v>171</v>
      </c>
      <c r="B22" s="5" t="n">
        <v>171</v>
      </c>
      <c r="C22" s="5" t="s">
        <v>1813</v>
      </c>
      <c r="D22" s="5" t="n">
        <v>2012</v>
      </c>
      <c r="E22" s="5" t="s">
        <v>1083</v>
      </c>
      <c r="F22" s="5" t="s">
        <v>2009</v>
      </c>
      <c r="G22" s="5" t="s">
        <v>1085</v>
      </c>
      <c r="H22" s="5" t="s">
        <v>1086</v>
      </c>
      <c r="I22" s="5" t="n">
        <v>27.647</v>
      </c>
      <c r="J22" s="5" t="n">
        <v>84.346</v>
      </c>
      <c r="K22" s="5" t="s">
        <v>870</v>
      </c>
      <c r="L22" s="5" t="s">
        <v>83</v>
      </c>
      <c r="M22" s="5"/>
    </row>
    <row r="23" customFormat="false" ht="15" hidden="false" customHeight="true" outlineLevel="0" collapsed="false">
      <c r="A23" s="5" t="n">
        <v>172</v>
      </c>
      <c r="B23" s="5" t="n">
        <v>172</v>
      </c>
      <c r="C23" s="5" t="s">
        <v>1829</v>
      </c>
      <c r="D23" s="5" t="n">
        <v>2005</v>
      </c>
      <c r="E23" s="5" t="s">
        <v>1104</v>
      </c>
      <c r="F23" s="5" t="s">
        <v>2010</v>
      </c>
      <c r="G23" s="5" t="s">
        <v>686</v>
      </c>
      <c r="H23" s="5" t="s">
        <v>686</v>
      </c>
      <c r="I23" s="5" t="n">
        <v>33.2</v>
      </c>
      <c r="J23" s="5" t="n">
        <v>130.5</v>
      </c>
      <c r="K23" s="5" t="s">
        <v>2011</v>
      </c>
      <c r="L23" s="5" t="s">
        <v>921</v>
      </c>
      <c r="M23" s="5" t="s">
        <v>2004</v>
      </c>
    </row>
    <row r="24" customFormat="false" ht="15" hidden="false" customHeight="true" outlineLevel="0" collapsed="false">
      <c r="A24" s="5" t="s">
        <v>1115</v>
      </c>
      <c r="B24" s="5" t="s">
        <v>1115</v>
      </c>
      <c r="C24" s="5" t="s">
        <v>1854</v>
      </c>
      <c r="D24" s="5" t="n">
        <v>2023</v>
      </c>
      <c r="E24" s="5" t="s">
        <v>1045</v>
      </c>
      <c r="F24" s="5" t="s">
        <v>2012</v>
      </c>
      <c r="G24" s="5" t="s">
        <v>1120</v>
      </c>
      <c r="H24" s="5" t="s">
        <v>1121</v>
      </c>
      <c r="I24" s="5" t="n">
        <v>24.942</v>
      </c>
      <c r="J24" s="5" t="n">
        <v>89.928</v>
      </c>
      <c r="K24" s="5" t="s">
        <v>870</v>
      </c>
      <c r="L24" s="5" t="s">
        <v>83</v>
      </c>
      <c r="M24" s="5" t="s">
        <v>2013</v>
      </c>
    </row>
    <row r="25" customFormat="false" ht="15" hidden="false" customHeight="true" outlineLevel="0" collapsed="false">
      <c r="A25" s="5" t="n">
        <v>173</v>
      </c>
      <c r="B25" s="5" t="n">
        <v>173</v>
      </c>
      <c r="C25" s="5" t="s">
        <v>1863</v>
      </c>
      <c r="D25" s="5" t="n">
        <v>2023</v>
      </c>
      <c r="E25" s="5" t="s">
        <v>866</v>
      </c>
      <c r="F25" s="5" t="s">
        <v>2014</v>
      </c>
      <c r="G25" s="5" t="s">
        <v>1138</v>
      </c>
      <c r="H25" s="5" t="s">
        <v>1139</v>
      </c>
      <c r="I25" s="5" t="n">
        <v>28.633</v>
      </c>
      <c r="J25" s="5" t="n">
        <v>77.15</v>
      </c>
      <c r="K25" s="5" t="s">
        <v>870</v>
      </c>
      <c r="L25" s="5" t="s">
        <v>83</v>
      </c>
      <c r="M25" s="5"/>
    </row>
    <row r="26" customFormat="false" ht="15" hidden="false" customHeight="false" outlineLevel="0" collapsed="false">
      <c r="A26" s="24" t="n">
        <v>174</v>
      </c>
      <c r="B26" s="24" t="n">
        <v>174</v>
      </c>
      <c r="C26" s="24" t="s">
        <v>1757</v>
      </c>
      <c r="D26" s="24" t="n">
        <v>2017</v>
      </c>
      <c r="E26" s="24" t="s">
        <v>887</v>
      </c>
      <c r="F26" s="24" t="s">
        <v>2015</v>
      </c>
      <c r="G26" s="24" t="s">
        <v>1157</v>
      </c>
      <c r="H26" s="24" t="s">
        <v>1158</v>
      </c>
      <c r="I26" s="24" t="n">
        <v>29.067</v>
      </c>
      <c r="J26" s="24" t="n">
        <v>77.767</v>
      </c>
      <c r="K26" s="24" t="s">
        <v>870</v>
      </c>
      <c r="L26" s="24" t="s">
        <v>83</v>
      </c>
      <c r="M26" s="24"/>
    </row>
    <row r="27" customFormat="false" ht="15" hidden="false" customHeight="false" outlineLevel="0" collapsed="false">
      <c r="A27" s="24" t="n">
        <v>175</v>
      </c>
      <c r="B27" s="24" t="n">
        <v>175</v>
      </c>
      <c r="C27" s="24" t="s">
        <v>1903</v>
      </c>
      <c r="D27" s="24" t="n">
        <v>2022</v>
      </c>
      <c r="E27" s="24" t="s">
        <v>1045</v>
      </c>
      <c r="F27" s="24" t="s">
        <v>2016</v>
      </c>
      <c r="G27" s="24" t="s">
        <v>1175</v>
      </c>
      <c r="H27" s="24" t="s">
        <v>1176</v>
      </c>
      <c r="I27" s="24" t="n">
        <v>24.4514</v>
      </c>
      <c r="J27" s="24" t="n">
        <v>90.2411</v>
      </c>
      <c r="K27" s="24" t="s">
        <v>870</v>
      </c>
      <c r="L27" s="24" t="s">
        <v>83</v>
      </c>
      <c r="M27" s="24"/>
    </row>
    <row r="28" customFormat="false" ht="15" hidden="false" customHeight="false" outlineLevel="0" collapsed="false">
      <c r="A28" s="24" t="n">
        <v>176</v>
      </c>
      <c r="B28" s="24" t="n">
        <v>176</v>
      </c>
      <c r="C28" s="24" t="s">
        <v>1911</v>
      </c>
      <c r="D28" s="24" t="n">
        <v>2015</v>
      </c>
      <c r="E28" s="24" t="s">
        <v>1195</v>
      </c>
      <c r="F28" s="24" t="s">
        <v>2017</v>
      </c>
      <c r="G28" s="24" t="s">
        <v>2018</v>
      </c>
      <c r="H28" s="24" t="s">
        <v>2019</v>
      </c>
      <c r="I28" s="24" t="n">
        <v>41.55</v>
      </c>
      <c r="J28" s="24" t="n">
        <v>60.63</v>
      </c>
      <c r="K28" s="24" t="s">
        <v>2020</v>
      </c>
      <c r="L28" s="24" t="s">
        <v>921</v>
      </c>
      <c r="M28" s="24" t="s">
        <v>2021</v>
      </c>
    </row>
    <row r="29" customFormat="false" ht="15" hidden="false" customHeight="false" outlineLevel="0" collapsed="false">
      <c r="A29" s="24" t="s">
        <v>1214</v>
      </c>
      <c r="B29" s="24" t="s">
        <v>1214</v>
      </c>
      <c r="C29" s="24" t="s">
        <v>1911</v>
      </c>
      <c r="D29" s="24" t="n">
        <v>2015</v>
      </c>
      <c r="E29" s="24" t="s">
        <v>1195</v>
      </c>
      <c r="F29" s="24" t="s">
        <v>2017</v>
      </c>
      <c r="G29" s="24" t="s">
        <v>686</v>
      </c>
      <c r="H29" s="24" t="s">
        <v>686</v>
      </c>
      <c r="I29" s="24" t="n">
        <v>41.55</v>
      </c>
      <c r="J29" s="24" t="n">
        <v>60.63</v>
      </c>
      <c r="K29" s="24" t="s">
        <v>1219</v>
      </c>
      <c r="L29" s="24" t="s">
        <v>921</v>
      </c>
      <c r="M29" s="24" t="s">
        <v>2022</v>
      </c>
    </row>
    <row r="30" customFormat="false" ht="15" hidden="false" customHeight="false" outlineLevel="0" collapsed="false">
      <c r="A30" s="24" t="s">
        <v>1225</v>
      </c>
      <c r="B30" s="24" t="s">
        <v>1225</v>
      </c>
      <c r="C30" s="24" t="s">
        <v>1944</v>
      </c>
      <c r="D30" s="24" t="n">
        <v>2018</v>
      </c>
      <c r="E30" s="24" t="s">
        <v>1083</v>
      </c>
      <c r="F30" s="24" t="s">
        <v>2023</v>
      </c>
      <c r="G30" s="24" t="s">
        <v>2024</v>
      </c>
      <c r="H30" s="24" t="s">
        <v>2025</v>
      </c>
      <c r="I30" s="24" t="n">
        <v>26.67</v>
      </c>
      <c r="J30" s="24" t="n">
        <v>87.13</v>
      </c>
      <c r="K30" s="24" t="s">
        <v>2026</v>
      </c>
      <c r="L30" s="24" t="s">
        <v>83</v>
      </c>
      <c r="M30" s="24"/>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2027</v>
      </c>
      <c r="T1" s="27" t="s">
        <v>2028</v>
      </c>
      <c r="U1" s="27" t="s">
        <v>2029</v>
      </c>
      <c r="V1" s="27" t="s">
        <v>2030</v>
      </c>
      <c r="W1" s="27" t="s">
        <v>2031</v>
      </c>
      <c r="X1" s="30" t="s">
        <v>2032</v>
      </c>
      <c r="Y1" s="30" t="s">
        <v>2033</v>
      </c>
      <c r="Z1" s="30" t="s">
        <v>2034</v>
      </c>
      <c r="AA1" s="30" t="s">
        <v>2035</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2044</v>
      </c>
      <c r="AT2" s="18" t="s">
        <v>2045</v>
      </c>
      <c r="AU2" s="18" t="s">
        <v>2046</v>
      </c>
      <c r="AV2" s="18" t="s">
        <v>2047</v>
      </c>
      <c r="AW2" s="32" t="s">
        <v>2048</v>
      </c>
      <c r="AX2" s="18" t="s">
        <v>928</v>
      </c>
      <c r="AY2" s="18" t="s">
        <v>2049</v>
      </c>
      <c r="BA2" s="33" t="s">
        <v>89</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2050</v>
      </c>
      <c r="O3" s="18" t="s">
        <v>2051</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2044</v>
      </c>
      <c r="AT3" s="18" t="s">
        <v>2045</v>
      </c>
      <c r="AU3" s="18" t="s">
        <v>2046</v>
      </c>
      <c r="AV3" s="18" t="s">
        <v>2047</v>
      </c>
      <c r="AW3" s="32" t="s">
        <v>2048</v>
      </c>
      <c r="AX3" s="18" t="s">
        <v>928</v>
      </c>
      <c r="AY3" s="18" t="s">
        <v>2049</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2043</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2053</v>
      </c>
      <c r="AT4" s="5" t="s">
        <v>2054</v>
      </c>
      <c r="AU4" s="5" t="s">
        <v>2055</v>
      </c>
      <c r="AV4" s="5" t="s">
        <v>2056</v>
      </c>
      <c r="AW4" s="23" t="s">
        <v>2057</v>
      </c>
      <c r="AX4" s="5" t="s">
        <v>880</v>
      </c>
      <c r="AY4" s="5" t="s">
        <v>2058</v>
      </c>
    </row>
    <row r="5" customFormat="false" ht="15" hidden="false" customHeight="true" outlineLevel="0" collapsed="false">
      <c r="A5" s="5" t="n">
        <v>165</v>
      </c>
      <c r="B5" s="5" t="n">
        <v>165</v>
      </c>
      <c r="C5" s="5" t="s">
        <v>862</v>
      </c>
      <c r="D5" s="5" t="n">
        <v>2012</v>
      </c>
      <c r="E5" s="5" t="s">
        <v>863</v>
      </c>
      <c r="F5" s="5" t="s">
        <v>866</v>
      </c>
      <c r="G5" s="5" t="s">
        <v>867</v>
      </c>
      <c r="H5" s="5" t="n">
        <v>28.633</v>
      </c>
      <c r="I5" s="5" t="n">
        <v>77.183</v>
      </c>
      <c r="J5" s="5" t="s">
        <v>83</v>
      </c>
      <c r="K5" s="5" t="s">
        <v>2052</v>
      </c>
      <c r="L5" s="5" t="s">
        <v>872</v>
      </c>
      <c r="M5" s="5" t="s">
        <v>85</v>
      </c>
      <c r="N5" s="5" t="s">
        <v>86</v>
      </c>
      <c r="O5" s="5" t="s">
        <v>2043</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2059</v>
      </c>
      <c r="AT5" s="5" t="s">
        <v>2060</v>
      </c>
      <c r="AU5" s="5" t="s">
        <v>2055</v>
      </c>
      <c r="AV5" s="5" t="s">
        <v>2056</v>
      </c>
      <c r="AW5" s="23" t="s">
        <v>2061</v>
      </c>
      <c r="AX5" s="5" t="s">
        <v>880</v>
      </c>
      <c r="AY5" s="5" t="s">
        <v>2058</v>
      </c>
    </row>
    <row r="6" customFormat="false" ht="15" hidden="false" customHeight="true" outlineLevel="0" collapsed="false">
      <c r="A6" s="5" t="s">
        <v>982</v>
      </c>
      <c r="B6" s="5" t="s">
        <v>982</v>
      </c>
      <c r="C6" s="5" t="s">
        <v>983</v>
      </c>
      <c r="D6" s="5" t="n">
        <v>2023</v>
      </c>
      <c r="E6" s="5" t="s">
        <v>984</v>
      </c>
      <c r="F6" s="5" t="s">
        <v>987</v>
      </c>
      <c r="G6" s="5" t="s">
        <v>988</v>
      </c>
      <c r="H6" s="5" t="n">
        <v>35.27</v>
      </c>
      <c r="I6" s="5" t="n">
        <v>119.38</v>
      </c>
      <c r="J6" s="5" t="s">
        <v>921</v>
      </c>
      <c r="K6" s="5" t="n">
        <v>2018</v>
      </c>
      <c r="L6" s="5" t="s">
        <v>872</v>
      </c>
      <c r="M6" s="5"/>
      <c r="N6" s="5" t="s">
        <v>86</v>
      </c>
      <c r="O6" s="5" t="s">
        <v>2062</v>
      </c>
      <c r="P6" s="5" t="n">
        <v>1.374</v>
      </c>
      <c r="Q6" s="5"/>
      <c r="R6" s="5"/>
      <c r="S6" s="5"/>
      <c r="T6" s="5"/>
      <c r="U6" s="5"/>
      <c r="V6" s="5"/>
      <c r="W6" s="5"/>
      <c r="X6" s="5" t="n">
        <v>1.395</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89</v>
      </c>
      <c r="AS6" s="5" t="s">
        <v>2063</v>
      </c>
      <c r="AT6" s="5" t="s">
        <v>2064</v>
      </c>
      <c r="AU6" s="5" t="s">
        <v>2065</v>
      </c>
      <c r="AV6" s="5" t="s">
        <v>2066</v>
      </c>
      <c r="AW6" s="23" t="s">
        <v>2067</v>
      </c>
      <c r="AX6" s="5" t="s">
        <v>998</v>
      </c>
      <c r="AY6" s="5" t="s">
        <v>2068</v>
      </c>
    </row>
    <row r="7" customFormat="false" ht="15" hidden="false" customHeight="true" outlineLevel="0" collapsed="false">
      <c r="A7" s="5" t="s">
        <v>982</v>
      </c>
      <c r="B7" s="5" t="s">
        <v>982</v>
      </c>
      <c r="C7" s="5" t="s">
        <v>983</v>
      </c>
      <c r="D7" s="5" t="n">
        <v>2023</v>
      </c>
      <c r="E7" s="5" t="s">
        <v>984</v>
      </c>
      <c r="F7" s="5" t="s">
        <v>987</v>
      </c>
      <c r="G7" s="5" t="s">
        <v>988</v>
      </c>
      <c r="H7" s="5" t="n">
        <v>35.27</v>
      </c>
      <c r="I7" s="5" t="n">
        <v>119.38</v>
      </c>
      <c r="J7" s="5" t="s">
        <v>921</v>
      </c>
      <c r="K7" s="5" t="n">
        <v>2019</v>
      </c>
      <c r="L7" s="5" t="s">
        <v>872</v>
      </c>
      <c r="M7" s="5"/>
      <c r="N7" s="5" t="s">
        <v>86</v>
      </c>
      <c r="O7" s="5" t="s">
        <v>2062</v>
      </c>
      <c r="P7" s="5" t="n">
        <v>1.376</v>
      </c>
      <c r="Q7" s="5"/>
      <c r="R7" s="5"/>
      <c r="S7" s="5"/>
      <c r="T7" s="5"/>
      <c r="U7" s="5"/>
      <c r="V7" s="5"/>
      <c r="W7" s="5"/>
      <c r="X7" s="5" t="n">
        <v>1.397</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89</v>
      </c>
      <c r="AS7" s="5" t="s">
        <v>2063</v>
      </c>
      <c r="AT7" s="5" t="s">
        <v>2069</v>
      </c>
      <c r="AU7" s="5" t="s">
        <v>2065</v>
      </c>
      <c r="AV7" s="5" t="s">
        <v>2066</v>
      </c>
      <c r="AW7" s="23" t="s">
        <v>2067</v>
      </c>
      <c r="AX7" s="5" t="s">
        <v>998</v>
      </c>
      <c r="AY7" s="5" t="s">
        <v>2068</v>
      </c>
    </row>
    <row r="8" customFormat="false" ht="15" hidden="false" customHeight="true" outlineLevel="0" collapsed="false">
      <c r="A8" s="5" t="s">
        <v>982</v>
      </c>
      <c r="B8" s="5" t="s">
        <v>982</v>
      </c>
      <c r="C8" s="5" t="s">
        <v>983</v>
      </c>
      <c r="D8" s="5" t="n">
        <v>2023</v>
      </c>
      <c r="E8" s="5" t="s">
        <v>984</v>
      </c>
      <c r="F8" s="5" t="s">
        <v>987</v>
      </c>
      <c r="G8" s="5" t="s">
        <v>988</v>
      </c>
      <c r="H8" s="5" t="n">
        <v>35.27</v>
      </c>
      <c r="I8" s="5" t="n">
        <v>119.38</v>
      </c>
      <c r="J8" s="5" t="s">
        <v>921</v>
      </c>
      <c r="K8" s="5" t="n">
        <v>2020</v>
      </c>
      <c r="L8" s="5" t="s">
        <v>872</v>
      </c>
      <c r="M8" s="5"/>
      <c r="N8" s="5" t="s">
        <v>86</v>
      </c>
      <c r="O8" s="5" t="s">
        <v>2062</v>
      </c>
      <c r="P8" s="5" t="n">
        <v>1.382</v>
      </c>
      <c r="Q8" s="5"/>
      <c r="R8" s="5"/>
      <c r="S8" s="5"/>
      <c r="T8" s="5"/>
      <c r="U8" s="5"/>
      <c r="V8" s="5"/>
      <c r="W8" s="5"/>
      <c r="X8" s="5" t="n">
        <v>1.408</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89</v>
      </c>
      <c r="AS8" s="5" t="s">
        <v>2063</v>
      </c>
      <c r="AT8" s="5" t="s">
        <v>2070</v>
      </c>
      <c r="AU8" s="5" t="s">
        <v>2065</v>
      </c>
      <c r="AV8" s="5" t="s">
        <v>2066</v>
      </c>
      <c r="AW8" s="23" t="s">
        <v>2067</v>
      </c>
      <c r="AX8" s="5" t="s">
        <v>998</v>
      </c>
      <c r="AY8" s="5" t="s">
        <v>2068</v>
      </c>
    </row>
    <row r="9" customFormat="false" ht="15" hidden="false" customHeight="true" outlineLevel="0" collapsed="false">
      <c r="A9" s="5" t="s">
        <v>982</v>
      </c>
      <c r="B9" s="5" t="s">
        <v>982</v>
      </c>
      <c r="C9" s="5" t="s">
        <v>983</v>
      </c>
      <c r="D9" s="5" t="n">
        <v>2023</v>
      </c>
      <c r="E9" s="5" t="s">
        <v>984</v>
      </c>
      <c r="F9" s="5" t="s">
        <v>987</v>
      </c>
      <c r="G9" s="5" t="s">
        <v>988</v>
      </c>
      <c r="H9" s="5" t="n">
        <v>35.27</v>
      </c>
      <c r="I9" s="5" t="n">
        <v>119.38</v>
      </c>
      <c r="J9" s="5" t="s">
        <v>921</v>
      </c>
      <c r="K9" s="5" t="n">
        <v>2018</v>
      </c>
      <c r="L9" s="5" t="s">
        <v>872</v>
      </c>
      <c r="M9" s="5"/>
      <c r="N9" s="5" t="s">
        <v>2050</v>
      </c>
      <c r="O9" s="5" t="s">
        <v>2071</v>
      </c>
      <c r="P9" s="5" t="n">
        <v>1.421</v>
      </c>
      <c r="Q9" s="5"/>
      <c r="R9" s="5"/>
      <c r="S9" s="5"/>
      <c r="T9" s="5"/>
      <c r="U9" s="5"/>
      <c r="V9" s="5"/>
      <c r="W9" s="5"/>
      <c r="X9" s="5" t="n">
        <v>1.434</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89</v>
      </c>
      <c r="AS9" s="5" t="s">
        <v>2063</v>
      </c>
      <c r="AT9" s="5" t="s">
        <v>2064</v>
      </c>
      <c r="AU9" s="5" t="s">
        <v>2065</v>
      </c>
      <c r="AV9" s="5" t="s">
        <v>2066</v>
      </c>
      <c r="AW9" s="23" t="s">
        <v>2072</v>
      </c>
      <c r="AX9" s="5" t="s">
        <v>998</v>
      </c>
      <c r="AY9" s="5" t="s">
        <v>2068</v>
      </c>
    </row>
    <row r="10" customFormat="false" ht="15" hidden="false" customHeight="true" outlineLevel="0" collapsed="false">
      <c r="A10" s="5" t="s">
        <v>982</v>
      </c>
      <c r="B10" s="5" t="s">
        <v>982</v>
      </c>
      <c r="C10" s="5" t="s">
        <v>983</v>
      </c>
      <c r="D10" s="5" t="n">
        <v>2023</v>
      </c>
      <c r="E10" s="5" t="s">
        <v>984</v>
      </c>
      <c r="F10" s="5" t="s">
        <v>987</v>
      </c>
      <c r="G10" s="5" t="s">
        <v>988</v>
      </c>
      <c r="H10" s="5" t="n">
        <v>35.27</v>
      </c>
      <c r="I10" s="5" t="n">
        <v>119.38</v>
      </c>
      <c r="J10" s="5" t="s">
        <v>921</v>
      </c>
      <c r="K10" s="5" t="n">
        <v>2019</v>
      </c>
      <c r="L10" s="5" t="s">
        <v>872</v>
      </c>
      <c r="M10" s="5"/>
      <c r="N10" s="5" t="s">
        <v>2050</v>
      </c>
      <c r="O10" s="5" t="s">
        <v>2071</v>
      </c>
      <c r="P10" s="5" t="n">
        <v>1.418</v>
      </c>
      <c r="Q10" s="5"/>
      <c r="R10" s="5"/>
      <c r="S10" s="5"/>
      <c r="T10" s="5"/>
      <c r="U10" s="5"/>
      <c r="V10" s="5"/>
      <c r="W10" s="5"/>
      <c r="X10" s="5" t="n">
        <v>1.435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89</v>
      </c>
      <c r="AS10" s="5" t="s">
        <v>2063</v>
      </c>
      <c r="AT10" s="5" t="s">
        <v>2069</v>
      </c>
      <c r="AU10" s="5" t="s">
        <v>2065</v>
      </c>
      <c r="AV10" s="5" t="s">
        <v>2066</v>
      </c>
      <c r="AW10" s="23" t="s">
        <v>2072</v>
      </c>
      <c r="AX10" s="5" t="s">
        <v>998</v>
      </c>
      <c r="AY10" s="5" t="s">
        <v>2068</v>
      </c>
    </row>
    <row r="11" customFormat="false" ht="15" hidden="false" customHeight="true" outlineLevel="0" collapsed="false">
      <c r="A11" s="5" t="s">
        <v>982</v>
      </c>
      <c r="B11" s="5" t="s">
        <v>982</v>
      </c>
      <c r="C11" s="5" t="s">
        <v>983</v>
      </c>
      <c r="D11" s="5" t="n">
        <v>2023</v>
      </c>
      <c r="E11" s="5" t="s">
        <v>984</v>
      </c>
      <c r="F11" s="5" t="s">
        <v>987</v>
      </c>
      <c r="G11" s="5" t="s">
        <v>988</v>
      </c>
      <c r="H11" s="5" t="n">
        <v>35.27</v>
      </c>
      <c r="I11" s="5" t="n">
        <v>119.38</v>
      </c>
      <c r="J11" s="5" t="s">
        <v>921</v>
      </c>
      <c r="K11" s="5" t="n">
        <v>2020</v>
      </c>
      <c r="L11" s="5" t="s">
        <v>872</v>
      </c>
      <c r="M11" s="5"/>
      <c r="N11" s="5" t="s">
        <v>2050</v>
      </c>
      <c r="O11" s="5" t="s">
        <v>2071</v>
      </c>
      <c r="P11" s="5" t="n">
        <v>1.455</v>
      </c>
      <c r="Q11" s="5"/>
      <c r="R11" s="5"/>
      <c r="S11" s="5"/>
      <c r="T11" s="5"/>
      <c r="U11" s="5"/>
      <c r="V11" s="5"/>
      <c r="W11" s="5"/>
      <c r="X11" s="5" t="n">
        <v>1.441</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89</v>
      </c>
      <c r="AS11" s="5" t="s">
        <v>2063</v>
      </c>
      <c r="AT11" s="5" t="s">
        <v>2070</v>
      </c>
      <c r="AU11" s="5" t="s">
        <v>2065</v>
      </c>
      <c r="AV11" s="5" t="s">
        <v>2066</v>
      </c>
      <c r="AW11" s="23" t="s">
        <v>2072</v>
      </c>
      <c r="AX11" s="5" t="s">
        <v>998</v>
      </c>
      <c r="AY11" s="5" t="s">
        <v>2068</v>
      </c>
    </row>
    <row r="12" customFormat="false" ht="15" hidden="false" customHeight="true" outlineLevel="0" collapsed="false">
      <c r="A12" s="5" t="s">
        <v>982</v>
      </c>
      <c r="B12" s="5" t="s">
        <v>982</v>
      </c>
      <c r="C12" s="5" t="s">
        <v>983</v>
      </c>
      <c r="D12" s="5" t="n">
        <v>2023</v>
      </c>
      <c r="E12" s="5" t="s">
        <v>984</v>
      </c>
      <c r="F12" s="5" t="s">
        <v>987</v>
      </c>
      <c r="G12" s="5" t="s">
        <v>988</v>
      </c>
      <c r="H12" s="5" t="n">
        <v>35.27</v>
      </c>
      <c r="I12" s="5" t="n">
        <v>119.38</v>
      </c>
      <c r="J12" s="5" t="s">
        <v>921</v>
      </c>
      <c r="K12" s="5" t="n">
        <v>2018</v>
      </c>
      <c r="L12" s="5" t="s">
        <v>872</v>
      </c>
      <c r="M12" s="5"/>
      <c r="N12" s="5" t="s">
        <v>2050</v>
      </c>
      <c r="O12" s="5" t="s">
        <v>2073</v>
      </c>
      <c r="P12" s="5" t="n">
        <v>1.49</v>
      </c>
      <c r="Q12" s="5"/>
      <c r="R12" s="5"/>
      <c r="S12" s="5"/>
      <c r="T12" s="5"/>
      <c r="U12" s="5"/>
      <c r="V12" s="5"/>
      <c r="W12" s="5"/>
      <c r="X12" s="5" t="n">
        <v>1.501</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89</v>
      </c>
      <c r="AS12" s="5" t="s">
        <v>2063</v>
      </c>
      <c r="AT12" s="5" t="s">
        <v>2064</v>
      </c>
      <c r="AU12" s="5" t="s">
        <v>2065</v>
      </c>
      <c r="AV12" s="5" t="s">
        <v>2066</v>
      </c>
      <c r="AW12" s="23" t="s">
        <v>2074</v>
      </c>
      <c r="AX12" s="5" t="s">
        <v>998</v>
      </c>
      <c r="AY12" s="5" t="s">
        <v>2068</v>
      </c>
    </row>
    <row r="13" customFormat="false" ht="15" hidden="false" customHeight="true" outlineLevel="0" collapsed="false">
      <c r="A13" s="5" t="s">
        <v>982</v>
      </c>
      <c r="B13" s="5" t="s">
        <v>982</v>
      </c>
      <c r="C13" s="5" t="s">
        <v>983</v>
      </c>
      <c r="D13" s="5" t="n">
        <v>2023</v>
      </c>
      <c r="E13" s="5" t="s">
        <v>984</v>
      </c>
      <c r="F13" s="5" t="s">
        <v>987</v>
      </c>
      <c r="G13" s="5" t="s">
        <v>988</v>
      </c>
      <c r="H13" s="5" t="n">
        <v>35.27</v>
      </c>
      <c r="I13" s="5" t="n">
        <v>119.38</v>
      </c>
      <c r="J13" s="5" t="s">
        <v>921</v>
      </c>
      <c r="K13" s="5" t="n">
        <v>2019</v>
      </c>
      <c r="L13" s="5" t="s">
        <v>872</v>
      </c>
      <c r="M13" s="5"/>
      <c r="N13" s="5" t="s">
        <v>2050</v>
      </c>
      <c r="O13" s="5" t="s">
        <v>2073</v>
      </c>
      <c r="P13" s="5" t="n">
        <v>1.48</v>
      </c>
      <c r="Q13" s="5"/>
      <c r="R13" s="5"/>
      <c r="S13" s="5"/>
      <c r="T13" s="5"/>
      <c r="U13" s="5"/>
      <c r="V13" s="5"/>
      <c r="W13" s="5"/>
      <c r="X13" s="5" t="n">
        <v>1.517</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89</v>
      </c>
      <c r="AS13" s="5" t="s">
        <v>2063</v>
      </c>
      <c r="AT13" s="5" t="s">
        <v>2069</v>
      </c>
      <c r="AU13" s="5" t="s">
        <v>2065</v>
      </c>
      <c r="AV13" s="5" t="s">
        <v>2066</v>
      </c>
      <c r="AW13" s="23" t="s">
        <v>2074</v>
      </c>
      <c r="AX13" s="5" t="s">
        <v>998</v>
      </c>
      <c r="AY13" s="5" t="s">
        <v>2068</v>
      </c>
    </row>
    <row r="14" customFormat="false" ht="15" hidden="false" customHeight="true" outlineLevel="0" collapsed="false">
      <c r="A14" s="5" t="s">
        <v>982</v>
      </c>
      <c r="B14" s="5" t="s">
        <v>982</v>
      </c>
      <c r="C14" s="5" t="s">
        <v>983</v>
      </c>
      <c r="D14" s="5" t="n">
        <v>2023</v>
      </c>
      <c r="E14" s="5" t="s">
        <v>984</v>
      </c>
      <c r="F14" s="5" t="s">
        <v>987</v>
      </c>
      <c r="G14" s="5" t="s">
        <v>988</v>
      </c>
      <c r="H14" s="5" t="n">
        <v>35.27</v>
      </c>
      <c r="I14" s="5" t="n">
        <v>119.38</v>
      </c>
      <c r="J14" s="5" t="s">
        <v>921</v>
      </c>
      <c r="K14" s="5" t="n">
        <v>2020</v>
      </c>
      <c r="L14" s="5" t="s">
        <v>872</v>
      </c>
      <c r="M14" s="5"/>
      <c r="N14" s="5" t="s">
        <v>2050</v>
      </c>
      <c r="O14" s="5" t="s">
        <v>2073</v>
      </c>
      <c r="P14" s="5" t="n">
        <v>1.483</v>
      </c>
      <c r="Q14" s="5"/>
      <c r="R14" s="5"/>
      <c r="S14" s="5"/>
      <c r="T14" s="5"/>
      <c r="U14" s="5"/>
      <c r="V14" s="5"/>
      <c r="W14" s="5"/>
      <c r="X14" s="5" t="n">
        <v>1.533</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89</v>
      </c>
      <c r="AS14" s="5" t="s">
        <v>2063</v>
      </c>
      <c r="AT14" s="5" t="s">
        <v>2070</v>
      </c>
      <c r="AU14" s="5" t="s">
        <v>2065</v>
      </c>
      <c r="AV14" s="5" t="s">
        <v>2066</v>
      </c>
      <c r="AW14" s="23" t="s">
        <v>2074</v>
      </c>
      <c r="AX14" s="5" t="s">
        <v>998</v>
      </c>
      <c r="AY14" s="5" t="s">
        <v>2068</v>
      </c>
    </row>
    <row r="15" customFormat="false" ht="15" hidden="false" customHeight="true" outlineLevel="0" collapsed="false">
      <c r="A15" s="18" t="s">
        <v>965</v>
      </c>
      <c r="B15" s="18" t="s">
        <v>965</v>
      </c>
      <c r="C15" s="18" t="s">
        <v>966</v>
      </c>
      <c r="D15" s="18" t="n">
        <v>2020</v>
      </c>
      <c r="E15" s="18" t="s">
        <v>967</v>
      </c>
      <c r="F15" s="18" t="s">
        <v>866</v>
      </c>
      <c r="G15" s="18" t="s">
        <v>970</v>
      </c>
      <c r="H15" s="18" t="n">
        <v>28.4</v>
      </c>
      <c r="I15" s="18" t="n">
        <v>77.1</v>
      </c>
      <c r="J15" s="18" t="s">
        <v>83</v>
      </c>
      <c r="K15" s="18" t="s">
        <v>2075</v>
      </c>
      <c r="L15" s="18" t="s">
        <v>853</v>
      </c>
      <c r="M15" s="18" t="s">
        <v>85</v>
      </c>
      <c r="N15" s="18" t="s">
        <v>86</v>
      </c>
      <c r="O15" s="18" t="s">
        <v>2043</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2076</v>
      </c>
      <c r="AT15" s="18" t="s">
        <v>2077</v>
      </c>
      <c r="AU15" s="18" t="s">
        <v>2078</v>
      </c>
      <c r="AV15" s="18" t="s">
        <v>2079</v>
      </c>
      <c r="AW15" s="32" t="s">
        <v>2080</v>
      </c>
      <c r="AX15" s="18" t="s">
        <v>979</v>
      </c>
      <c r="AY15" s="18" t="s">
        <v>2081</v>
      </c>
    </row>
    <row r="16" customFormat="false" ht="15" hidden="false" customHeight="true" outlineLevel="0" collapsed="false">
      <c r="A16" s="18" t="s">
        <v>965</v>
      </c>
      <c r="B16" s="18" t="s">
        <v>965</v>
      </c>
      <c r="C16" s="18" t="s">
        <v>966</v>
      </c>
      <c r="D16" s="18" t="n">
        <v>2020</v>
      </c>
      <c r="E16" s="18" t="s">
        <v>967</v>
      </c>
      <c r="F16" s="18" t="s">
        <v>866</v>
      </c>
      <c r="G16" s="18" t="s">
        <v>970</v>
      </c>
      <c r="H16" s="18" t="n">
        <v>28.4</v>
      </c>
      <c r="I16" s="18" t="n">
        <v>77.1</v>
      </c>
      <c r="J16" s="18" t="s">
        <v>83</v>
      </c>
      <c r="K16" s="18" t="s">
        <v>2075</v>
      </c>
      <c r="L16" s="18" t="s">
        <v>853</v>
      </c>
      <c r="M16" s="18" t="s">
        <v>85</v>
      </c>
      <c r="N16" s="18" t="s">
        <v>86</v>
      </c>
      <c r="O16" s="18" t="s">
        <v>2043</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2082</v>
      </c>
      <c r="AT16" s="18" t="s">
        <v>2077</v>
      </c>
      <c r="AU16" s="18" t="s">
        <v>2078</v>
      </c>
      <c r="AV16" s="18" t="s">
        <v>2079</v>
      </c>
      <c r="AW16" s="32" t="s">
        <v>2083</v>
      </c>
      <c r="AX16" s="18" t="s">
        <v>979</v>
      </c>
      <c r="AY16" s="18" t="s">
        <v>2081</v>
      </c>
    </row>
    <row r="17" customFormat="false" ht="15" hidden="false" customHeight="true" outlineLevel="0" collapsed="false">
      <c r="A17" s="18" t="s">
        <v>965</v>
      </c>
      <c r="B17" s="18" t="s">
        <v>965</v>
      </c>
      <c r="C17" s="18" t="s">
        <v>966</v>
      </c>
      <c r="D17" s="18" t="n">
        <v>2020</v>
      </c>
      <c r="E17" s="18" t="s">
        <v>967</v>
      </c>
      <c r="F17" s="18" t="s">
        <v>866</v>
      </c>
      <c r="G17" s="18" t="s">
        <v>970</v>
      </c>
      <c r="H17" s="18" t="n">
        <v>28.4</v>
      </c>
      <c r="I17" s="18" t="n">
        <v>77.1</v>
      </c>
      <c r="J17" s="18" t="s">
        <v>83</v>
      </c>
      <c r="K17" s="18" t="s">
        <v>2075</v>
      </c>
      <c r="L17" s="18" t="s">
        <v>853</v>
      </c>
      <c r="M17" s="18" t="s">
        <v>85</v>
      </c>
      <c r="N17" s="18" t="s">
        <v>86</v>
      </c>
      <c r="O17" s="18" t="s">
        <v>2043</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2084</v>
      </c>
      <c r="AT17" s="18" t="s">
        <v>2077</v>
      </c>
      <c r="AU17" s="18" t="s">
        <v>2078</v>
      </c>
      <c r="AV17" s="18" t="s">
        <v>2079</v>
      </c>
      <c r="AW17" s="32" t="s">
        <v>2085</v>
      </c>
      <c r="AX17" s="18" t="s">
        <v>979</v>
      </c>
      <c r="AY17" s="18" t="s">
        <v>2081</v>
      </c>
    </row>
    <row r="18" customFormat="false" ht="15" hidden="false" customHeight="true" outlineLevel="0" collapsed="false">
      <c r="A18" s="18" t="s">
        <v>965</v>
      </c>
      <c r="B18" s="18" t="s">
        <v>965</v>
      </c>
      <c r="C18" s="18" t="s">
        <v>966</v>
      </c>
      <c r="D18" s="18" t="n">
        <v>2020</v>
      </c>
      <c r="E18" s="18" t="s">
        <v>967</v>
      </c>
      <c r="F18" s="18" t="s">
        <v>866</v>
      </c>
      <c r="G18" s="18" t="s">
        <v>970</v>
      </c>
      <c r="H18" s="18" t="n">
        <v>28.4</v>
      </c>
      <c r="I18" s="18" t="n">
        <v>77.1</v>
      </c>
      <c r="J18" s="18" t="s">
        <v>83</v>
      </c>
      <c r="K18" s="18" t="s">
        <v>2075</v>
      </c>
      <c r="L18" s="18" t="s">
        <v>853</v>
      </c>
      <c r="M18" s="18" t="s">
        <v>85</v>
      </c>
      <c r="N18" s="18" t="s">
        <v>86</v>
      </c>
      <c r="O18" s="18" t="s">
        <v>2043</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2086</v>
      </c>
      <c r="AT18" s="18" t="s">
        <v>2077</v>
      </c>
      <c r="AU18" s="18" t="s">
        <v>2078</v>
      </c>
      <c r="AV18" s="18" t="s">
        <v>2079</v>
      </c>
      <c r="AW18" s="32" t="s">
        <v>2087</v>
      </c>
      <c r="AX18" s="18" t="s">
        <v>979</v>
      </c>
      <c r="AY18" s="18" t="s">
        <v>2081</v>
      </c>
    </row>
    <row r="19" customFormat="false" ht="15" hidden="false" customHeight="true" outlineLevel="0" collapsed="false">
      <c r="A19" s="18" t="s">
        <v>965</v>
      </c>
      <c r="B19" s="18" t="s">
        <v>965</v>
      </c>
      <c r="C19" s="18" t="s">
        <v>966</v>
      </c>
      <c r="D19" s="18" t="n">
        <v>2020</v>
      </c>
      <c r="E19" s="18" t="s">
        <v>967</v>
      </c>
      <c r="F19" s="18" t="s">
        <v>866</v>
      </c>
      <c r="G19" s="18" t="s">
        <v>970</v>
      </c>
      <c r="H19" s="18" t="n">
        <v>28.4</v>
      </c>
      <c r="I19" s="18" t="n">
        <v>77.1</v>
      </c>
      <c r="J19" s="18" t="s">
        <v>83</v>
      </c>
      <c r="K19" s="18" t="s">
        <v>2075</v>
      </c>
      <c r="L19" s="18" t="s">
        <v>853</v>
      </c>
      <c r="M19" s="18" t="s">
        <v>85</v>
      </c>
      <c r="N19" s="18" t="s">
        <v>86</v>
      </c>
      <c r="O19" s="18" t="s">
        <v>2043</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2088</v>
      </c>
      <c r="AT19" s="18" t="s">
        <v>2077</v>
      </c>
      <c r="AU19" s="18" t="s">
        <v>2078</v>
      </c>
      <c r="AV19" s="18" t="s">
        <v>2079</v>
      </c>
      <c r="AW19" s="32" t="s">
        <v>2089</v>
      </c>
      <c r="AX19" s="18" t="s">
        <v>979</v>
      </c>
      <c r="AY19" s="18" t="s">
        <v>2081</v>
      </c>
    </row>
    <row r="20" customFormat="false" ht="15" hidden="false" customHeight="true" outlineLevel="0" collapsed="false">
      <c r="A20" s="18" t="s">
        <v>965</v>
      </c>
      <c r="B20" s="18" t="s">
        <v>965</v>
      </c>
      <c r="C20" s="18" t="s">
        <v>966</v>
      </c>
      <c r="D20" s="18" t="n">
        <v>2020</v>
      </c>
      <c r="E20" s="18" t="s">
        <v>967</v>
      </c>
      <c r="F20" s="18" t="s">
        <v>866</v>
      </c>
      <c r="G20" s="18" t="s">
        <v>970</v>
      </c>
      <c r="H20" s="18" t="n">
        <v>28.4</v>
      </c>
      <c r="I20" s="18" t="n">
        <v>77.1</v>
      </c>
      <c r="J20" s="18" t="s">
        <v>83</v>
      </c>
      <c r="K20" s="18" t="s">
        <v>2075</v>
      </c>
      <c r="L20" s="18" t="s">
        <v>853</v>
      </c>
      <c r="M20" s="18" t="s">
        <v>85</v>
      </c>
      <c r="N20" s="18" t="s">
        <v>86</v>
      </c>
      <c r="O20" s="18" t="s">
        <v>2043</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2090</v>
      </c>
      <c r="AT20" s="18" t="s">
        <v>2077</v>
      </c>
      <c r="AU20" s="18" t="s">
        <v>2078</v>
      </c>
      <c r="AV20" s="18" t="s">
        <v>2079</v>
      </c>
      <c r="AW20" s="32" t="s">
        <v>2091</v>
      </c>
      <c r="AX20" s="18" t="s">
        <v>979</v>
      </c>
      <c r="AY20" s="18" t="s">
        <v>2081</v>
      </c>
    </row>
    <row r="21" customFormat="false" ht="15" hidden="false" customHeight="true" outlineLevel="0" collapsed="false">
      <c r="A21" s="18" t="s">
        <v>965</v>
      </c>
      <c r="B21" s="18" t="s">
        <v>965</v>
      </c>
      <c r="C21" s="18" t="s">
        <v>966</v>
      </c>
      <c r="D21" s="18" t="n">
        <v>2020</v>
      </c>
      <c r="E21" s="18" t="s">
        <v>967</v>
      </c>
      <c r="F21" s="18" t="s">
        <v>866</v>
      </c>
      <c r="G21" s="18" t="s">
        <v>970</v>
      </c>
      <c r="H21" s="18" t="n">
        <v>28.4</v>
      </c>
      <c r="I21" s="18" t="n">
        <v>77.1</v>
      </c>
      <c r="J21" s="18" t="s">
        <v>83</v>
      </c>
      <c r="K21" s="18" t="s">
        <v>2075</v>
      </c>
      <c r="L21" s="18" t="s">
        <v>853</v>
      </c>
      <c r="M21" s="18" t="s">
        <v>85</v>
      </c>
      <c r="N21" s="18" t="s">
        <v>86</v>
      </c>
      <c r="O21" s="18" t="s">
        <v>2043</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2092</v>
      </c>
      <c r="AT21" s="18" t="s">
        <v>2077</v>
      </c>
      <c r="AU21" s="18" t="s">
        <v>2078</v>
      </c>
      <c r="AV21" s="18" t="s">
        <v>2079</v>
      </c>
      <c r="AW21" s="32" t="s">
        <v>2093</v>
      </c>
      <c r="AX21" s="18" t="s">
        <v>979</v>
      </c>
      <c r="AY21" s="18" t="s">
        <v>2081</v>
      </c>
    </row>
    <row r="22" customFormat="false" ht="15" hidden="false" customHeight="true" outlineLevel="0" collapsed="false">
      <c r="A22" s="18" t="s">
        <v>965</v>
      </c>
      <c r="B22" s="18" t="s">
        <v>965</v>
      </c>
      <c r="C22" s="18" t="s">
        <v>966</v>
      </c>
      <c r="D22" s="18" t="n">
        <v>2020</v>
      </c>
      <c r="E22" s="18" t="s">
        <v>967</v>
      </c>
      <c r="F22" s="18" t="s">
        <v>866</v>
      </c>
      <c r="G22" s="18" t="s">
        <v>970</v>
      </c>
      <c r="H22" s="18" t="n">
        <v>28.4</v>
      </c>
      <c r="I22" s="18" t="n">
        <v>77.1</v>
      </c>
      <c r="J22" s="18" t="s">
        <v>83</v>
      </c>
      <c r="K22" s="18" t="s">
        <v>2075</v>
      </c>
      <c r="L22" s="18" t="s">
        <v>853</v>
      </c>
      <c r="M22" s="18" t="s">
        <v>85</v>
      </c>
      <c r="N22" s="18" t="s">
        <v>86</v>
      </c>
      <c r="O22" s="18" t="s">
        <v>2043</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2094</v>
      </c>
      <c r="AT22" s="18" t="s">
        <v>2077</v>
      </c>
      <c r="AU22" s="18" t="s">
        <v>2078</v>
      </c>
      <c r="AV22" s="18" t="s">
        <v>2079</v>
      </c>
      <c r="AW22" s="32" t="s">
        <v>2095</v>
      </c>
      <c r="AX22" s="18" t="s">
        <v>979</v>
      </c>
      <c r="AY22" s="18" t="s">
        <v>2081</v>
      </c>
    </row>
    <row r="23" customFormat="false" ht="15" hidden="false" customHeight="true" outlineLevel="0" collapsed="false">
      <c r="A23" s="5" t="s">
        <v>1018</v>
      </c>
      <c r="B23" s="5" t="s">
        <v>1018</v>
      </c>
      <c r="C23" s="5" t="s">
        <v>1019</v>
      </c>
      <c r="D23" s="5" t="n">
        <v>2011</v>
      </c>
      <c r="E23" s="5" t="s">
        <v>1020</v>
      </c>
      <c r="F23" s="5" t="s">
        <v>887</v>
      </c>
      <c r="G23" s="5" t="s">
        <v>1023</v>
      </c>
      <c r="H23" s="5" t="n">
        <v>29.017</v>
      </c>
      <c r="I23" s="5" t="n">
        <v>77.75</v>
      </c>
      <c r="J23" s="5" t="s">
        <v>83</v>
      </c>
      <c r="K23" s="5" t="s">
        <v>2096</v>
      </c>
      <c r="L23" s="5" t="s">
        <v>84</v>
      </c>
      <c r="M23" s="5" t="s">
        <v>85</v>
      </c>
      <c r="N23" s="5" t="s">
        <v>86</v>
      </c>
      <c r="O23" s="5" t="s">
        <v>2097</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2098</v>
      </c>
      <c r="AK23" s="5"/>
      <c r="AL23" s="5"/>
      <c r="AM23" s="5" t="n">
        <v>8.1</v>
      </c>
      <c r="AN23" s="5"/>
      <c r="AO23" s="5"/>
      <c r="AP23" s="5" t="n">
        <v>55</v>
      </c>
      <c r="AQ23" s="5" t="n">
        <v>26</v>
      </c>
      <c r="AR23" s="5" t="s">
        <v>89</v>
      </c>
      <c r="AS23" s="5" t="s">
        <v>2099</v>
      </c>
      <c r="AT23" s="5" t="s">
        <v>2100</v>
      </c>
      <c r="AU23" s="5" t="s">
        <v>2101</v>
      </c>
      <c r="AV23" s="5" t="s">
        <v>2102</v>
      </c>
      <c r="AW23" s="23" t="s">
        <v>2103</v>
      </c>
      <c r="AX23" s="5" t="s">
        <v>1038</v>
      </c>
      <c r="AY23" s="5" t="s">
        <v>2104</v>
      </c>
    </row>
    <row r="24" customFormat="false" ht="15" hidden="false" customHeight="true" outlineLevel="0" collapsed="false">
      <c r="A24" s="5" t="s">
        <v>1018</v>
      </c>
      <c r="B24" s="5" t="s">
        <v>1018</v>
      </c>
      <c r="C24" s="5" t="s">
        <v>1019</v>
      </c>
      <c r="D24" s="5" t="n">
        <v>2011</v>
      </c>
      <c r="E24" s="5" t="s">
        <v>1020</v>
      </c>
      <c r="F24" s="5" t="s">
        <v>887</v>
      </c>
      <c r="G24" s="5" t="s">
        <v>1023</v>
      </c>
      <c r="H24" s="5" t="n">
        <v>29.017</v>
      </c>
      <c r="I24" s="5" t="n">
        <v>77.75</v>
      </c>
      <c r="J24" s="5" t="s">
        <v>83</v>
      </c>
      <c r="K24" s="5" t="s">
        <v>2096</v>
      </c>
      <c r="L24" s="5" t="s">
        <v>84</v>
      </c>
      <c r="M24" s="5" t="s">
        <v>85</v>
      </c>
      <c r="N24" s="5" t="s">
        <v>86</v>
      </c>
      <c r="O24" s="5" t="s">
        <v>2097</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2098</v>
      </c>
      <c r="AK24" s="5"/>
      <c r="AL24" s="5"/>
      <c r="AM24" s="5" t="n">
        <v>8.1</v>
      </c>
      <c r="AN24" s="5"/>
      <c r="AO24" s="5"/>
      <c r="AP24" s="5" t="n">
        <v>55</v>
      </c>
      <c r="AQ24" s="5" t="n">
        <v>26</v>
      </c>
      <c r="AR24" s="5" t="s">
        <v>89</v>
      </c>
      <c r="AS24" s="5" t="s">
        <v>2099</v>
      </c>
      <c r="AT24" s="5" t="s">
        <v>2100</v>
      </c>
      <c r="AU24" s="5" t="s">
        <v>2101</v>
      </c>
      <c r="AV24" s="5" t="s">
        <v>2102</v>
      </c>
      <c r="AW24" s="23" t="s">
        <v>2105</v>
      </c>
      <c r="AX24" s="5" t="s">
        <v>1038</v>
      </c>
      <c r="AY24" s="5" t="s">
        <v>2104</v>
      </c>
    </row>
    <row r="25" customFormat="false" ht="15" hidden="false" customHeight="true" outlineLevel="0" collapsed="false">
      <c r="A25" s="5" t="s">
        <v>1018</v>
      </c>
      <c r="B25" s="5" t="s">
        <v>1018</v>
      </c>
      <c r="C25" s="5" t="s">
        <v>1019</v>
      </c>
      <c r="D25" s="5" t="n">
        <v>2011</v>
      </c>
      <c r="E25" s="5" t="s">
        <v>1020</v>
      </c>
      <c r="F25" s="5" t="s">
        <v>887</v>
      </c>
      <c r="G25" s="5" t="s">
        <v>1023</v>
      </c>
      <c r="H25" s="5" t="n">
        <v>29.017</v>
      </c>
      <c r="I25" s="5" t="n">
        <v>77.75</v>
      </c>
      <c r="J25" s="5" t="s">
        <v>83</v>
      </c>
      <c r="K25" s="5" t="s">
        <v>2096</v>
      </c>
      <c r="L25" s="5" t="s">
        <v>84</v>
      </c>
      <c r="M25" s="5" t="s">
        <v>85</v>
      </c>
      <c r="N25" s="5" t="s">
        <v>86</v>
      </c>
      <c r="O25" s="5" t="s">
        <v>2106</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2098</v>
      </c>
      <c r="AK25" s="5"/>
      <c r="AL25" s="5"/>
      <c r="AM25" s="5" t="n">
        <v>8.1</v>
      </c>
      <c r="AN25" s="5"/>
      <c r="AO25" s="5"/>
      <c r="AP25" s="5" t="n">
        <v>55</v>
      </c>
      <c r="AQ25" s="5" t="n">
        <v>26</v>
      </c>
      <c r="AR25" s="5" t="s">
        <v>89</v>
      </c>
      <c r="AS25" s="5" t="s">
        <v>2099</v>
      </c>
      <c r="AT25" s="5" t="s">
        <v>2100</v>
      </c>
      <c r="AU25" s="5" t="s">
        <v>2101</v>
      </c>
      <c r="AV25" s="5" t="s">
        <v>2102</v>
      </c>
      <c r="AW25" s="23" t="s">
        <v>2103</v>
      </c>
      <c r="AX25" s="5" t="s">
        <v>1038</v>
      </c>
      <c r="AY25" s="5" t="s">
        <v>2104</v>
      </c>
    </row>
    <row r="26" customFormat="false" ht="15" hidden="false" customHeight="true" outlineLevel="0" collapsed="false">
      <c r="A26" s="5" t="s">
        <v>1018</v>
      </c>
      <c r="B26" s="5" t="s">
        <v>1018</v>
      </c>
      <c r="C26" s="5" t="s">
        <v>1019</v>
      </c>
      <c r="D26" s="5" t="n">
        <v>2011</v>
      </c>
      <c r="E26" s="5" t="s">
        <v>1020</v>
      </c>
      <c r="F26" s="5" t="s">
        <v>887</v>
      </c>
      <c r="G26" s="5" t="s">
        <v>1023</v>
      </c>
      <c r="H26" s="5" t="n">
        <v>29.017</v>
      </c>
      <c r="I26" s="5" t="n">
        <v>77.75</v>
      </c>
      <c r="J26" s="5" t="s">
        <v>83</v>
      </c>
      <c r="K26" s="5" t="s">
        <v>2096</v>
      </c>
      <c r="L26" s="5" t="s">
        <v>84</v>
      </c>
      <c r="M26" s="5" t="s">
        <v>85</v>
      </c>
      <c r="N26" s="5" t="s">
        <v>86</v>
      </c>
      <c r="O26" s="5" t="s">
        <v>2106</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2098</v>
      </c>
      <c r="AK26" s="5"/>
      <c r="AL26" s="5"/>
      <c r="AM26" s="5" t="n">
        <v>8.1</v>
      </c>
      <c r="AN26" s="5"/>
      <c r="AO26" s="5"/>
      <c r="AP26" s="5" t="n">
        <v>55</v>
      </c>
      <c r="AQ26" s="5" t="n">
        <v>26</v>
      </c>
      <c r="AR26" s="5" t="s">
        <v>89</v>
      </c>
      <c r="AS26" s="5" t="s">
        <v>2099</v>
      </c>
      <c r="AT26" s="5" t="s">
        <v>2100</v>
      </c>
      <c r="AU26" s="5" t="s">
        <v>2101</v>
      </c>
      <c r="AV26" s="5" t="s">
        <v>2102</v>
      </c>
      <c r="AW26" s="23" t="s">
        <v>2105</v>
      </c>
      <c r="AX26" s="5" t="s">
        <v>1038</v>
      </c>
      <c r="AY26" s="5" t="s">
        <v>2104</v>
      </c>
    </row>
    <row r="27" customFormat="false" ht="15" hidden="false" customHeight="true" outlineLevel="0" collapsed="false">
      <c r="A27" s="5" t="s">
        <v>1018</v>
      </c>
      <c r="B27" s="5" t="s">
        <v>1018</v>
      </c>
      <c r="C27" s="5" t="s">
        <v>1019</v>
      </c>
      <c r="D27" s="5" t="n">
        <v>2011</v>
      </c>
      <c r="E27" s="5" t="s">
        <v>1020</v>
      </c>
      <c r="F27" s="5" t="s">
        <v>887</v>
      </c>
      <c r="G27" s="5" t="s">
        <v>1023</v>
      </c>
      <c r="H27" s="5" t="n">
        <v>29.017</v>
      </c>
      <c r="I27" s="5" t="n">
        <v>77.75</v>
      </c>
      <c r="J27" s="5" t="s">
        <v>83</v>
      </c>
      <c r="K27" s="5" t="s">
        <v>2096</v>
      </c>
      <c r="L27" s="5" t="s">
        <v>84</v>
      </c>
      <c r="M27" s="5" t="s">
        <v>85</v>
      </c>
      <c r="N27" s="5" t="s">
        <v>86</v>
      </c>
      <c r="O27" s="5" t="s">
        <v>2107</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2098</v>
      </c>
      <c r="AK27" s="5"/>
      <c r="AL27" s="5"/>
      <c r="AM27" s="5" t="n">
        <v>8.1</v>
      </c>
      <c r="AN27" s="5"/>
      <c r="AO27" s="5"/>
      <c r="AP27" s="5" t="n">
        <v>55</v>
      </c>
      <c r="AQ27" s="5" t="n">
        <v>26</v>
      </c>
      <c r="AR27" s="5" t="s">
        <v>89</v>
      </c>
      <c r="AS27" s="5" t="s">
        <v>2099</v>
      </c>
      <c r="AT27" s="5" t="s">
        <v>2100</v>
      </c>
      <c r="AU27" s="5" t="s">
        <v>2101</v>
      </c>
      <c r="AV27" s="5" t="s">
        <v>2102</v>
      </c>
      <c r="AW27" s="23" t="s">
        <v>2103</v>
      </c>
      <c r="AX27" s="5" t="s">
        <v>1038</v>
      </c>
      <c r="AY27" s="5" t="s">
        <v>2104</v>
      </c>
    </row>
    <row r="28" customFormat="false" ht="15" hidden="false" customHeight="true" outlineLevel="0" collapsed="false">
      <c r="A28" s="5" t="s">
        <v>1018</v>
      </c>
      <c r="B28" s="5" t="s">
        <v>1018</v>
      </c>
      <c r="C28" s="5" t="s">
        <v>1019</v>
      </c>
      <c r="D28" s="5" t="n">
        <v>2011</v>
      </c>
      <c r="E28" s="5" t="s">
        <v>1020</v>
      </c>
      <c r="F28" s="5" t="s">
        <v>887</v>
      </c>
      <c r="G28" s="5" t="s">
        <v>1023</v>
      </c>
      <c r="H28" s="5" t="n">
        <v>29.017</v>
      </c>
      <c r="I28" s="5" t="n">
        <v>77.75</v>
      </c>
      <c r="J28" s="5" t="s">
        <v>83</v>
      </c>
      <c r="K28" s="5" t="s">
        <v>2096</v>
      </c>
      <c r="L28" s="5" t="s">
        <v>84</v>
      </c>
      <c r="M28" s="5" t="s">
        <v>85</v>
      </c>
      <c r="N28" s="5" t="s">
        <v>86</v>
      </c>
      <c r="O28" s="5" t="s">
        <v>2107</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2098</v>
      </c>
      <c r="AK28" s="5"/>
      <c r="AL28" s="5"/>
      <c r="AM28" s="5" t="n">
        <v>8.1</v>
      </c>
      <c r="AN28" s="5"/>
      <c r="AO28" s="5"/>
      <c r="AP28" s="5" t="n">
        <v>55</v>
      </c>
      <c r="AQ28" s="5" t="n">
        <v>26</v>
      </c>
      <c r="AR28" s="5" t="s">
        <v>89</v>
      </c>
      <c r="AS28" s="5" t="s">
        <v>2099</v>
      </c>
      <c r="AT28" s="5" t="s">
        <v>2100</v>
      </c>
      <c r="AU28" s="5" t="s">
        <v>2101</v>
      </c>
      <c r="AV28" s="5" t="s">
        <v>2102</v>
      </c>
      <c r="AW28" s="23" t="s">
        <v>2105</v>
      </c>
      <c r="AX28" s="5" t="s">
        <v>1038</v>
      </c>
      <c r="AY28" s="5" t="s">
        <v>2104</v>
      </c>
    </row>
    <row r="29" customFormat="false" ht="15" hidden="false" customHeight="true" outlineLevel="0" collapsed="false">
      <c r="A29" s="5" t="s">
        <v>1018</v>
      </c>
      <c r="B29" s="5" t="s">
        <v>1018</v>
      </c>
      <c r="C29" s="5" t="s">
        <v>1019</v>
      </c>
      <c r="D29" s="5" t="n">
        <v>2011</v>
      </c>
      <c r="E29" s="5" t="s">
        <v>1020</v>
      </c>
      <c r="F29" s="5" t="s">
        <v>887</v>
      </c>
      <c r="G29" s="5" t="s">
        <v>1023</v>
      </c>
      <c r="H29" s="5" t="n">
        <v>29.017</v>
      </c>
      <c r="I29" s="5" t="n">
        <v>77.75</v>
      </c>
      <c r="J29" s="5" t="s">
        <v>83</v>
      </c>
      <c r="K29" s="5" t="s">
        <v>2096</v>
      </c>
      <c r="L29" s="5" t="s">
        <v>84</v>
      </c>
      <c r="M29" s="5" t="s">
        <v>85</v>
      </c>
      <c r="N29" s="5" t="s">
        <v>2050</v>
      </c>
      <c r="O29" s="5" t="s">
        <v>2108</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2098</v>
      </c>
      <c r="AK29" s="5"/>
      <c r="AL29" s="5"/>
      <c r="AM29" s="5" t="n">
        <v>8.1</v>
      </c>
      <c r="AN29" s="5"/>
      <c r="AO29" s="5"/>
      <c r="AP29" s="5" t="n">
        <v>55</v>
      </c>
      <c r="AQ29" s="5" t="n">
        <v>26</v>
      </c>
      <c r="AR29" s="5" t="s">
        <v>89</v>
      </c>
      <c r="AS29" s="5" t="s">
        <v>2099</v>
      </c>
      <c r="AT29" s="5" t="s">
        <v>2100</v>
      </c>
      <c r="AU29" s="5" t="s">
        <v>2101</v>
      </c>
      <c r="AV29" s="5" t="s">
        <v>2102</v>
      </c>
      <c r="AW29" s="23" t="s">
        <v>2109</v>
      </c>
      <c r="AX29" s="5" t="s">
        <v>1038</v>
      </c>
      <c r="AY29" s="5" t="s">
        <v>2104</v>
      </c>
    </row>
    <row r="30" customFormat="false" ht="15" hidden="false" customHeight="true" outlineLevel="0" collapsed="false">
      <c r="A30" s="5" t="s">
        <v>1018</v>
      </c>
      <c r="B30" s="5" t="s">
        <v>1018</v>
      </c>
      <c r="C30" s="5" t="s">
        <v>1019</v>
      </c>
      <c r="D30" s="5" t="n">
        <v>2011</v>
      </c>
      <c r="E30" s="5" t="s">
        <v>1020</v>
      </c>
      <c r="F30" s="5" t="s">
        <v>887</v>
      </c>
      <c r="G30" s="5" t="s">
        <v>1023</v>
      </c>
      <c r="H30" s="5" t="n">
        <v>29.017</v>
      </c>
      <c r="I30" s="5" t="n">
        <v>77.75</v>
      </c>
      <c r="J30" s="5" t="s">
        <v>83</v>
      </c>
      <c r="K30" s="5" t="s">
        <v>2096</v>
      </c>
      <c r="L30" s="5" t="s">
        <v>84</v>
      </c>
      <c r="M30" s="5" t="s">
        <v>85</v>
      </c>
      <c r="N30" s="5" t="s">
        <v>2050</v>
      </c>
      <c r="O30" s="5" t="s">
        <v>2108</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2098</v>
      </c>
      <c r="AK30" s="5"/>
      <c r="AL30" s="5"/>
      <c r="AM30" s="5" t="n">
        <v>8.1</v>
      </c>
      <c r="AN30" s="5"/>
      <c r="AO30" s="5"/>
      <c r="AP30" s="5" t="n">
        <v>55</v>
      </c>
      <c r="AQ30" s="5" t="n">
        <v>26</v>
      </c>
      <c r="AR30" s="5" t="s">
        <v>89</v>
      </c>
      <c r="AS30" s="5" t="s">
        <v>2099</v>
      </c>
      <c r="AT30" s="5" t="s">
        <v>2100</v>
      </c>
      <c r="AU30" s="5" t="s">
        <v>2101</v>
      </c>
      <c r="AV30" s="5" t="s">
        <v>2102</v>
      </c>
      <c r="AW30" s="23" t="s">
        <v>2110</v>
      </c>
      <c r="AX30" s="5" t="s">
        <v>1038</v>
      </c>
      <c r="AY30" s="5" t="s">
        <v>2104</v>
      </c>
    </row>
    <row r="31" customFormat="false" ht="15" hidden="false" customHeight="true" outlineLevel="0" collapsed="false">
      <c r="A31" s="5" t="s">
        <v>1041</v>
      </c>
      <c r="B31" s="5" t="s">
        <v>1041</v>
      </c>
      <c r="C31" s="5" t="s">
        <v>1042</v>
      </c>
      <c r="D31" s="5" t="n">
        <v>2022</v>
      </c>
      <c r="E31" s="5" t="s">
        <v>843</v>
      </c>
      <c r="F31" s="5" t="s">
        <v>1045</v>
      </c>
      <c r="G31" s="5" t="s">
        <v>1046</v>
      </c>
      <c r="H31" s="5" t="n">
        <v>24.724</v>
      </c>
      <c r="I31" s="5" t="n">
        <v>90.437</v>
      </c>
      <c r="J31" s="5" t="s">
        <v>83</v>
      </c>
      <c r="K31" s="5" t="s">
        <v>2111</v>
      </c>
      <c r="L31" s="5" t="s">
        <v>84</v>
      </c>
      <c r="M31" s="5" t="s">
        <v>85</v>
      </c>
      <c r="N31" s="5" t="s">
        <v>86</v>
      </c>
      <c r="O31" s="5" t="s">
        <v>2043</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2112</v>
      </c>
      <c r="AT31" s="5" t="s">
        <v>2113</v>
      </c>
      <c r="AU31" s="5" t="s">
        <v>2114</v>
      </c>
      <c r="AV31" s="5" t="s">
        <v>2115</v>
      </c>
      <c r="AW31" s="23" t="s">
        <v>2116</v>
      </c>
      <c r="AX31" s="5" t="s">
        <v>1060</v>
      </c>
      <c r="AY31" s="5" t="s">
        <v>2117</v>
      </c>
    </row>
    <row r="32" customFormat="false" ht="15" hidden="false" customHeight="true" outlineLevel="0" collapsed="false">
      <c r="A32" s="5" t="s">
        <v>1041</v>
      </c>
      <c r="B32" s="5" t="s">
        <v>1041</v>
      </c>
      <c r="C32" s="5" t="s">
        <v>1042</v>
      </c>
      <c r="D32" s="5" t="n">
        <v>2022</v>
      </c>
      <c r="E32" s="5" t="s">
        <v>843</v>
      </c>
      <c r="F32" s="5" t="s">
        <v>1045</v>
      </c>
      <c r="G32" s="5" t="s">
        <v>1046</v>
      </c>
      <c r="H32" s="5" t="n">
        <v>24.724</v>
      </c>
      <c r="I32" s="5" t="n">
        <v>90.437</v>
      </c>
      <c r="J32" s="5" t="s">
        <v>83</v>
      </c>
      <c r="K32" s="5" t="s">
        <v>2111</v>
      </c>
      <c r="L32" s="5" t="s">
        <v>84</v>
      </c>
      <c r="M32" s="5" t="s">
        <v>85</v>
      </c>
      <c r="N32" s="5" t="s">
        <v>86</v>
      </c>
      <c r="O32" s="5" t="s">
        <v>2043</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2112</v>
      </c>
      <c r="AT32" s="5" t="s">
        <v>2113</v>
      </c>
      <c r="AU32" s="5" t="s">
        <v>2114</v>
      </c>
      <c r="AV32" s="5" t="s">
        <v>2115</v>
      </c>
      <c r="AW32" s="23" t="s">
        <v>2118</v>
      </c>
      <c r="AX32" s="5" t="s">
        <v>1060</v>
      </c>
      <c r="AY32" s="5" t="s">
        <v>2117</v>
      </c>
    </row>
    <row r="33" customFormat="false" ht="15" hidden="false" customHeight="true" outlineLevel="0" collapsed="false">
      <c r="A33" s="5" t="s">
        <v>1064</v>
      </c>
      <c r="B33" s="5" t="s">
        <v>1064</v>
      </c>
      <c r="C33" s="5" t="s">
        <v>1065</v>
      </c>
      <c r="D33" s="5" t="n">
        <v>2022</v>
      </c>
      <c r="E33" s="5" t="s">
        <v>80</v>
      </c>
      <c r="F33" s="5" t="s">
        <v>942</v>
      </c>
      <c r="G33" s="5" t="s">
        <v>943</v>
      </c>
      <c r="H33" s="5" t="n">
        <v>29.706</v>
      </c>
      <c r="I33" s="5" t="n">
        <v>76.956</v>
      </c>
      <c r="J33" s="5" t="s">
        <v>83</v>
      </c>
      <c r="K33" s="5" t="n">
        <v>2019</v>
      </c>
      <c r="L33" s="5" t="s">
        <v>84</v>
      </c>
      <c r="M33" s="5" t="s">
        <v>85</v>
      </c>
      <c r="N33" s="5" t="s">
        <v>86</v>
      </c>
      <c r="O33" s="5" t="s">
        <v>2097</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2119</v>
      </c>
      <c r="AT33" s="5" t="s">
        <v>2120</v>
      </c>
      <c r="AU33" s="5" t="s">
        <v>2121</v>
      </c>
      <c r="AV33" s="5" t="s">
        <v>2102</v>
      </c>
      <c r="AW33" s="23" t="s">
        <v>2122</v>
      </c>
      <c r="AX33" s="5" t="s">
        <v>1076</v>
      </c>
      <c r="AY33" s="5" t="s">
        <v>2123</v>
      </c>
    </row>
    <row r="34" customFormat="false" ht="14.25" hidden="false" customHeight="true" outlineLevel="0" collapsed="false">
      <c r="A34" s="5" t="s">
        <v>1064</v>
      </c>
      <c r="B34" s="5" t="s">
        <v>1064</v>
      </c>
      <c r="C34" s="5" t="s">
        <v>1065</v>
      </c>
      <c r="D34" s="5" t="n">
        <v>2022</v>
      </c>
      <c r="E34" s="5" t="s">
        <v>80</v>
      </c>
      <c r="F34" s="5" t="s">
        <v>942</v>
      </c>
      <c r="G34" s="5" t="s">
        <v>943</v>
      </c>
      <c r="H34" s="5" t="n">
        <v>29.706</v>
      </c>
      <c r="I34" s="5" t="n">
        <v>76.956</v>
      </c>
      <c r="J34" s="5" t="s">
        <v>83</v>
      </c>
      <c r="K34" s="5" t="n">
        <v>2019</v>
      </c>
      <c r="L34" s="5" t="s">
        <v>84</v>
      </c>
      <c r="M34" s="5" t="s">
        <v>85</v>
      </c>
      <c r="N34" s="5" t="s">
        <v>86</v>
      </c>
      <c r="O34" s="5" t="s">
        <v>2124</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2119</v>
      </c>
      <c r="AT34" s="5" t="s">
        <v>2120</v>
      </c>
      <c r="AU34" s="5" t="s">
        <v>2121</v>
      </c>
      <c r="AV34" s="5" t="s">
        <v>2102</v>
      </c>
      <c r="AW34" s="23" t="s">
        <v>2125</v>
      </c>
      <c r="AX34" s="5" t="s">
        <v>1076</v>
      </c>
      <c r="AY34" s="5" t="s">
        <v>2123</v>
      </c>
    </row>
    <row r="35" customFormat="false" ht="14.25" hidden="false" customHeight="true" outlineLevel="0" collapsed="false">
      <c r="A35" s="5" t="s">
        <v>1064</v>
      </c>
      <c r="B35" s="5" t="s">
        <v>1064</v>
      </c>
      <c r="C35" s="5" t="s">
        <v>1065</v>
      </c>
      <c r="D35" s="5" t="n">
        <v>2022</v>
      </c>
      <c r="E35" s="5" t="s">
        <v>80</v>
      </c>
      <c r="F35" s="5" t="s">
        <v>942</v>
      </c>
      <c r="G35" s="5" t="s">
        <v>943</v>
      </c>
      <c r="H35" s="5" t="n">
        <v>29.706</v>
      </c>
      <c r="I35" s="5" t="n">
        <v>76.956</v>
      </c>
      <c r="J35" s="5" t="s">
        <v>83</v>
      </c>
      <c r="K35" s="5" t="n">
        <v>2019</v>
      </c>
      <c r="L35" s="5" t="s">
        <v>84</v>
      </c>
      <c r="M35" s="5" t="s">
        <v>85</v>
      </c>
      <c r="N35" s="5" t="s">
        <v>2050</v>
      </c>
      <c r="O35" s="5" t="s">
        <v>2051</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2119</v>
      </c>
      <c r="AT35" s="5" t="s">
        <v>2120</v>
      </c>
      <c r="AU35" s="5" t="s">
        <v>2121</v>
      </c>
      <c r="AV35" s="5" t="s">
        <v>2102</v>
      </c>
      <c r="AW35" s="23" t="s">
        <v>2126</v>
      </c>
      <c r="AX35" s="5" t="s">
        <v>1076</v>
      </c>
      <c r="AY35" s="5" t="s">
        <v>2123</v>
      </c>
    </row>
    <row r="36" customFormat="false" ht="14.25" hidden="false" customHeight="true" outlineLevel="0" collapsed="false">
      <c r="A36" s="18" t="n">
        <v>170</v>
      </c>
      <c r="B36" s="18" t="n">
        <v>170</v>
      </c>
      <c r="C36" s="18" t="s">
        <v>1001</v>
      </c>
      <c r="D36" s="18" t="n">
        <v>2003</v>
      </c>
      <c r="E36" s="18" t="s">
        <v>884</v>
      </c>
      <c r="F36" s="18" t="s">
        <v>917</v>
      </c>
      <c r="G36" s="18" t="s">
        <v>2127</v>
      </c>
      <c r="H36" s="18" t="n">
        <v>30.933</v>
      </c>
      <c r="I36" s="18" t="n">
        <v>75.867</v>
      </c>
      <c r="J36" s="18" t="s">
        <v>921</v>
      </c>
      <c r="K36" s="18" t="n">
        <v>1996</v>
      </c>
      <c r="L36" s="18" t="s">
        <v>872</v>
      </c>
      <c r="M36" s="18" t="s">
        <v>1008</v>
      </c>
      <c r="N36" s="18" t="s">
        <v>86</v>
      </c>
      <c r="O36" s="18" t="s">
        <v>2097</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2128</v>
      </c>
      <c r="AT36" s="18" t="s">
        <v>2129</v>
      </c>
      <c r="AU36" s="18" t="s">
        <v>2130</v>
      </c>
      <c r="AV36" s="18" t="s">
        <v>2131</v>
      </c>
      <c r="AW36" s="32" t="s">
        <v>2132</v>
      </c>
      <c r="AX36" s="18" t="s">
        <v>1014</v>
      </c>
      <c r="AY36" s="18" t="s">
        <v>2133</v>
      </c>
    </row>
    <row r="37" customFormat="false" ht="14.25" hidden="false" customHeight="true" outlineLevel="0" collapsed="false">
      <c r="A37" s="18" t="n">
        <v>170</v>
      </c>
      <c r="B37" s="18" t="n">
        <v>170</v>
      </c>
      <c r="C37" s="18" t="s">
        <v>1001</v>
      </c>
      <c r="D37" s="18" t="n">
        <v>2003</v>
      </c>
      <c r="E37" s="18" t="s">
        <v>884</v>
      </c>
      <c r="F37" s="18" t="s">
        <v>917</v>
      </c>
      <c r="G37" s="18" t="s">
        <v>2127</v>
      </c>
      <c r="H37" s="18" t="n">
        <v>30.933</v>
      </c>
      <c r="I37" s="18" t="n">
        <v>75.867</v>
      </c>
      <c r="J37" s="18" t="s">
        <v>921</v>
      </c>
      <c r="K37" s="18" t="n">
        <v>1996</v>
      </c>
      <c r="L37" s="18" t="s">
        <v>872</v>
      </c>
      <c r="M37" s="18" t="s">
        <v>1008</v>
      </c>
      <c r="N37" s="18" t="s">
        <v>86</v>
      </c>
      <c r="O37" s="18" t="s">
        <v>2134</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2128</v>
      </c>
      <c r="AT37" s="18" t="s">
        <v>2129</v>
      </c>
      <c r="AU37" s="18" t="s">
        <v>2130</v>
      </c>
      <c r="AV37" s="18" t="s">
        <v>2131</v>
      </c>
      <c r="AW37" s="32" t="s">
        <v>2135</v>
      </c>
      <c r="AX37" s="18" t="s">
        <v>1014</v>
      </c>
      <c r="AY37" s="18" t="s">
        <v>2133</v>
      </c>
    </row>
    <row r="38" customFormat="false" ht="14.25" hidden="false" customHeight="true" outlineLevel="0" collapsed="false">
      <c r="A38" s="18" t="n">
        <v>170</v>
      </c>
      <c r="B38" s="18" t="n">
        <v>170</v>
      </c>
      <c r="C38" s="18" t="s">
        <v>1001</v>
      </c>
      <c r="D38" s="18" t="n">
        <v>2003</v>
      </c>
      <c r="E38" s="18" t="s">
        <v>884</v>
      </c>
      <c r="F38" s="18" t="s">
        <v>917</v>
      </c>
      <c r="G38" s="18" t="s">
        <v>2127</v>
      </c>
      <c r="H38" s="18" t="n">
        <v>30.933</v>
      </c>
      <c r="I38" s="18" t="n">
        <v>75.867</v>
      </c>
      <c r="J38" s="18" t="s">
        <v>921</v>
      </c>
      <c r="K38" s="18" t="n">
        <v>1996</v>
      </c>
      <c r="L38" s="18" t="s">
        <v>872</v>
      </c>
      <c r="M38" s="18" t="s">
        <v>1008</v>
      </c>
      <c r="N38" s="18" t="s">
        <v>86</v>
      </c>
      <c r="O38" s="18" t="s">
        <v>2136</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2128</v>
      </c>
      <c r="AT38" s="18" t="s">
        <v>2129</v>
      </c>
      <c r="AU38" s="18" t="s">
        <v>2130</v>
      </c>
      <c r="AV38" s="18" t="s">
        <v>2131</v>
      </c>
      <c r="AW38" s="32" t="s">
        <v>2137</v>
      </c>
      <c r="AX38" s="18" t="s">
        <v>1014</v>
      </c>
      <c r="AY38" s="18" t="s">
        <v>2133</v>
      </c>
    </row>
    <row r="39" customFormat="false" ht="14.25" hidden="false" customHeight="true" outlineLevel="0" collapsed="false">
      <c r="A39" s="18" t="n">
        <v>170</v>
      </c>
      <c r="B39" s="18" t="n">
        <v>170</v>
      </c>
      <c r="C39" s="18" t="s">
        <v>1001</v>
      </c>
      <c r="D39" s="18" t="n">
        <v>2003</v>
      </c>
      <c r="E39" s="18" t="s">
        <v>884</v>
      </c>
      <c r="F39" s="18" t="s">
        <v>917</v>
      </c>
      <c r="G39" s="18" t="s">
        <v>2127</v>
      </c>
      <c r="H39" s="18" t="n">
        <v>30.933</v>
      </c>
      <c r="I39" s="18" t="n">
        <v>75.867</v>
      </c>
      <c r="J39" s="18" t="s">
        <v>921</v>
      </c>
      <c r="K39" s="18" t="n">
        <v>1996</v>
      </c>
      <c r="L39" s="18" t="s">
        <v>872</v>
      </c>
      <c r="M39" s="18" t="s">
        <v>1008</v>
      </c>
      <c r="N39" s="18" t="s">
        <v>86</v>
      </c>
      <c r="O39" s="18" t="s">
        <v>2138</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2128</v>
      </c>
      <c r="AT39" s="18" t="s">
        <v>2129</v>
      </c>
      <c r="AU39" s="18" t="s">
        <v>2130</v>
      </c>
      <c r="AV39" s="18" t="s">
        <v>2131</v>
      </c>
      <c r="AW39" s="32" t="s">
        <v>2139</v>
      </c>
      <c r="AX39" s="18" t="s">
        <v>1014</v>
      </c>
      <c r="AY39" s="18" t="s">
        <v>2133</v>
      </c>
    </row>
    <row r="40" customFormat="false" ht="14.25" hidden="false" customHeight="true" outlineLevel="0" collapsed="false">
      <c r="A40" s="18" t="n">
        <v>170</v>
      </c>
      <c r="B40" s="18" t="n">
        <v>170</v>
      </c>
      <c r="C40" s="18" t="s">
        <v>1001</v>
      </c>
      <c r="D40" s="18" t="n">
        <v>2003</v>
      </c>
      <c r="E40" s="18" t="s">
        <v>884</v>
      </c>
      <c r="F40" s="18" t="s">
        <v>917</v>
      </c>
      <c r="G40" s="18" t="s">
        <v>2127</v>
      </c>
      <c r="H40" s="18" t="n">
        <v>30.933</v>
      </c>
      <c r="I40" s="18" t="n">
        <v>75.867</v>
      </c>
      <c r="J40" s="18" t="s">
        <v>921</v>
      </c>
      <c r="K40" s="18" t="n">
        <v>1996</v>
      </c>
      <c r="L40" s="18" t="s">
        <v>872</v>
      </c>
      <c r="M40" s="18" t="s">
        <v>1008</v>
      </c>
      <c r="N40" s="18" t="s">
        <v>2050</v>
      </c>
      <c r="O40" s="18" t="s">
        <v>2140</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2128</v>
      </c>
      <c r="AT40" s="18" t="s">
        <v>2129</v>
      </c>
      <c r="AU40" s="18" t="s">
        <v>2130</v>
      </c>
      <c r="AV40" s="18" t="s">
        <v>2131</v>
      </c>
      <c r="AW40" s="32" t="s">
        <v>2141</v>
      </c>
      <c r="AX40" s="18" t="s">
        <v>1014</v>
      </c>
      <c r="AY40" s="18" t="s">
        <v>2133</v>
      </c>
    </row>
    <row r="41" customFormat="false" ht="14.25" hidden="false" customHeight="true" outlineLevel="0" collapsed="false">
      <c r="A41" s="18" t="n">
        <v>170</v>
      </c>
      <c r="B41" s="18" t="n">
        <v>170</v>
      </c>
      <c r="C41" s="18" t="s">
        <v>1001</v>
      </c>
      <c r="D41" s="18" t="n">
        <v>2003</v>
      </c>
      <c r="E41" s="18" t="s">
        <v>884</v>
      </c>
      <c r="F41" s="18" t="s">
        <v>917</v>
      </c>
      <c r="G41" s="18" t="s">
        <v>2127</v>
      </c>
      <c r="H41" s="18" t="n">
        <v>30.933</v>
      </c>
      <c r="I41" s="18" t="n">
        <v>75.867</v>
      </c>
      <c r="J41" s="18" t="s">
        <v>921</v>
      </c>
      <c r="K41" s="18" t="n">
        <v>1996</v>
      </c>
      <c r="L41" s="18" t="s">
        <v>872</v>
      </c>
      <c r="M41" s="18" t="s">
        <v>1008</v>
      </c>
      <c r="N41" s="18" t="s">
        <v>2050</v>
      </c>
      <c r="O41" s="18" t="s">
        <v>2142</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2128</v>
      </c>
      <c r="AT41" s="18" t="s">
        <v>2129</v>
      </c>
      <c r="AU41" s="18" t="s">
        <v>2130</v>
      </c>
      <c r="AV41" s="18" t="s">
        <v>2131</v>
      </c>
      <c r="AW41" s="32" t="s">
        <v>2143</v>
      </c>
      <c r="AX41" s="18" t="s">
        <v>1014</v>
      </c>
      <c r="AY41" s="18" t="s">
        <v>2133</v>
      </c>
    </row>
    <row r="42" customFormat="false" ht="14.25" hidden="false" customHeight="true" outlineLevel="0" collapsed="false">
      <c r="A42" s="18" t="n">
        <v>170</v>
      </c>
      <c r="B42" s="18" t="n">
        <v>170</v>
      </c>
      <c r="C42" s="18" t="s">
        <v>1001</v>
      </c>
      <c r="D42" s="18" t="n">
        <v>2003</v>
      </c>
      <c r="E42" s="18" t="s">
        <v>884</v>
      </c>
      <c r="F42" s="18" t="s">
        <v>917</v>
      </c>
      <c r="G42" s="18" t="s">
        <v>2127</v>
      </c>
      <c r="H42" s="18" t="n">
        <v>30.933</v>
      </c>
      <c r="I42" s="18" t="n">
        <v>75.867</v>
      </c>
      <c r="J42" s="18" t="s">
        <v>921</v>
      </c>
      <c r="K42" s="18" t="n">
        <v>1996</v>
      </c>
      <c r="L42" s="18" t="s">
        <v>872</v>
      </c>
      <c r="M42" s="18" t="s">
        <v>1008</v>
      </c>
      <c r="N42" s="18" t="s">
        <v>2050</v>
      </c>
      <c r="O42" s="18" t="s">
        <v>2144</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2128</v>
      </c>
      <c r="AT42" s="18" t="s">
        <v>2129</v>
      </c>
      <c r="AU42" s="18" t="s">
        <v>2130</v>
      </c>
      <c r="AV42" s="18" t="s">
        <v>2131</v>
      </c>
      <c r="AW42" s="32" t="s">
        <v>2145</v>
      </c>
      <c r="AX42" s="18" t="s">
        <v>1014</v>
      </c>
      <c r="AY42" s="18" t="s">
        <v>2133</v>
      </c>
    </row>
    <row r="43" customFormat="false" ht="14.25" hidden="false" customHeight="true" outlineLevel="0" collapsed="false">
      <c r="A43" s="18" t="n">
        <v>170</v>
      </c>
      <c r="B43" s="18" t="n">
        <v>170</v>
      </c>
      <c r="C43" s="18" t="s">
        <v>1001</v>
      </c>
      <c r="D43" s="18" t="n">
        <v>2003</v>
      </c>
      <c r="E43" s="18" t="s">
        <v>884</v>
      </c>
      <c r="F43" s="18" t="s">
        <v>917</v>
      </c>
      <c r="G43" s="18" t="s">
        <v>2127</v>
      </c>
      <c r="H43" s="18" t="n">
        <v>30.933</v>
      </c>
      <c r="I43" s="18" t="n">
        <v>75.867</v>
      </c>
      <c r="J43" s="18" t="s">
        <v>921</v>
      </c>
      <c r="K43" s="18" t="n">
        <v>1996</v>
      </c>
      <c r="L43" s="18" t="s">
        <v>872</v>
      </c>
      <c r="M43" s="18" t="s">
        <v>1008</v>
      </c>
      <c r="N43" s="18" t="s">
        <v>2050</v>
      </c>
      <c r="O43" s="18" t="s">
        <v>2146</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2128</v>
      </c>
      <c r="AT43" s="18" t="s">
        <v>2129</v>
      </c>
      <c r="AU43" s="18" t="s">
        <v>2130</v>
      </c>
      <c r="AV43" s="18" t="s">
        <v>2131</v>
      </c>
      <c r="AW43" s="32" t="s">
        <v>2147</v>
      </c>
      <c r="AX43" s="18" t="s">
        <v>1014</v>
      </c>
      <c r="AY43" s="18" t="s">
        <v>2133</v>
      </c>
    </row>
    <row r="44" customFormat="false" ht="14.25" hidden="false" customHeight="true" outlineLevel="0" collapsed="false">
      <c r="A44" s="18" t="n">
        <v>170</v>
      </c>
      <c r="B44" s="18" t="n">
        <v>170</v>
      </c>
      <c r="C44" s="18" t="s">
        <v>1001</v>
      </c>
      <c r="D44" s="18" t="n">
        <v>2003</v>
      </c>
      <c r="E44" s="18" t="s">
        <v>884</v>
      </c>
      <c r="F44" s="18" t="s">
        <v>917</v>
      </c>
      <c r="G44" s="18" t="s">
        <v>2127</v>
      </c>
      <c r="H44" s="18" t="n">
        <v>30.933</v>
      </c>
      <c r="I44" s="18" t="n">
        <v>75.867</v>
      </c>
      <c r="J44" s="18" t="s">
        <v>921</v>
      </c>
      <c r="K44" s="18" t="n">
        <v>1996</v>
      </c>
      <c r="L44" s="18" t="s">
        <v>872</v>
      </c>
      <c r="M44" s="18" t="s">
        <v>1008</v>
      </c>
      <c r="N44" s="18" t="s">
        <v>2050</v>
      </c>
      <c r="O44" s="18" t="s">
        <v>2148</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2128</v>
      </c>
      <c r="AT44" s="18" t="s">
        <v>2129</v>
      </c>
      <c r="AU44" s="18" t="s">
        <v>2130</v>
      </c>
      <c r="AV44" s="18" t="s">
        <v>2131</v>
      </c>
      <c r="AW44" s="32" t="s">
        <v>2149</v>
      </c>
      <c r="AX44" s="18" t="s">
        <v>1014</v>
      </c>
      <c r="AY44" s="18" t="s">
        <v>2133</v>
      </c>
    </row>
    <row r="45" customFormat="false" ht="14.25" hidden="false" customHeight="true" outlineLevel="0" collapsed="false">
      <c r="A45" s="5" t="n">
        <v>170</v>
      </c>
      <c r="B45" s="5" t="n">
        <v>170</v>
      </c>
      <c r="C45" s="5" t="s">
        <v>1001</v>
      </c>
      <c r="D45" s="5" t="n">
        <v>2003</v>
      </c>
      <c r="E45" s="5" t="s">
        <v>884</v>
      </c>
      <c r="F45" s="5" t="s">
        <v>917</v>
      </c>
      <c r="G45" s="5" t="s">
        <v>2127</v>
      </c>
      <c r="H45" s="5" t="n">
        <v>30.933</v>
      </c>
      <c r="I45" s="5" t="n">
        <v>75.867</v>
      </c>
      <c r="J45" s="5" t="s">
        <v>921</v>
      </c>
      <c r="K45" s="5" t="s">
        <v>2150</v>
      </c>
      <c r="L45" s="5" t="s">
        <v>872</v>
      </c>
      <c r="M45" s="5" t="s">
        <v>1008</v>
      </c>
      <c r="N45" s="5" t="s">
        <v>86</v>
      </c>
      <c r="O45" s="5" t="s">
        <v>2097</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2128</v>
      </c>
      <c r="AT45" s="5" t="s">
        <v>2151</v>
      </c>
      <c r="AU45" s="5" t="s">
        <v>2130</v>
      </c>
      <c r="AV45" s="5" t="s">
        <v>2152</v>
      </c>
      <c r="AW45" s="23" t="s">
        <v>2153</v>
      </c>
      <c r="AX45" s="5" t="s">
        <v>1014</v>
      </c>
      <c r="AY45" s="5" t="s">
        <v>2133</v>
      </c>
    </row>
    <row r="46" customFormat="false" ht="14.25" hidden="false" customHeight="true" outlineLevel="0" collapsed="false">
      <c r="A46" s="5" t="n">
        <v>170</v>
      </c>
      <c r="B46" s="5" t="n">
        <v>170</v>
      </c>
      <c r="C46" s="5" t="s">
        <v>1001</v>
      </c>
      <c r="D46" s="5" t="n">
        <v>2003</v>
      </c>
      <c r="E46" s="5" t="s">
        <v>884</v>
      </c>
      <c r="F46" s="5" t="s">
        <v>917</v>
      </c>
      <c r="G46" s="5" t="s">
        <v>2127</v>
      </c>
      <c r="H46" s="5" t="n">
        <v>30.933</v>
      </c>
      <c r="I46" s="5" t="n">
        <v>75.867</v>
      </c>
      <c r="J46" s="5" t="s">
        <v>921</v>
      </c>
      <c r="K46" s="5" t="s">
        <v>2150</v>
      </c>
      <c r="L46" s="5" t="s">
        <v>872</v>
      </c>
      <c r="M46" s="5" t="s">
        <v>1008</v>
      </c>
      <c r="N46" s="5" t="s">
        <v>86</v>
      </c>
      <c r="O46" s="5" t="s">
        <v>2134</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2128</v>
      </c>
      <c r="AT46" s="5" t="s">
        <v>2151</v>
      </c>
      <c r="AU46" s="5" t="s">
        <v>2130</v>
      </c>
      <c r="AV46" s="5" t="s">
        <v>2152</v>
      </c>
      <c r="AW46" s="23" t="s">
        <v>2154</v>
      </c>
      <c r="AX46" s="5" t="s">
        <v>1014</v>
      </c>
      <c r="AY46" s="5" t="s">
        <v>2133</v>
      </c>
    </row>
    <row r="47" customFormat="false" ht="14.25" hidden="false" customHeight="true" outlineLevel="0" collapsed="false">
      <c r="A47" s="5" t="n">
        <v>170</v>
      </c>
      <c r="B47" s="5" t="n">
        <v>170</v>
      </c>
      <c r="C47" s="5" t="s">
        <v>1001</v>
      </c>
      <c r="D47" s="5" t="n">
        <v>2003</v>
      </c>
      <c r="E47" s="5" t="s">
        <v>884</v>
      </c>
      <c r="F47" s="5" t="s">
        <v>917</v>
      </c>
      <c r="G47" s="5" t="s">
        <v>2127</v>
      </c>
      <c r="H47" s="5" t="n">
        <v>30.933</v>
      </c>
      <c r="I47" s="5" t="n">
        <v>75.867</v>
      </c>
      <c r="J47" s="5" t="s">
        <v>921</v>
      </c>
      <c r="K47" s="5" t="s">
        <v>2150</v>
      </c>
      <c r="L47" s="5" t="s">
        <v>872</v>
      </c>
      <c r="M47" s="5" t="s">
        <v>1008</v>
      </c>
      <c r="N47" s="5" t="s">
        <v>86</v>
      </c>
      <c r="O47" s="5" t="s">
        <v>2136</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2128</v>
      </c>
      <c r="AT47" s="5" t="s">
        <v>2151</v>
      </c>
      <c r="AU47" s="5" t="s">
        <v>2130</v>
      </c>
      <c r="AV47" s="5" t="s">
        <v>2152</v>
      </c>
      <c r="AW47" s="23" t="s">
        <v>2155</v>
      </c>
      <c r="AX47" s="5" t="s">
        <v>1014</v>
      </c>
      <c r="AY47" s="5" t="s">
        <v>2133</v>
      </c>
    </row>
    <row r="48" customFormat="false" ht="14.25" hidden="false" customHeight="true" outlineLevel="0" collapsed="false">
      <c r="A48" s="5" t="n">
        <v>170</v>
      </c>
      <c r="B48" s="5" t="n">
        <v>170</v>
      </c>
      <c r="C48" s="5" t="s">
        <v>1001</v>
      </c>
      <c r="D48" s="5" t="n">
        <v>2003</v>
      </c>
      <c r="E48" s="5" t="s">
        <v>884</v>
      </c>
      <c r="F48" s="5" t="s">
        <v>917</v>
      </c>
      <c r="G48" s="5" t="s">
        <v>2127</v>
      </c>
      <c r="H48" s="5" t="n">
        <v>30.933</v>
      </c>
      <c r="I48" s="5" t="n">
        <v>75.867</v>
      </c>
      <c r="J48" s="5" t="s">
        <v>921</v>
      </c>
      <c r="K48" s="5" t="s">
        <v>2150</v>
      </c>
      <c r="L48" s="5" t="s">
        <v>872</v>
      </c>
      <c r="M48" s="5" t="s">
        <v>1008</v>
      </c>
      <c r="N48" s="5" t="s">
        <v>86</v>
      </c>
      <c r="O48" s="5" t="s">
        <v>2138</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2128</v>
      </c>
      <c r="AT48" s="5" t="s">
        <v>2151</v>
      </c>
      <c r="AU48" s="5" t="s">
        <v>2130</v>
      </c>
      <c r="AV48" s="5" t="s">
        <v>2152</v>
      </c>
      <c r="AW48" s="23" t="s">
        <v>2156</v>
      </c>
      <c r="AX48" s="5" t="s">
        <v>1014</v>
      </c>
      <c r="AY48" s="5" t="s">
        <v>2133</v>
      </c>
    </row>
    <row r="49" customFormat="false" ht="14.25" hidden="false" customHeight="true" outlineLevel="0" collapsed="false">
      <c r="A49" s="5" t="n">
        <v>170</v>
      </c>
      <c r="B49" s="5" t="n">
        <v>170</v>
      </c>
      <c r="C49" s="5" t="s">
        <v>1001</v>
      </c>
      <c r="D49" s="5" t="n">
        <v>2003</v>
      </c>
      <c r="E49" s="5" t="s">
        <v>884</v>
      </c>
      <c r="F49" s="5" t="s">
        <v>917</v>
      </c>
      <c r="G49" s="5" t="s">
        <v>2127</v>
      </c>
      <c r="H49" s="5" t="n">
        <v>30.933</v>
      </c>
      <c r="I49" s="5" t="n">
        <v>75.867</v>
      </c>
      <c r="J49" s="5" t="s">
        <v>921</v>
      </c>
      <c r="K49" s="5" t="s">
        <v>2150</v>
      </c>
      <c r="L49" s="5" t="s">
        <v>872</v>
      </c>
      <c r="M49" s="5" t="s">
        <v>1008</v>
      </c>
      <c r="N49" s="5" t="s">
        <v>2050</v>
      </c>
      <c r="O49" s="5" t="s">
        <v>2140</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2128</v>
      </c>
      <c r="AT49" s="5" t="s">
        <v>2151</v>
      </c>
      <c r="AU49" s="5" t="s">
        <v>2130</v>
      </c>
      <c r="AV49" s="5" t="s">
        <v>2152</v>
      </c>
      <c r="AW49" s="23" t="s">
        <v>2157</v>
      </c>
      <c r="AX49" s="5" t="s">
        <v>1014</v>
      </c>
      <c r="AY49" s="5" t="s">
        <v>2133</v>
      </c>
    </row>
    <row r="50" customFormat="false" ht="14.25" hidden="false" customHeight="true" outlineLevel="0" collapsed="false">
      <c r="A50" s="5" t="n">
        <v>170</v>
      </c>
      <c r="B50" s="5" t="n">
        <v>170</v>
      </c>
      <c r="C50" s="5" t="s">
        <v>1001</v>
      </c>
      <c r="D50" s="5" t="n">
        <v>2003</v>
      </c>
      <c r="E50" s="5" t="s">
        <v>884</v>
      </c>
      <c r="F50" s="5" t="s">
        <v>917</v>
      </c>
      <c r="G50" s="5" t="s">
        <v>2127</v>
      </c>
      <c r="H50" s="5" t="n">
        <v>30.933</v>
      </c>
      <c r="I50" s="5" t="n">
        <v>75.867</v>
      </c>
      <c r="J50" s="5" t="s">
        <v>921</v>
      </c>
      <c r="K50" s="5" t="s">
        <v>2150</v>
      </c>
      <c r="L50" s="5" t="s">
        <v>872</v>
      </c>
      <c r="M50" s="5" t="s">
        <v>1008</v>
      </c>
      <c r="N50" s="5" t="s">
        <v>2050</v>
      </c>
      <c r="O50" s="5" t="s">
        <v>2142</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2128</v>
      </c>
      <c r="AT50" s="5" t="s">
        <v>2151</v>
      </c>
      <c r="AU50" s="5" t="s">
        <v>2130</v>
      </c>
      <c r="AV50" s="5" t="s">
        <v>2152</v>
      </c>
      <c r="AW50" s="23" t="s">
        <v>2158</v>
      </c>
      <c r="AX50" s="5" t="s">
        <v>1014</v>
      </c>
      <c r="AY50" s="5" t="s">
        <v>2133</v>
      </c>
    </row>
    <row r="51" customFormat="false" ht="14.25" hidden="false" customHeight="true" outlineLevel="0" collapsed="false">
      <c r="A51" s="5" t="n">
        <v>170</v>
      </c>
      <c r="B51" s="5" t="n">
        <v>170</v>
      </c>
      <c r="C51" s="5" t="s">
        <v>1001</v>
      </c>
      <c r="D51" s="5" t="n">
        <v>2003</v>
      </c>
      <c r="E51" s="5" t="s">
        <v>884</v>
      </c>
      <c r="F51" s="5" t="s">
        <v>917</v>
      </c>
      <c r="G51" s="5" t="s">
        <v>2127</v>
      </c>
      <c r="H51" s="5" t="n">
        <v>30.933</v>
      </c>
      <c r="I51" s="5" t="n">
        <v>75.867</v>
      </c>
      <c r="J51" s="5" t="s">
        <v>921</v>
      </c>
      <c r="K51" s="5" t="s">
        <v>2150</v>
      </c>
      <c r="L51" s="5" t="s">
        <v>872</v>
      </c>
      <c r="M51" s="5" t="s">
        <v>1008</v>
      </c>
      <c r="N51" s="5" t="s">
        <v>2050</v>
      </c>
      <c r="O51" s="5" t="s">
        <v>2144</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2128</v>
      </c>
      <c r="AT51" s="5" t="s">
        <v>2151</v>
      </c>
      <c r="AU51" s="5" t="s">
        <v>2130</v>
      </c>
      <c r="AV51" s="5" t="s">
        <v>2152</v>
      </c>
      <c r="AW51" s="23" t="s">
        <v>2158</v>
      </c>
      <c r="AX51" s="5" t="s">
        <v>1014</v>
      </c>
      <c r="AY51" s="5" t="s">
        <v>2133</v>
      </c>
    </row>
    <row r="52" customFormat="false" ht="14.25" hidden="false" customHeight="true" outlineLevel="0" collapsed="false">
      <c r="A52" s="18" t="n">
        <v>170</v>
      </c>
      <c r="B52" s="18" t="n">
        <v>170</v>
      </c>
      <c r="C52" s="18" t="s">
        <v>1001</v>
      </c>
      <c r="D52" s="18" t="n">
        <v>2003</v>
      </c>
      <c r="E52" s="18" t="s">
        <v>884</v>
      </c>
      <c r="F52" s="18" t="s">
        <v>917</v>
      </c>
      <c r="G52" s="18" t="s">
        <v>2127</v>
      </c>
      <c r="H52" s="18" t="n">
        <v>30.933</v>
      </c>
      <c r="I52" s="18" t="n">
        <v>75.867</v>
      </c>
      <c r="J52" s="18" t="s">
        <v>921</v>
      </c>
      <c r="K52" s="18" t="n">
        <v>1994</v>
      </c>
      <c r="L52" s="18" t="s">
        <v>872</v>
      </c>
      <c r="M52" s="18" t="s">
        <v>1008</v>
      </c>
      <c r="N52" s="18" t="s">
        <v>2050</v>
      </c>
      <c r="O52" s="18" t="s">
        <v>2159</v>
      </c>
      <c r="P52" s="18"/>
      <c r="Q52" s="18" t="n">
        <v>1.56</v>
      </c>
      <c r="R52" s="18"/>
      <c r="S52" s="18"/>
      <c r="T52" s="18"/>
      <c r="U52" s="18" t="n">
        <v>1.49</v>
      </c>
      <c r="V52" s="18"/>
      <c r="W52" s="18"/>
      <c r="X52" s="18"/>
      <c r="Y52" s="18"/>
      <c r="Z52" s="18"/>
      <c r="AA52" s="18"/>
      <c r="AB52" s="18" t="n">
        <v>7</v>
      </c>
      <c r="AC52" s="18" t="n">
        <v>3</v>
      </c>
      <c r="AD52" s="18" t="n">
        <f aca="false">IF(AND(N(AB52)&gt;0,N(AC52)&gt;0),SQRT(2*AB52/AC52),"")</f>
        <v>2.16024689946929</v>
      </c>
      <c r="AE52" s="18" t="n">
        <v>12</v>
      </c>
      <c r="AF52" s="18"/>
      <c r="AG52" s="18"/>
      <c r="AH52" s="18"/>
      <c r="AI52" s="18" t="n">
        <v>30.933</v>
      </c>
      <c r="AJ52" s="18" t="n">
        <v>1</v>
      </c>
      <c r="AK52" s="18"/>
      <c r="AL52" s="18"/>
      <c r="AM52" s="18"/>
      <c r="AN52" s="18" t="n">
        <v>3.3</v>
      </c>
      <c r="AO52" s="18"/>
      <c r="AP52" s="18" t="n">
        <v>71</v>
      </c>
      <c r="AQ52" s="18" t="n">
        <v>17</v>
      </c>
      <c r="AR52" s="18" t="s">
        <v>89</v>
      </c>
      <c r="AS52" s="18" t="s">
        <v>2128</v>
      </c>
      <c r="AT52" s="18" t="s">
        <v>2160</v>
      </c>
      <c r="AU52" s="18" t="s">
        <v>2130</v>
      </c>
      <c r="AV52" s="18" t="s">
        <v>2079</v>
      </c>
      <c r="AW52" s="32" t="s">
        <v>2161</v>
      </c>
      <c r="AX52" s="18" t="s">
        <v>1014</v>
      </c>
      <c r="AY52" s="18" t="s">
        <v>2162</v>
      </c>
    </row>
    <row r="53" customFormat="false" ht="14.25" hidden="false" customHeight="true" outlineLevel="0" collapsed="false">
      <c r="A53" s="18" t="n">
        <v>170</v>
      </c>
      <c r="B53" s="18" t="n">
        <v>170</v>
      </c>
      <c r="C53" s="18" t="s">
        <v>1001</v>
      </c>
      <c r="D53" s="18" t="n">
        <v>2003</v>
      </c>
      <c r="E53" s="18" t="s">
        <v>884</v>
      </c>
      <c r="F53" s="18" t="s">
        <v>917</v>
      </c>
      <c r="G53" s="18" t="s">
        <v>2127</v>
      </c>
      <c r="H53" s="18" t="n">
        <v>30.933</v>
      </c>
      <c r="I53" s="18" t="n">
        <v>75.867</v>
      </c>
      <c r="J53" s="18" t="s">
        <v>921</v>
      </c>
      <c r="K53" s="18" t="n">
        <v>1995</v>
      </c>
      <c r="L53" s="18" t="s">
        <v>872</v>
      </c>
      <c r="M53" s="18" t="s">
        <v>1008</v>
      </c>
      <c r="N53" s="18" t="s">
        <v>2050</v>
      </c>
      <c r="O53" s="18" t="s">
        <v>2159</v>
      </c>
      <c r="P53" s="18"/>
      <c r="Q53" s="18" t="n">
        <v>1.71</v>
      </c>
      <c r="R53" s="18"/>
      <c r="S53" s="18"/>
      <c r="T53" s="18"/>
      <c r="U53" s="18" t="n">
        <v>1.53</v>
      </c>
      <c r="V53" s="18"/>
      <c r="W53" s="18"/>
      <c r="X53" s="18"/>
      <c r="Y53" s="18"/>
      <c r="Z53" s="18"/>
      <c r="AA53" s="18"/>
      <c r="AB53" s="18" t="n">
        <v>7</v>
      </c>
      <c r="AC53" s="18" t="n">
        <v>3</v>
      </c>
      <c r="AD53" s="18" t="n">
        <f aca="false">IF(AND(N(AB53)&gt;0,N(AC53)&gt;0),SQRT(2*AB53/AC53),"")</f>
        <v>2.16024689946929</v>
      </c>
      <c r="AE53" s="18" t="n">
        <v>12</v>
      </c>
      <c r="AF53" s="18"/>
      <c r="AG53" s="18"/>
      <c r="AH53" s="18"/>
      <c r="AI53" s="18" t="n">
        <v>30.933</v>
      </c>
      <c r="AJ53" s="18" t="n">
        <v>2</v>
      </c>
      <c r="AK53" s="18"/>
      <c r="AL53" s="18"/>
      <c r="AM53" s="18"/>
      <c r="AN53" s="18" t="n">
        <v>3.3</v>
      </c>
      <c r="AO53" s="18"/>
      <c r="AP53" s="18" t="n">
        <v>71</v>
      </c>
      <c r="AQ53" s="18" t="n">
        <v>17</v>
      </c>
      <c r="AR53" s="18" t="s">
        <v>89</v>
      </c>
      <c r="AS53" s="18" t="s">
        <v>2128</v>
      </c>
      <c r="AT53" s="18" t="s">
        <v>2163</v>
      </c>
      <c r="AU53" s="18" t="s">
        <v>2130</v>
      </c>
      <c r="AV53" s="18" t="s">
        <v>2079</v>
      </c>
      <c r="AW53" s="32" t="s">
        <v>2164</v>
      </c>
      <c r="AX53" s="18" t="s">
        <v>1014</v>
      </c>
      <c r="AY53" s="18" t="s">
        <v>2162</v>
      </c>
    </row>
    <row r="54" customFormat="false" ht="14.25" hidden="false" customHeight="true" outlineLevel="0" collapsed="false">
      <c r="A54" s="18" t="n">
        <v>173</v>
      </c>
      <c r="B54" s="18" t="n">
        <v>173</v>
      </c>
      <c r="C54" s="18" t="s">
        <v>1133</v>
      </c>
      <c r="D54" s="18" t="n">
        <v>2023</v>
      </c>
      <c r="E54" s="18" t="s">
        <v>1134</v>
      </c>
      <c r="F54" s="18" t="s">
        <v>866</v>
      </c>
      <c r="G54" s="18" t="s">
        <v>1137</v>
      </c>
      <c r="H54" s="18" t="n">
        <v>28.633</v>
      </c>
      <c r="I54" s="18" t="n">
        <v>77.15</v>
      </c>
      <c r="J54" s="18" t="s">
        <v>83</v>
      </c>
      <c r="K54" s="18" t="n">
        <v>2020</v>
      </c>
      <c r="L54" s="18" t="s">
        <v>84</v>
      </c>
      <c r="M54" s="18" t="s">
        <v>85</v>
      </c>
      <c r="N54" s="18" t="s">
        <v>86</v>
      </c>
      <c r="O54" s="18" t="s">
        <v>2043</v>
      </c>
      <c r="P54" s="18" t="n">
        <v>1.5</v>
      </c>
      <c r="Q54" s="18" t="n">
        <v>1.54</v>
      </c>
      <c r="R54" s="18"/>
      <c r="S54" s="18" t="n">
        <v>1.52</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89</v>
      </c>
      <c r="AS54" s="18" t="s">
        <v>2165</v>
      </c>
      <c r="AT54" s="18" t="s">
        <v>2166</v>
      </c>
      <c r="AU54" s="18" t="s">
        <v>2167</v>
      </c>
      <c r="AV54" s="18" t="s">
        <v>2079</v>
      </c>
      <c r="AW54" s="32" t="s">
        <v>2168</v>
      </c>
      <c r="AX54" s="18" t="s">
        <v>1148</v>
      </c>
      <c r="AY54" s="18" t="s">
        <v>2169</v>
      </c>
    </row>
    <row r="55" customFormat="false" ht="14.25" hidden="false" customHeight="true" outlineLevel="0" collapsed="false">
      <c r="A55" s="18" t="n">
        <v>173</v>
      </c>
      <c r="B55" s="18" t="n">
        <v>173</v>
      </c>
      <c r="C55" s="18" t="s">
        <v>1133</v>
      </c>
      <c r="D55" s="18" t="n">
        <v>2023</v>
      </c>
      <c r="E55" s="18" t="s">
        <v>1134</v>
      </c>
      <c r="F55" s="18" t="s">
        <v>866</v>
      </c>
      <c r="G55" s="18" t="s">
        <v>1137</v>
      </c>
      <c r="H55" s="18" t="n">
        <v>28.633</v>
      </c>
      <c r="I55" s="18" t="n">
        <v>77.15</v>
      </c>
      <c r="J55" s="18" t="s">
        <v>83</v>
      </c>
      <c r="K55" s="18" t="n">
        <v>2020</v>
      </c>
      <c r="L55" s="18" t="s">
        <v>84</v>
      </c>
      <c r="M55" s="18" t="s">
        <v>85</v>
      </c>
      <c r="N55" s="18" t="s">
        <v>86</v>
      </c>
      <c r="O55" s="18" t="s">
        <v>2043</v>
      </c>
      <c r="P55" s="18" t="n">
        <v>1.51</v>
      </c>
      <c r="Q55" s="18" t="n">
        <v>1.52</v>
      </c>
      <c r="R55" s="18"/>
      <c r="S55" s="18" t="n">
        <v>1.53</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89</v>
      </c>
      <c r="AS55" s="18" t="s">
        <v>2165</v>
      </c>
      <c r="AT55" s="18" t="s">
        <v>2166</v>
      </c>
      <c r="AU55" s="18" t="s">
        <v>2167</v>
      </c>
      <c r="AV55" s="18" t="s">
        <v>2079</v>
      </c>
      <c r="AW55" s="32" t="s">
        <v>2170</v>
      </c>
      <c r="AX55" s="18" t="s">
        <v>1148</v>
      </c>
      <c r="AY55" s="18" t="s">
        <v>2169</v>
      </c>
    </row>
    <row r="56" customFormat="false" ht="14.25" hidden="false" customHeight="true" outlineLevel="0" collapsed="false">
      <c r="A56" s="18" t="n">
        <v>173</v>
      </c>
      <c r="B56" s="18" t="n">
        <v>173</v>
      </c>
      <c r="C56" s="18" t="s">
        <v>1133</v>
      </c>
      <c r="D56" s="18" t="n">
        <v>2023</v>
      </c>
      <c r="E56" s="18" t="s">
        <v>1134</v>
      </c>
      <c r="F56" s="18" t="s">
        <v>866</v>
      </c>
      <c r="G56" s="18" t="s">
        <v>1137</v>
      </c>
      <c r="H56" s="18" t="n">
        <v>28.633</v>
      </c>
      <c r="I56" s="18" t="n">
        <v>77.15</v>
      </c>
      <c r="J56" s="18" t="s">
        <v>83</v>
      </c>
      <c r="K56" s="18" t="n">
        <v>2020</v>
      </c>
      <c r="L56" s="18" t="s">
        <v>84</v>
      </c>
      <c r="M56" s="18" t="s">
        <v>85</v>
      </c>
      <c r="N56" s="18" t="s">
        <v>86</v>
      </c>
      <c r="O56" s="18" t="s">
        <v>2043</v>
      </c>
      <c r="P56" s="18" t="n">
        <v>1.48</v>
      </c>
      <c r="Q56" s="18" t="n">
        <v>1.54</v>
      </c>
      <c r="R56" s="18"/>
      <c r="S56" s="18" t="n">
        <v>1.52</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89</v>
      </c>
      <c r="AS56" s="18" t="s">
        <v>2165</v>
      </c>
      <c r="AT56" s="18" t="s">
        <v>2166</v>
      </c>
      <c r="AU56" s="18" t="s">
        <v>2167</v>
      </c>
      <c r="AV56" s="18" t="s">
        <v>2079</v>
      </c>
      <c r="AW56" s="32" t="s">
        <v>2171</v>
      </c>
      <c r="AX56" s="18" t="s">
        <v>1148</v>
      </c>
      <c r="AY56" s="18" t="s">
        <v>2169</v>
      </c>
    </row>
    <row r="57" customFormat="false" ht="14.25" hidden="false" customHeight="true" outlineLevel="0" collapsed="false">
      <c r="A57" s="18" t="n">
        <v>173</v>
      </c>
      <c r="B57" s="18" t="n">
        <v>173</v>
      </c>
      <c r="C57" s="18" t="s">
        <v>1133</v>
      </c>
      <c r="D57" s="18" t="n">
        <v>2023</v>
      </c>
      <c r="E57" s="18" t="s">
        <v>1134</v>
      </c>
      <c r="F57" s="18" t="s">
        <v>866</v>
      </c>
      <c r="G57" s="18" t="s">
        <v>1137</v>
      </c>
      <c r="H57" s="18" t="n">
        <v>28.633</v>
      </c>
      <c r="I57" s="18" t="n">
        <v>77.15</v>
      </c>
      <c r="J57" s="18" t="s">
        <v>83</v>
      </c>
      <c r="K57" s="18" t="n">
        <v>2020</v>
      </c>
      <c r="L57" s="18" t="s">
        <v>84</v>
      </c>
      <c r="M57" s="18" t="s">
        <v>85</v>
      </c>
      <c r="N57" s="18" t="s">
        <v>86</v>
      </c>
      <c r="O57" s="18" t="s">
        <v>2043</v>
      </c>
      <c r="P57" s="18" t="n">
        <v>1.49</v>
      </c>
      <c r="Q57" s="18" t="n">
        <v>1.52</v>
      </c>
      <c r="R57" s="18"/>
      <c r="S57" s="18" t="n">
        <v>1.53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89</v>
      </c>
      <c r="AS57" s="18" t="s">
        <v>2165</v>
      </c>
      <c r="AT57" s="18" t="s">
        <v>2166</v>
      </c>
      <c r="AU57" s="18" t="s">
        <v>2167</v>
      </c>
      <c r="AV57" s="18" t="s">
        <v>2079</v>
      </c>
      <c r="AW57" s="32" t="s">
        <v>2172</v>
      </c>
      <c r="AX57" s="18" t="s">
        <v>1148</v>
      </c>
      <c r="AY57" s="18" t="s">
        <v>2169</v>
      </c>
    </row>
    <row r="58" customFormat="false" ht="14.25" hidden="false" customHeight="true" outlineLevel="0" collapsed="false">
      <c r="A58" s="18" t="n">
        <v>173</v>
      </c>
      <c r="B58" s="18" t="n">
        <v>173</v>
      </c>
      <c r="C58" s="18" t="s">
        <v>1133</v>
      </c>
      <c r="D58" s="18" t="n">
        <v>2023</v>
      </c>
      <c r="E58" s="18" t="s">
        <v>1134</v>
      </c>
      <c r="F58" s="18" t="s">
        <v>866</v>
      </c>
      <c r="G58" s="18" t="s">
        <v>1137</v>
      </c>
      <c r="H58" s="18" t="n">
        <v>28.633</v>
      </c>
      <c r="I58" s="18" t="n">
        <v>77.15</v>
      </c>
      <c r="J58" s="18" t="s">
        <v>83</v>
      </c>
      <c r="K58" s="18" t="n">
        <v>2020</v>
      </c>
      <c r="L58" s="18" t="s">
        <v>84</v>
      </c>
      <c r="M58" s="18" t="s">
        <v>85</v>
      </c>
      <c r="N58" s="18" t="s">
        <v>2050</v>
      </c>
      <c r="O58" s="18" t="s">
        <v>2051</v>
      </c>
      <c r="P58" s="18" t="n">
        <v>1.52</v>
      </c>
      <c r="Q58" s="18" t="n">
        <v>1.56</v>
      </c>
      <c r="R58" s="18"/>
      <c r="S58" s="18" t="n">
        <v>1.55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89</v>
      </c>
      <c r="AS58" s="18" t="s">
        <v>2165</v>
      </c>
      <c r="AT58" s="18" t="s">
        <v>2166</v>
      </c>
      <c r="AU58" s="18" t="s">
        <v>2167</v>
      </c>
      <c r="AV58" s="18" t="s">
        <v>2079</v>
      </c>
      <c r="AW58" s="32" t="s">
        <v>2173</v>
      </c>
      <c r="AX58" s="18" t="s">
        <v>1148</v>
      </c>
      <c r="AY58" s="18" t="s">
        <v>2169</v>
      </c>
    </row>
    <row r="59" customFormat="false" ht="14.25" hidden="false" customHeight="true" outlineLevel="0" collapsed="false">
      <c r="A59" s="18" t="n">
        <v>173</v>
      </c>
      <c r="B59" s="18" t="n">
        <v>173</v>
      </c>
      <c r="C59" s="18" t="s">
        <v>1133</v>
      </c>
      <c r="D59" s="18" t="n">
        <v>2023</v>
      </c>
      <c r="E59" s="18" t="s">
        <v>1134</v>
      </c>
      <c r="F59" s="18" t="s">
        <v>866</v>
      </c>
      <c r="G59" s="18" t="s">
        <v>1137</v>
      </c>
      <c r="H59" s="18" t="n">
        <v>28.633</v>
      </c>
      <c r="I59" s="18" t="n">
        <v>77.15</v>
      </c>
      <c r="J59" s="18" t="s">
        <v>83</v>
      </c>
      <c r="K59" s="18" t="n">
        <v>2020</v>
      </c>
      <c r="L59" s="18" t="s">
        <v>84</v>
      </c>
      <c r="M59" s="18" t="s">
        <v>85</v>
      </c>
      <c r="N59" s="18" t="s">
        <v>2050</v>
      </c>
      <c r="O59" s="18" t="s">
        <v>2051</v>
      </c>
      <c r="P59" s="18" t="n">
        <v>1.54</v>
      </c>
      <c r="Q59" s="18" t="n">
        <v>1.54</v>
      </c>
      <c r="R59" s="18"/>
      <c r="S59" s="18" t="n">
        <v>1.56</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89</v>
      </c>
      <c r="AS59" s="18" t="s">
        <v>2165</v>
      </c>
      <c r="AT59" s="18" t="s">
        <v>2166</v>
      </c>
      <c r="AU59" s="18" t="s">
        <v>2167</v>
      </c>
      <c r="AV59" s="18" t="s">
        <v>2079</v>
      </c>
      <c r="AW59" s="32" t="s">
        <v>2174</v>
      </c>
      <c r="AX59" s="18" t="s">
        <v>1148</v>
      </c>
      <c r="AY59" s="18" t="s">
        <v>2169</v>
      </c>
    </row>
    <row r="60" customFormat="false" ht="14.25" hidden="false" customHeight="true" outlineLevel="0" collapsed="false">
      <c r="A60" s="18" t="n">
        <v>173</v>
      </c>
      <c r="B60" s="18" t="n">
        <v>173</v>
      </c>
      <c r="C60" s="18" t="s">
        <v>1133</v>
      </c>
      <c r="D60" s="18" t="n">
        <v>2023</v>
      </c>
      <c r="E60" s="18" t="s">
        <v>1134</v>
      </c>
      <c r="F60" s="18" t="s">
        <v>866</v>
      </c>
      <c r="G60" s="18" t="s">
        <v>1137</v>
      </c>
      <c r="H60" s="18" t="n">
        <v>28.633</v>
      </c>
      <c r="I60" s="18" t="n">
        <v>77.15</v>
      </c>
      <c r="J60" s="18" t="s">
        <v>83</v>
      </c>
      <c r="K60" s="18" t="n">
        <v>2020</v>
      </c>
      <c r="L60" s="18" t="s">
        <v>84</v>
      </c>
      <c r="M60" s="18" t="s">
        <v>85</v>
      </c>
      <c r="N60" s="18" t="s">
        <v>2050</v>
      </c>
      <c r="O60" s="18" t="s">
        <v>2051</v>
      </c>
      <c r="P60" s="18" t="n">
        <v>1.5</v>
      </c>
      <c r="Q60" s="18" t="n">
        <v>1.56</v>
      </c>
      <c r="R60" s="18"/>
      <c r="S60" s="18" t="n">
        <v>1.55</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89</v>
      </c>
      <c r="AS60" s="18" t="s">
        <v>2165</v>
      </c>
      <c r="AT60" s="18" t="s">
        <v>2166</v>
      </c>
      <c r="AU60" s="18" t="s">
        <v>2167</v>
      </c>
      <c r="AV60" s="18" t="s">
        <v>2079</v>
      </c>
      <c r="AW60" s="32" t="s">
        <v>2175</v>
      </c>
      <c r="AX60" s="18" t="s">
        <v>1148</v>
      </c>
      <c r="AY60" s="18" t="s">
        <v>2169</v>
      </c>
    </row>
    <row r="61" customFormat="false" ht="14.25" hidden="false" customHeight="true" outlineLevel="0" collapsed="false">
      <c r="A61" s="18" t="n">
        <v>173</v>
      </c>
      <c r="B61" s="18" t="n">
        <v>173</v>
      </c>
      <c r="C61" s="18" t="s">
        <v>1133</v>
      </c>
      <c r="D61" s="18" t="n">
        <v>2023</v>
      </c>
      <c r="E61" s="18" t="s">
        <v>1134</v>
      </c>
      <c r="F61" s="18" t="s">
        <v>866</v>
      </c>
      <c r="G61" s="18" t="s">
        <v>1137</v>
      </c>
      <c r="H61" s="18" t="n">
        <v>28.633</v>
      </c>
      <c r="I61" s="18" t="n">
        <v>77.15</v>
      </c>
      <c r="J61" s="18" t="s">
        <v>83</v>
      </c>
      <c r="K61" s="18" t="n">
        <v>2020</v>
      </c>
      <c r="L61" s="18" t="s">
        <v>84</v>
      </c>
      <c r="M61" s="18" t="s">
        <v>85</v>
      </c>
      <c r="N61" s="18" t="s">
        <v>2050</v>
      </c>
      <c r="O61" s="18" t="s">
        <v>2051</v>
      </c>
      <c r="P61" s="18" t="n">
        <v>1.51</v>
      </c>
      <c r="Q61" s="18" t="n">
        <v>1.54</v>
      </c>
      <c r="R61" s="18"/>
      <c r="S61" s="18" t="n">
        <v>1.56</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89</v>
      </c>
      <c r="AS61" s="18" t="s">
        <v>2165</v>
      </c>
      <c r="AT61" s="18" t="s">
        <v>2166</v>
      </c>
      <c r="AU61" s="18" t="s">
        <v>2167</v>
      </c>
      <c r="AV61" s="18" t="s">
        <v>2079</v>
      </c>
      <c r="AW61" s="32" t="s">
        <v>2176</v>
      </c>
      <c r="AX61" s="18" t="s">
        <v>1148</v>
      </c>
      <c r="AY61" s="18" t="s">
        <v>2169</v>
      </c>
    </row>
    <row r="62" customFormat="false" ht="14.25" hidden="false" customHeight="true" outlineLevel="0" collapsed="false">
      <c r="A62" s="18" t="n">
        <v>173</v>
      </c>
      <c r="B62" s="18" t="n">
        <v>173</v>
      </c>
      <c r="C62" s="18" t="s">
        <v>1133</v>
      </c>
      <c r="D62" s="18" t="n">
        <v>2023</v>
      </c>
      <c r="E62" s="18" t="s">
        <v>1134</v>
      </c>
      <c r="F62" s="18" t="s">
        <v>866</v>
      </c>
      <c r="G62" s="18" t="s">
        <v>1137</v>
      </c>
      <c r="H62" s="18" t="n">
        <v>28.633</v>
      </c>
      <c r="I62" s="18" t="n">
        <v>77.15</v>
      </c>
      <c r="J62" s="18" t="s">
        <v>83</v>
      </c>
      <c r="K62" s="18" t="n">
        <v>2020</v>
      </c>
      <c r="L62" s="18" t="s">
        <v>84</v>
      </c>
      <c r="M62" s="18" t="s">
        <v>85</v>
      </c>
      <c r="N62" s="18" t="s">
        <v>2177</v>
      </c>
      <c r="O62" s="18" t="s">
        <v>2178</v>
      </c>
      <c r="P62" s="18" t="n">
        <v>1.58</v>
      </c>
      <c r="Q62" s="18" t="n">
        <v>1.59</v>
      </c>
      <c r="R62" s="18"/>
      <c r="S62" s="18" t="n">
        <v>1.59</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89</v>
      </c>
      <c r="AS62" s="18" t="s">
        <v>2165</v>
      </c>
      <c r="AT62" s="18" t="s">
        <v>2166</v>
      </c>
      <c r="AU62" s="18" t="s">
        <v>2167</v>
      </c>
      <c r="AV62" s="18" t="s">
        <v>2079</v>
      </c>
      <c r="AW62" s="32" t="s">
        <v>2179</v>
      </c>
      <c r="AX62" s="18" t="s">
        <v>1148</v>
      </c>
      <c r="AY62" s="18" t="s">
        <v>2169</v>
      </c>
    </row>
    <row r="63" customFormat="false" ht="14.25" hidden="false" customHeight="true" outlineLevel="0" collapsed="false">
      <c r="A63" s="18" t="n">
        <v>173</v>
      </c>
      <c r="B63" s="18" t="n">
        <v>173</v>
      </c>
      <c r="C63" s="18" t="s">
        <v>1133</v>
      </c>
      <c r="D63" s="18" t="n">
        <v>2023</v>
      </c>
      <c r="E63" s="18" t="s">
        <v>1134</v>
      </c>
      <c r="F63" s="18" t="s">
        <v>866</v>
      </c>
      <c r="G63" s="18" t="s">
        <v>1137</v>
      </c>
      <c r="H63" s="18" t="n">
        <v>28.633</v>
      </c>
      <c r="I63" s="18" t="n">
        <v>77.15</v>
      </c>
      <c r="J63" s="18" t="s">
        <v>83</v>
      </c>
      <c r="K63" s="18" t="n">
        <v>2020</v>
      </c>
      <c r="L63" s="18" t="s">
        <v>84</v>
      </c>
      <c r="M63" s="18" t="s">
        <v>85</v>
      </c>
      <c r="N63" s="18" t="s">
        <v>2177</v>
      </c>
      <c r="O63" s="18" t="s">
        <v>2178</v>
      </c>
      <c r="P63" s="18" t="n">
        <v>1.57</v>
      </c>
      <c r="Q63" s="18" t="n">
        <v>1.58</v>
      </c>
      <c r="R63" s="18"/>
      <c r="S63" s="18" t="n">
        <v>1.59</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89</v>
      </c>
      <c r="AS63" s="18" t="s">
        <v>2165</v>
      </c>
      <c r="AT63" s="18" t="s">
        <v>2166</v>
      </c>
      <c r="AU63" s="18" t="s">
        <v>2167</v>
      </c>
      <c r="AV63" s="18" t="s">
        <v>2079</v>
      </c>
      <c r="AW63" s="32" t="s">
        <v>2180</v>
      </c>
      <c r="AX63" s="18" t="s">
        <v>1148</v>
      </c>
      <c r="AY63" s="18" t="s">
        <v>2169</v>
      </c>
    </row>
    <row r="64" customFormat="false" ht="14.25" hidden="false" customHeight="true" outlineLevel="0" collapsed="false">
      <c r="A64" s="18" t="n">
        <v>173</v>
      </c>
      <c r="B64" s="18" t="n">
        <v>173</v>
      </c>
      <c r="C64" s="18" t="s">
        <v>1133</v>
      </c>
      <c r="D64" s="18" t="n">
        <v>2023</v>
      </c>
      <c r="E64" s="18" t="s">
        <v>1134</v>
      </c>
      <c r="F64" s="18" t="s">
        <v>866</v>
      </c>
      <c r="G64" s="18" t="s">
        <v>1137</v>
      </c>
      <c r="H64" s="18" t="n">
        <v>28.633</v>
      </c>
      <c r="I64" s="18" t="n">
        <v>77.15</v>
      </c>
      <c r="J64" s="18" t="s">
        <v>83</v>
      </c>
      <c r="K64" s="18" t="n">
        <v>2020</v>
      </c>
      <c r="L64" s="18" t="s">
        <v>84</v>
      </c>
      <c r="M64" s="18" t="s">
        <v>85</v>
      </c>
      <c r="N64" s="18" t="s">
        <v>2177</v>
      </c>
      <c r="O64" s="18" t="s">
        <v>2178</v>
      </c>
      <c r="P64" s="18" t="n">
        <v>1.56</v>
      </c>
      <c r="Q64" s="18" t="n">
        <v>1.59</v>
      </c>
      <c r="R64" s="18"/>
      <c r="S64" s="18" t="n">
        <v>1.59</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89</v>
      </c>
      <c r="AS64" s="18" t="s">
        <v>2165</v>
      </c>
      <c r="AT64" s="18" t="s">
        <v>2166</v>
      </c>
      <c r="AU64" s="18" t="s">
        <v>2167</v>
      </c>
      <c r="AV64" s="18" t="s">
        <v>2079</v>
      </c>
      <c r="AW64" s="32" t="s">
        <v>2181</v>
      </c>
      <c r="AX64" s="18" t="s">
        <v>1148</v>
      </c>
      <c r="AY64" s="18" t="s">
        <v>2169</v>
      </c>
    </row>
    <row r="65" customFormat="false" ht="14.25" hidden="false" customHeight="true" outlineLevel="0" collapsed="false">
      <c r="A65" s="18" t="n">
        <v>173</v>
      </c>
      <c r="B65" s="18" t="n">
        <v>173</v>
      </c>
      <c r="C65" s="18" t="s">
        <v>1133</v>
      </c>
      <c r="D65" s="18" t="n">
        <v>2023</v>
      </c>
      <c r="E65" s="18" t="s">
        <v>1134</v>
      </c>
      <c r="F65" s="18" t="s">
        <v>866</v>
      </c>
      <c r="G65" s="18" t="s">
        <v>1137</v>
      </c>
      <c r="H65" s="18" t="n">
        <v>28.633</v>
      </c>
      <c r="I65" s="18" t="n">
        <v>77.15</v>
      </c>
      <c r="J65" s="18" t="s">
        <v>83</v>
      </c>
      <c r="K65" s="18" t="n">
        <v>2020</v>
      </c>
      <c r="L65" s="18" t="s">
        <v>84</v>
      </c>
      <c r="M65" s="18" t="s">
        <v>85</v>
      </c>
      <c r="N65" s="18" t="s">
        <v>2177</v>
      </c>
      <c r="O65" s="18" t="s">
        <v>2178</v>
      </c>
      <c r="P65" s="18" t="n">
        <v>1.58</v>
      </c>
      <c r="Q65" s="18" t="n">
        <v>1.58</v>
      </c>
      <c r="R65" s="18"/>
      <c r="S65" s="18" t="n">
        <v>1.59</v>
      </c>
      <c r="T65" s="18"/>
      <c r="U65" s="18"/>
      <c r="V65" s="18"/>
      <c r="W65" s="18"/>
      <c r="X65" s="18"/>
      <c r="Y65" s="18"/>
      <c r="Z65" s="18"/>
      <c r="AA65" s="18"/>
      <c r="AB65" s="18" t="n">
        <v>2</v>
      </c>
      <c r="AC65" s="18" t="n">
        <v>3</v>
      </c>
      <c r="AD65" s="18" t="n">
        <f aca="false">IF(AND(N(AB65)&gt;0,N(AC65)&gt;0),SQRT(2*AB65/AC65),"")</f>
        <v>1.15470053837925</v>
      </c>
      <c r="AE65" s="18"/>
      <c r="AF65" s="18" t="n">
        <v>5</v>
      </c>
      <c r="AG65" s="18" t="n">
        <v>46</v>
      </c>
      <c r="AH65" s="18" t="n">
        <v>642</v>
      </c>
      <c r="AI65" s="18" t="n">
        <v>28.633</v>
      </c>
      <c r="AJ65" s="18" t="n">
        <v>6</v>
      </c>
      <c r="AK65" s="18"/>
      <c r="AL65" s="18"/>
      <c r="AM65" s="18"/>
      <c r="AN65" s="18" t="n">
        <v>4.9</v>
      </c>
      <c r="AO65" s="18" t="n">
        <v>1.52</v>
      </c>
      <c r="AP65" s="18"/>
      <c r="AQ65" s="18"/>
      <c r="AR65" s="18" t="s">
        <v>89</v>
      </c>
      <c r="AS65" s="18" t="s">
        <v>2165</v>
      </c>
      <c r="AT65" s="18" t="s">
        <v>2166</v>
      </c>
      <c r="AU65" s="18" t="s">
        <v>2167</v>
      </c>
      <c r="AV65" s="18" t="s">
        <v>2079</v>
      </c>
      <c r="AW65" s="32" t="s">
        <v>2182</v>
      </c>
      <c r="AX65" s="18" t="s">
        <v>1148</v>
      </c>
      <c r="AY65" s="18" t="s">
        <v>2169</v>
      </c>
    </row>
    <row r="66" customFormat="false" ht="14.25" hidden="false" customHeight="false" outlineLevel="0" collapsed="false">
      <c r="A66" s="24" t="n">
        <v>174</v>
      </c>
      <c r="B66" s="24" t="n">
        <v>174</v>
      </c>
      <c r="C66" s="24" t="s">
        <v>1152</v>
      </c>
      <c r="D66" s="24" t="n">
        <v>2017</v>
      </c>
      <c r="E66" s="24" t="s">
        <v>1153</v>
      </c>
      <c r="F66" s="24" t="s">
        <v>887</v>
      </c>
      <c r="G66" s="24" t="s">
        <v>1156</v>
      </c>
      <c r="H66" s="24" t="n">
        <v>29.067</v>
      </c>
      <c r="I66" s="24" t="n">
        <v>77.767</v>
      </c>
      <c r="J66" s="24" t="s">
        <v>83</v>
      </c>
      <c r="K66" s="24" t="s">
        <v>2183</v>
      </c>
      <c r="L66" s="24" t="s">
        <v>872</v>
      </c>
      <c r="M66" s="24" t="s">
        <v>85</v>
      </c>
      <c r="N66" s="24" t="s">
        <v>86</v>
      </c>
      <c r="O66" s="24" t="s">
        <v>2097</v>
      </c>
      <c r="P66" s="24" t="n">
        <v>1.524</v>
      </c>
      <c r="Q66" s="24"/>
      <c r="R66" s="24" t="n">
        <v>1.55</v>
      </c>
      <c r="S66" s="24"/>
      <c r="T66" s="24"/>
      <c r="U66" s="24"/>
      <c r="V66" s="24"/>
      <c r="W66" s="24"/>
      <c r="X66" s="24" t="n">
        <v>1.497</v>
      </c>
      <c r="Y66" s="24" t="n">
        <v>1.535</v>
      </c>
      <c r="Z66" s="24"/>
      <c r="AA66" s="24"/>
      <c r="AB66" s="24" t="n">
        <v>5</v>
      </c>
      <c r="AC66" s="24" t="n">
        <v>3</v>
      </c>
      <c r="AD66" s="24" t="n">
        <f aca="false">IF(AND(N(AB66)&gt;0,N(AC66)&gt;0),SQRT(2*AB66/AC66),"")</f>
        <v>1.82574185835055</v>
      </c>
      <c r="AE66" s="24" t="n">
        <v>16.5</v>
      </c>
      <c r="AF66" s="24" t="n">
        <v>5</v>
      </c>
      <c r="AG66" s="24" t="n">
        <v>46</v>
      </c>
      <c r="AH66" s="24" t="n">
        <v>863</v>
      </c>
      <c r="AI66" s="24" t="n">
        <v>29.067</v>
      </c>
      <c r="AJ66" s="24" t="n">
        <v>2</v>
      </c>
      <c r="AK66" s="24"/>
      <c r="AL66" s="24"/>
      <c r="AM66" s="24" t="n">
        <v>8.1</v>
      </c>
      <c r="AN66" s="24" t="n">
        <v>8.3</v>
      </c>
      <c r="AO66" s="24"/>
      <c r="AP66" s="24" t="n">
        <v>62</v>
      </c>
      <c r="AQ66" s="24" t="n">
        <v>20.5</v>
      </c>
      <c r="AR66" s="24" t="s">
        <v>89</v>
      </c>
      <c r="AS66" s="24" t="s">
        <v>2184</v>
      </c>
      <c r="AT66" s="24" t="s">
        <v>2185</v>
      </c>
      <c r="AU66" s="24" t="s">
        <v>2186</v>
      </c>
      <c r="AV66" s="24" t="s">
        <v>2187</v>
      </c>
      <c r="AW66" s="25" t="s">
        <v>2188</v>
      </c>
      <c r="AX66" s="24" t="s">
        <v>1167</v>
      </c>
      <c r="AY66" s="24" t="s">
        <v>2189</v>
      </c>
    </row>
    <row r="67" customFormat="false" ht="14.25" hidden="false" customHeight="false" outlineLevel="0" collapsed="false">
      <c r="A67" s="24" t="n">
        <v>174</v>
      </c>
      <c r="B67" s="24" t="n">
        <v>174</v>
      </c>
      <c r="C67" s="24" t="s">
        <v>1152</v>
      </c>
      <c r="D67" s="24" t="n">
        <v>2017</v>
      </c>
      <c r="E67" s="24" t="s">
        <v>1153</v>
      </c>
      <c r="F67" s="24" t="s">
        <v>887</v>
      </c>
      <c r="G67" s="24" t="s">
        <v>1156</v>
      </c>
      <c r="H67" s="24" t="n">
        <v>29.067</v>
      </c>
      <c r="I67" s="24" t="n">
        <v>77.767</v>
      </c>
      <c r="J67" s="24" t="s">
        <v>83</v>
      </c>
      <c r="K67" s="24" t="s">
        <v>2183</v>
      </c>
      <c r="L67" s="24" t="s">
        <v>872</v>
      </c>
      <c r="M67" s="24" t="s">
        <v>85</v>
      </c>
      <c r="N67" s="24" t="s">
        <v>86</v>
      </c>
      <c r="O67" s="24" t="s">
        <v>2097</v>
      </c>
      <c r="P67" s="24" t="n">
        <v>1.522</v>
      </c>
      <c r="Q67" s="24"/>
      <c r="R67" s="24" t="n">
        <v>1.569</v>
      </c>
      <c r="S67" s="24"/>
      <c r="T67" s="24"/>
      <c r="U67" s="24"/>
      <c r="V67" s="24"/>
      <c r="W67" s="24"/>
      <c r="X67" s="24" t="n">
        <v>1.497</v>
      </c>
      <c r="Y67" s="24" t="n">
        <v>1.535</v>
      </c>
      <c r="Z67" s="24"/>
      <c r="AA67" s="24"/>
      <c r="AB67" s="24" t="n">
        <v>5</v>
      </c>
      <c r="AC67" s="24" t="n">
        <v>3</v>
      </c>
      <c r="AD67" s="24" t="n">
        <f aca="false">IF(AND(N(AB67)&gt;0,N(AC67)&gt;0),SQRT(2*AB67/AC67),"")</f>
        <v>1.82574185835055</v>
      </c>
      <c r="AE67" s="24" t="n">
        <v>16.5</v>
      </c>
      <c r="AF67" s="24" t="n">
        <v>5</v>
      </c>
      <c r="AG67" s="24" t="n">
        <v>46</v>
      </c>
      <c r="AH67" s="24" t="n">
        <v>863</v>
      </c>
      <c r="AI67" s="24" t="n">
        <v>29.067</v>
      </c>
      <c r="AJ67" s="24" t="n">
        <v>2</v>
      </c>
      <c r="AK67" s="24"/>
      <c r="AL67" s="24"/>
      <c r="AM67" s="24" t="n">
        <v>8.1</v>
      </c>
      <c r="AN67" s="24" t="n">
        <v>8.3</v>
      </c>
      <c r="AO67" s="24"/>
      <c r="AP67" s="24" t="n">
        <v>62</v>
      </c>
      <c r="AQ67" s="24" t="n">
        <v>20.5</v>
      </c>
      <c r="AR67" s="24" t="s">
        <v>89</v>
      </c>
      <c r="AS67" s="24" t="s">
        <v>2184</v>
      </c>
      <c r="AT67" s="24" t="s">
        <v>2185</v>
      </c>
      <c r="AU67" s="24" t="s">
        <v>2186</v>
      </c>
      <c r="AV67" s="24" t="s">
        <v>2187</v>
      </c>
      <c r="AW67" s="25" t="s">
        <v>2190</v>
      </c>
      <c r="AX67" s="24" t="s">
        <v>1167</v>
      </c>
      <c r="AY67" s="24" t="s">
        <v>2189</v>
      </c>
    </row>
    <row r="68" customFormat="false" ht="14.25" hidden="false" customHeight="false" outlineLevel="0" collapsed="false">
      <c r="A68" s="24" t="n">
        <v>174</v>
      </c>
      <c r="B68" s="24" t="n">
        <v>174</v>
      </c>
      <c r="C68" s="24" t="s">
        <v>1152</v>
      </c>
      <c r="D68" s="24" t="n">
        <v>2017</v>
      </c>
      <c r="E68" s="24" t="s">
        <v>1153</v>
      </c>
      <c r="F68" s="24" t="s">
        <v>887</v>
      </c>
      <c r="G68" s="24" t="s">
        <v>1156</v>
      </c>
      <c r="H68" s="24" t="n">
        <v>29.067</v>
      </c>
      <c r="I68" s="24" t="n">
        <v>77.767</v>
      </c>
      <c r="J68" s="24" t="s">
        <v>83</v>
      </c>
      <c r="K68" s="24" t="s">
        <v>2183</v>
      </c>
      <c r="L68" s="24" t="s">
        <v>872</v>
      </c>
      <c r="M68" s="24" t="s">
        <v>85</v>
      </c>
      <c r="N68" s="24" t="s">
        <v>86</v>
      </c>
      <c r="O68" s="24" t="s">
        <v>2106</v>
      </c>
      <c r="P68" s="24" t="n">
        <v>1.584</v>
      </c>
      <c r="Q68" s="24"/>
      <c r="R68" s="24" t="n">
        <v>1.591</v>
      </c>
      <c r="S68" s="24"/>
      <c r="T68" s="24"/>
      <c r="U68" s="24"/>
      <c r="V68" s="24"/>
      <c r="W68" s="24"/>
      <c r="X68" s="24" t="n">
        <v>1.579</v>
      </c>
      <c r="Y68" s="24" t="n">
        <v>1.619</v>
      </c>
      <c r="Z68" s="24"/>
      <c r="AA68" s="24"/>
      <c r="AB68" s="24" t="n">
        <v>5</v>
      </c>
      <c r="AC68" s="24" t="n">
        <v>3</v>
      </c>
      <c r="AD68" s="24" t="n">
        <f aca="false">IF(AND(N(AB68)&gt;0,N(AC68)&gt;0),SQRT(2*AB68/AC68),"")</f>
        <v>1.82574185835055</v>
      </c>
      <c r="AE68" s="24" t="n">
        <v>16.5</v>
      </c>
      <c r="AF68" s="24" t="n">
        <v>5</v>
      </c>
      <c r="AG68" s="24" t="n">
        <v>46</v>
      </c>
      <c r="AH68" s="24" t="n">
        <v>863</v>
      </c>
      <c r="AI68" s="24" t="n">
        <v>29.067</v>
      </c>
      <c r="AJ68" s="24" t="n">
        <v>2</v>
      </c>
      <c r="AK68" s="24"/>
      <c r="AL68" s="24"/>
      <c r="AM68" s="24" t="n">
        <v>8.1</v>
      </c>
      <c r="AN68" s="24" t="n">
        <v>8.3</v>
      </c>
      <c r="AO68" s="24"/>
      <c r="AP68" s="24" t="n">
        <v>62</v>
      </c>
      <c r="AQ68" s="24" t="n">
        <v>20.5</v>
      </c>
      <c r="AR68" s="24" t="s">
        <v>89</v>
      </c>
      <c r="AS68" s="24" t="s">
        <v>2184</v>
      </c>
      <c r="AT68" s="24" t="s">
        <v>2185</v>
      </c>
      <c r="AU68" s="24" t="s">
        <v>2186</v>
      </c>
      <c r="AV68" s="24" t="s">
        <v>2187</v>
      </c>
      <c r="AW68" s="25" t="s">
        <v>2191</v>
      </c>
      <c r="AX68" s="24" t="s">
        <v>1167</v>
      </c>
      <c r="AY68" s="24" t="s">
        <v>2189</v>
      </c>
    </row>
    <row r="69" customFormat="false" ht="14.25" hidden="false" customHeight="false" outlineLevel="0" collapsed="false">
      <c r="A69" s="24" t="n">
        <v>174</v>
      </c>
      <c r="B69" s="24" t="n">
        <v>174</v>
      </c>
      <c r="C69" s="24" t="s">
        <v>1152</v>
      </c>
      <c r="D69" s="24" t="n">
        <v>2017</v>
      </c>
      <c r="E69" s="24" t="s">
        <v>1153</v>
      </c>
      <c r="F69" s="24" t="s">
        <v>887</v>
      </c>
      <c r="G69" s="24" t="s">
        <v>1156</v>
      </c>
      <c r="H69" s="24" t="n">
        <v>29.067</v>
      </c>
      <c r="I69" s="24" t="n">
        <v>77.767</v>
      </c>
      <c r="J69" s="24" t="s">
        <v>83</v>
      </c>
      <c r="K69" s="24" t="s">
        <v>2183</v>
      </c>
      <c r="L69" s="24" t="s">
        <v>872</v>
      </c>
      <c r="M69" s="24" t="s">
        <v>85</v>
      </c>
      <c r="N69" s="24" t="s">
        <v>86</v>
      </c>
      <c r="O69" s="24" t="s">
        <v>2106</v>
      </c>
      <c r="P69" s="24" t="n">
        <v>1.619</v>
      </c>
      <c r="Q69" s="24"/>
      <c r="R69" s="24" t="n">
        <v>1.624</v>
      </c>
      <c r="S69" s="24"/>
      <c r="T69" s="24"/>
      <c r="U69" s="24"/>
      <c r="V69" s="24"/>
      <c r="W69" s="24"/>
      <c r="X69" s="24" t="n">
        <v>1.579</v>
      </c>
      <c r="Y69" s="24" t="n">
        <v>1.619</v>
      </c>
      <c r="Z69" s="24"/>
      <c r="AA69" s="24"/>
      <c r="AB69" s="24" t="n">
        <v>5</v>
      </c>
      <c r="AC69" s="24" t="n">
        <v>3</v>
      </c>
      <c r="AD69" s="24" t="n">
        <f aca="false">IF(AND(N(AB69)&gt;0,N(AC69)&gt;0),SQRT(2*AB69/AC69),"")</f>
        <v>1.82574185835055</v>
      </c>
      <c r="AE69" s="24" t="n">
        <v>16.5</v>
      </c>
      <c r="AF69" s="24" t="n">
        <v>5</v>
      </c>
      <c r="AG69" s="24" t="n">
        <v>46</v>
      </c>
      <c r="AH69" s="24" t="n">
        <v>863</v>
      </c>
      <c r="AI69" s="24" t="n">
        <v>29.067</v>
      </c>
      <c r="AJ69" s="24" t="n">
        <v>2</v>
      </c>
      <c r="AK69" s="24"/>
      <c r="AL69" s="24"/>
      <c r="AM69" s="24" t="n">
        <v>8.1</v>
      </c>
      <c r="AN69" s="24" t="n">
        <v>8.3</v>
      </c>
      <c r="AO69" s="24"/>
      <c r="AP69" s="24" t="n">
        <v>62</v>
      </c>
      <c r="AQ69" s="24" t="n">
        <v>20.5</v>
      </c>
      <c r="AR69" s="24" t="s">
        <v>89</v>
      </c>
      <c r="AS69" s="24" t="s">
        <v>2184</v>
      </c>
      <c r="AT69" s="24" t="s">
        <v>2185</v>
      </c>
      <c r="AU69" s="24" t="s">
        <v>2186</v>
      </c>
      <c r="AV69" s="24" t="s">
        <v>2187</v>
      </c>
      <c r="AW69" s="25" t="s">
        <v>2192</v>
      </c>
      <c r="AX69" s="24" t="s">
        <v>1167</v>
      </c>
      <c r="AY69" s="24" t="s">
        <v>2189</v>
      </c>
    </row>
    <row r="70" customFormat="false" ht="14.25" hidden="false" customHeight="false" outlineLevel="0" collapsed="false">
      <c r="A70" s="24" t="n">
        <v>174</v>
      </c>
      <c r="B70" s="24" t="n">
        <v>174</v>
      </c>
      <c r="C70" s="24" t="s">
        <v>1152</v>
      </c>
      <c r="D70" s="24" t="n">
        <v>2017</v>
      </c>
      <c r="E70" s="24" t="s">
        <v>1153</v>
      </c>
      <c r="F70" s="24" t="s">
        <v>887</v>
      </c>
      <c r="G70" s="24" t="s">
        <v>1156</v>
      </c>
      <c r="H70" s="24" t="n">
        <v>29.067</v>
      </c>
      <c r="I70" s="24" t="n">
        <v>77.767</v>
      </c>
      <c r="J70" s="24" t="s">
        <v>83</v>
      </c>
      <c r="K70" s="24" t="s">
        <v>2183</v>
      </c>
      <c r="L70" s="24" t="s">
        <v>872</v>
      </c>
      <c r="M70" s="24" t="s">
        <v>85</v>
      </c>
      <c r="N70" s="24" t="s">
        <v>86</v>
      </c>
      <c r="O70" s="24" t="s">
        <v>2107</v>
      </c>
      <c r="P70" s="24" t="n">
        <v>1.742</v>
      </c>
      <c r="Q70" s="24"/>
      <c r="R70" s="24" t="n">
        <v>1.746</v>
      </c>
      <c r="S70" s="24"/>
      <c r="T70" s="24"/>
      <c r="U70" s="24"/>
      <c r="V70" s="24"/>
      <c r="W70" s="24"/>
      <c r="X70" s="24" t="n">
        <v>1.741</v>
      </c>
      <c r="Y70" s="24" t="n">
        <v>1.756</v>
      </c>
      <c r="Z70" s="24"/>
      <c r="AA70" s="24"/>
      <c r="AB70" s="24" t="n">
        <v>5</v>
      </c>
      <c r="AC70" s="24" t="n">
        <v>3</v>
      </c>
      <c r="AD70" s="24" t="n">
        <f aca="false">IF(AND(N(AB70)&gt;0,N(AC70)&gt;0),SQRT(2*AB70/AC70),"")</f>
        <v>1.82574185835055</v>
      </c>
      <c r="AE70" s="24" t="n">
        <v>16.5</v>
      </c>
      <c r="AF70" s="24" t="n">
        <v>5</v>
      </c>
      <c r="AG70" s="24" t="n">
        <v>46</v>
      </c>
      <c r="AH70" s="24" t="n">
        <v>863</v>
      </c>
      <c r="AI70" s="24" t="n">
        <v>29.067</v>
      </c>
      <c r="AJ70" s="24" t="n">
        <v>2</v>
      </c>
      <c r="AK70" s="24"/>
      <c r="AL70" s="24"/>
      <c r="AM70" s="24" t="n">
        <v>8.1</v>
      </c>
      <c r="AN70" s="24" t="n">
        <v>8.3</v>
      </c>
      <c r="AO70" s="24"/>
      <c r="AP70" s="24" t="n">
        <v>62</v>
      </c>
      <c r="AQ70" s="24" t="n">
        <v>20.5</v>
      </c>
      <c r="AR70" s="24" t="s">
        <v>89</v>
      </c>
      <c r="AS70" s="24" t="s">
        <v>2184</v>
      </c>
      <c r="AT70" s="24" t="s">
        <v>2185</v>
      </c>
      <c r="AU70" s="24" t="s">
        <v>2186</v>
      </c>
      <c r="AV70" s="24" t="s">
        <v>2187</v>
      </c>
      <c r="AW70" s="25" t="s">
        <v>2193</v>
      </c>
      <c r="AX70" s="24" t="s">
        <v>1167</v>
      </c>
      <c r="AY70" s="24" t="s">
        <v>2189</v>
      </c>
    </row>
    <row r="71" customFormat="false" ht="14.25" hidden="false" customHeight="false" outlineLevel="0" collapsed="false">
      <c r="A71" s="24" t="n">
        <v>174</v>
      </c>
      <c r="B71" s="24" t="n">
        <v>174</v>
      </c>
      <c r="C71" s="24" t="s">
        <v>1152</v>
      </c>
      <c r="D71" s="24" t="n">
        <v>2017</v>
      </c>
      <c r="E71" s="24" t="s">
        <v>1153</v>
      </c>
      <c r="F71" s="24" t="s">
        <v>887</v>
      </c>
      <c r="G71" s="24" t="s">
        <v>1156</v>
      </c>
      <c r="H71" s="24" t="n">
        <v>29.067</v>
      </c>
      <c r="I71" s="24" t="n">
        <v>77.767</v>
      </c>
      <c r="J71" s="24" t="s">
        <v>83</v>
      </c>
      <c r="K71" s="24" t="s">
        <v>2183</v>
      </c>
      <c r="L71" s="24" t="s">
        <v>872</v>
      </c>
      <c r="M71" s="24" t="s">
        <v>85</v>
      </c>
      <c r="N71" s="24" t="s">
        <v>86</v>
      </c>
      <c r="O71" s="24" t="s">
        <v>2107</v>
      </c>
      <c r="P71" s="24" t="n">
        <v>1.66</v>
      </c>
      <c r="Q71" s="24"/>
      <c r="R71" s="24" t="n">
        <v>1.669</v>
      </c>
      <c r="S71" s="24"/>
      <c r="T71" s="24"/>
      <c r="U71" s="24"/>
      <c r="V71" s="24"/>
      <c r="W71" s="24"/>
      <c r="X71" s="24" t="n">
        <v>1.741</v>
      </c>
      <c r="Y71" s="24" t="n">
        <v>1.756</v>
      </c>
      <c r="Z71" s="24"/>
      <c r="AA71" s="24"/>
      <c r="AB71" s="24" t="n">
        <v>5</v>
      </c>
      <c r="AC71" s="24" t="n">
        <v>3</v>
      </c>
      <c r="AD71" s="24" t="n">
        <f aca="false">IF(AND(N(AB71)&gt;0,N(AC71)&gt;0),SQRT(2*AB71/AC71),"")</f>
        <v>1.82574185835055</v>
      </c>
      <c r="AE71" s="24" t="n">
        <v>16.5</v>
      </c>
      <c r="AF71" s="24" t="n">
        <v>5</v>
      </c>
      <c r="AG71" s="24" t="n">
        <v>46</v>
      </c>
      <c r="AH71" s="24" t="n">
        <v>863</v>
      </c>
      <c r="AI71" s="24" t="n">
        <v>29.067</v>
      </c>
      <c r="AJ71" s="24" t="n">
        <v>2</v>
      </c>
      <c r="AK71" s="24"/>
      <c r="AL71" s="24"/>
      <c r="AM71" s="24" t="n">
        <v>8.1</v>
      </c>
      <c r="AN71" s="24" t="n">
        <v>8.3</v>
      </c>
      <c r="AO71" s="24"/>
      <c r="AP71" s="24" t="n">
        <v>62</v>
      </c>
      <c r="AQ71" s="24" t="n">
        <v>20.5</v>
      </c>
      <c r="AR71" s="24" t="s">
        <v>89</v>
      </c>
      <c r="AS71" s="24" t="s">
        <v>2184</v>
      </c>
      <c r="AT71" s="24" t="s">
        <v>2185</v>
      </c>
      <c r="AU71" s="24" t="s">
        <v>2186</v>
      </c>
      <c r="AV71" s="24" t="s">
        <v>2187</v>
      </c>
      <c r="AW71" s="25" t="s">
        <v>2194</v>
      </c>
      <c r="AX71" s="24" t="s">
        <v>1167</v>
      </c>
      <c r="AY71" s="24" t="s">
        <v>2189</v>
      </c>
    </row>
    <row r="72" customFormat="false" ht="14.25" hidden="false" customHeight="false" outlineLevel="0" collapsed="false">
      <c r="A72" s="24" t="n">
        <v>174</v>
      </c>
      <c r="B72" s="24" t="n">
        <v>174</v>
      </c>
      <c r="C72" s="24" t="s">
        <v>1152</v>
      </c>
      <c r="D72" s="24" t="n">
        <v>2017</v>
      </c>
      <c r="E72" s="24" t="s">
        <v>1153</v>
      </c>
      <c r="F72" s="24" t="s">
        <v>887</v>
      </c>
      <c r="G72" s="24" t="s">
        <v>1156</v>
      </c>
      <c r="H72" s="24" t="n">
        <v>29.067</v>
      </c>
      <c r="I72" s="24" t="n">
        <v>77.767</v>
      </c>
      <c r="J72" s="24" t="s">
        <v>83</v>
      </c>
      <c r="K72" s="24" t="s">
        <v>2183</v>
      </c>
      <c r="L72" s="24" t="s">
        <v>872</v>
      </c>
      <c r="M72" s="24" t="s">
        <v>85</v>
      </c>
      <c r="N72" s="24" t="s">
        <v>2050</v>
      </c>
      <c r="O72" s="24" t="s">
        <v>2108</v>
      </c>
      <c r="P72" s="24" t="n">
        <v>1.749</v>
      </c>
      <c r="Q72" s="24"/>
      <c r="R72" s="24" t="n">
        <v>1.744</v>
      </c>
      <c r="S72" s="24"/>
      <c r="T72" s="24"/>
      <c r="U72" s="24"/>
      <c r="V72" s="24"/>
      <c r="W72" s="24"/>
      <c r="X72" s="24" t="n">
        <v>1.765</v>
      </c>
      <c r="Y72" s="24" t="n">
        <v>1.782</v>
      </c>
      <c r="Z72" s="24"/>
      <c r="AA72" s="24"/>
      <c r="AB72" s="24" t="n">
        <v>2</v>
      </c>
      <c r="AC72" s="24" t="n">
        <v>3</v>
      </c>
      <c r="AD72" s="24" t="n">
        <f aca="false">IF(AND(N(AB72)&gt;0,N(AC72)&gt;0),SQRT(2*AB72/AC72),"")</f>
        <v>1.15470053837925</v>
      </c>
      <c r="AE72" s="24" t="n">
        <v>16.5</v>
      </c>
      <c r="AF72" s="24" t="n">
        <v>5</v>
      </c>
      <c r="AG72" s="24" t="n">
        <v>46</v>
      </c>
      <c r="AH72" s="24" t="n">
        <v>863</v>
      </c>
      <c r="AI72" s="24" t="n">
        <v>29.067</v>
      </c>
      <c r="AJ72" s="24" t="n">
        <v>2</v>
      </c>
      <c r="AK72" s="24"/>
      <c r="AL72" s="24"/>
      <c r="AM72" s="24" t="n">
        <v>8.1</v>
      </c>
      <c r="AN72" s="24" t="n">
        <v>8.3</v>
      </c>
      <c r="AO72" s="24"/>
      <c r="AP72" s="24" t="n">
        <v>62</v>
      </c>
      <c r="AQ72" s="24" t="n">
        <v>20.5</v>
      </c>
      <c r="AR72" s="24" t="s">
        <v>89</v>
      </c>
      <c r="AS72" s="24" t="s">
        <v>2184</v>
      </c>
      <c r="AT72" s="24" t="s">
        <v>2185</v>
      </c>
      <c r="AU72" s="24" t="s">
        <v>2186</v>
      </c>
      <c r="AV72" s="24" t="s">
        <v>2187</v>
      </c>
      <c r="AW72" s="25" t="s">
        <v>2195</v>
      </c>
      <c r="AX72" s="24" t="s">
        <v>1167</v>
      </c>
      <c r="AY72" s="24" t="s">
        <v>2189</v>
      </c>
    </row>
    <row r="73" customFormat="false" ht="14.25" hidden="false" customHeight="false" outlineLevel="0" collapsed="false">
      <c r="A73" s="24" t="n">
        <v>174</v>
      </c>
      <c r="B73" s="24" t="n">
        <v>174</v>
      </c>
      <c r="C73" s="24" t="s">
        <v>1152</v>
      </c>
      <c r="D73" s="24" t="n">
        <v>2017</v>
      </c>
      <c r="E73" s="24" t="s">
        <v>1153</v>
      </c>
      <c r="F73" s="24" t="s">
        <v>887</v>
      </c>
      <c r="G73" s="24" t="s">
        <v>1156</v>
      </c>
      <c r="H73" s="24" t="n">
        <v>29.067</v>
      </c>
      <c r="I73" s="24" t="n">
        <v>77.767</v>
      </c>
      <c r="J73" s="24" t="s">
        <v>83</v>
      </c>
      <c r="K73" s="24" t="s">
        <v>2183</v>
      </c>
      <c r="L73" s="24" t="s">
        <v>872</v>
      </c>
      <c r="M73" s="24" t="s">
        <v>85</v>
      </c>
      <c r="N73" s="24" t="s">
        <v>2050</v>
      </c>
      <c r="O73" s="24" t="s">
        <v>2108</v>
      </c>
      <c r="P73" s="24" t="n">
        <v>1.673</v>
      </c>
      <c r="Q73" s="24"/>
      <c r="R73" s="24" t="n">
        <v>1.683</v>
      </c>
      <c r="S73" s="24"/>
      <c r="T73" s="24"/>
      <c r="U73" s="24"/>
      <c r="V73" s="24"/>
      <c r="W73" s="24"/>
      <c r="X73" s="24" t="n">
        <v>1.765</v>
      </c>
      <c r="Y73" s="24" t="n">
        <v>1.782</v>
      </c>
      <c r="Z73" s="24"/>
      <c r="AA73" s="24"/>
      <c r="AB73" s="24" t="n">
        <v>2</v>
      </c>
      <c r="AC73" s="24" t="n">
        <v>3</v>
      </c>
      <c r="AD73" s="24" t="n">
        <f aca="false">IF(AND(N(AB73)&gt;0,N(AC73)&gt;0),SQRT(2*AB73/AC73),"")</f>
        <v>1.15470053837925</v>
      </c>
      <c r="AE73" s="24" t="n">
        <v>16.5</v>
      </c>
      <c r="AF73" s="24" t="n">
        <v>5</v>
      </c>
      <c r="AG73" s="24" t="n">
        <v>46</v>
      </c>
      <c r="AH73" s="24" t="n">
        <v>863</v>
      </c>
      <c r="AI73" s="24" t="n">
        <v>29.067</v>
      </c>
      <c r="AJ73" s="24" t="n">
        <v>2</v>
      </c>
      <c r="AK73" s="24"/>
      <c r="AL73" s="24"/>
      <c r="AM73" s="24" t="n">
        <v>8.1</v>
      </c>
      <c r="AN73" s="24" t="n">
        <v>8.3</v>
      </c>
      <c r="AO73" s="24"/>
      <c r="AP73" s="24" t="n">
        <v>62</v>
      </c>
      <c r="AQ73" s="24" t="n">
        <v>20.5</v>
      </c>
      <c r="AR73" s="24" t="s">
        <v>89</v>
      </c>
      <c r="AS73" s="24" t="s">
        <v>2184</v>
      </c>
      <c r="AT73" s="24" t="s">
        <v>2185</v>
      </c>
      <c r="AU73" s="24" t="s">
        <v>2186</v>
      </c>
      <c r="AV73" s="24" t="s">
        <v>2187</v>
      </c>
      <c r="AW73" s="25" t="s">
        <v>2196</v>
      </c>
      <c r="AX73" s="24" t="s">
        <v>1167</v>
      </c>
      <c r="AY73" s="24" t="s">
        <v>2189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2197</v>
      </c>
      <c r="Q1" s="27" t="s">
        <v>2198</v>
      </c>
      <c r="R1" s="27" t="s">
        <v>2199</v>
      </c>
      <c r="S1" s="27" t="s">
        <v>2200</v>
      </c>
      <c r="T1" s="27" t="s">
        <v>2201</v>
      </c>
      <c r="U1" s="27" t="s">
        <v>2202</v>
      </c>
      <c r="V1" s="27" t="s">
        <v>2203</v>
      </c>
      <c r="W1" s="27" t="s">
        <v>2204</v>
      </c>
      <c r="X1" s="30" t="s">
        <v>2205</v>
      </c>
      <c r="Y1" s="30" t="s">
        <v>2206</v>
      </c>
      <c r="Z1" s="30" t="s">
        <v>2207</v>
      </c>
      <c r="AA1" s="30" t="s">
        <v>2208</v>
      </c>
      <c r="AB1" s="27" t="s">
        <v>2209</v>
      </c>
      <c r="AC1" s="28" t="s">
        <v>35</v>
      </c>
      <c r="AD1" s="28" t="s">
        <v>33</v>
      </c>
      <c r="AE1" s="28" t="s">
        <v>37</v>
      </c>
      <c r="AF1" s="21" t="s">
        <v>73</v>
      </c>
      <c r="AG1" s="21" t="s">
        <v>826</v>
      </c>
      <c r="AH1" s="21" t="s">
        <v>827</v>
      </c>
      <c r="AI1" s="21" t="s">
        <v>74</v>
      </c>
      <c r="AJ1" s="21" t="s">
        <v>2036</v>
      </c>
      <c r="AK1" s="21" t="s">
        <v>2037</v>
      </c>
      <c r="AL1" s="21" t="s">
        <v>828</v>
      </c>
      <c r="AM1" s="21" t="s">
        <v>829</v>
      </c>
      <c r="AN1" s="21" t="s">
        <v>75</v>
      </c>
      <c r="AO1" s="21" t="s">
        <v>824</v>
      </c>
      <c r="AP1" s="21" t="s">
        <v>825</v>
      </c>
      <c r="AQ1" s="21" t="s">
        <v>822</v>
      </c>
      <c r="AR1" s="21" t="s">
        <v>823</v>
      </c>
      <c r="AS1" s="22" t="s">
        <v>76</v>
      </c>
      <c r="AT1" s="22" t="s">
        <v>77</v>
      </c>
      <c r="AU1" s="22" t="s">
        <v>2038</v>
      </c>
      <c r="AV1" s="22" t="s">
        <v>2039</v>
      </c>
      <c r="AW1" s="22" t="s">
        <v>78</v>
      </c>
      <c r="AX1" s="22" t="s">
        <v>841</v>
      </c>
      <c r="AY1" s="22" t="s">
        <v>2040</v>
      </c>
      <c r="AZ1" s="22" t="s">
        <v>2041</v>
      </c>
      <c r="BB1" s="31" t="s">
        <v>2042</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2210</v>
      </c>
      <c r="Q1" s="27" t="s">
        <v>2211</v>
      </c>
      <c r="R1" s="27" t="s">
        <v>2212</v>
      </c>
      <c r="S1" s="27" t="s">
        <v>2213</v>
      </c>
      <c r="T1" s="27" t="s">
        <v>2214</v>
      </c>
      <c r="U1" s="27" t="s">
        <v>2215</v>
      </c>
      <c r="V1" s="27" t="s">
        <v>2216</v>
      </c>
      <c r="W1" s="27" t="s">
        <v>2217</v>
      </c>
      <c r="X1" s="30" t="s">
        <v>2218</v>
      </c>
      <c r="Y1" s="30" t="s">
        <v>2219</v>
      </c>
      <c r="Z1" s="30" t="s">
        <v>2220</v>
      </c>
      <c r="AA1" s="30" t="s">
        <v>2221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793</v>
      </c>
      <c r="AS2" s="18" t="s">
        <v>2044</v>
      </c>
      <c r="AT2" s="18" t="s">
        <v>2045</v>
      </c>
      <c r="AU2" s="18" t="s">
        <v>2046</v>
      </c>
      <c r="AV2" s="18" t="s">
        <v>2222</v>
      </c>
      <c r="AW2" s="32" t="s">
        <v>2223</v>
      </c>
      <c r="AX2" s="18" t="s">
        <v>928</v>
      </c>
      <c r="AY2" s="18" t="s">
        <v>2224</v>
      </c>
      <c r="BA2" s="33" t="s">
        <v>793</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2050</v>
      </c>
      <c r="O3" s="18" t="s">
        <v>2051</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793</v>
      </c>
      <c r="AS3" s="18" t="s">
        <v>2044</v>
      </c>
      <c r="AT3" s="18" t="s">
        <v>2045</v>
      </c>
      <c r="AU3" s="18" t="s">
        <v>2046</v>
      </c>
      <c r="AV3" s="18" t="s">
        <v>2222</v>
      </c>
      <c r="AW3" s="32" t="s">
        <v>2223</v>
      </c>
      <c r="AX3" s="18" t="s">
        <v>928</v>
      </c>
      <c r="AY3" s="18" t="s">
        <v>2224</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2043</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2225</v>
      </c>
      <c r="AS4" s="5" t="s">
        <v>2053</v>
      </c>
      <c r="AT4" s="5" t="s">
        <v>2054</v>
      </c>
      <c r="AU4" s="5" t="s">
        <v>2055</v>
      </c>
      <c r="AV4" s="5" t="s">
        <v>2056</v>
      </c>
      <c r="AW4" s="23" t="s">
        <v>2226</v>
      </c>
      <c r="AX4" s="5" t="s">
        <v>880</v>
      </c>
      <c r="AY4" s="5" t="s">
        <v>2227</v>
      </c>
    </row>
    <row r="5" customFormat="false" ht="15" hidden="false" customHeight="true" outlineLevel="0" collapsed="false">
      <c r="A5" s="5" t="n">
        <v>165</v>
      </c>
      <c r="B5" s="5" t="n">
        <v>165</v>
      </c>
      <c r="C5" s="5" t="s">
        <v>862</v>
      </c>
      <c r="D5" s="5" t="n">
        <v>2012</v>
      </c>
      <c r="E5" s="5" t="s">
        <v>863</v>
      </c>
      <c r="F5" s="5" t="s">
        <v>866</v>
      </c>
      <c r="G5" s="5" t="s">
        <v>867</v>
      </c>
      <c r="H5" s="5" t="n">
        <v>28.633</v>
      </c>
      <c r="I5" s="5" t="n">
        <v>77.183</v>
      </c>
      <c r="J5" s="5" t="s">
        <v>83</v>
      </c>
      <c r="K5" s="5" t="s">
        <v>2052</v>
      </c>
      <c r="L5" s="5" t="s">
        <v>872</v>
      </c>
      <c r="M5" s="5" t="s">
        <v>85</v>
      </c>
      <c r="N5" s="5" t="s">
        <v>86</v>
      </c>
      <c r="O5" s="5" t="s">
        <v>2043</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2225</v>
      </c>
      <c r="AS5" s="5" t="s">
        <v>2059</v>
      </c>
      <c r="AT5" s="5" t="s">
        <v>2060</v>
      </c>
      <c r="AU5" s="5" t="s">
        <v>2055</v>
      </c>
      <c r="AV5" s="5" t="s">
        <v>2056</v>
      </c>
      <c r="AW5" s="23" t="s">
        <v>2228</v>
      </c>
      <c r="AX5" s="5" t="s">
        <v>880</v>
      </c>
      <c r="AY5" s="5" t="s">
        <v>2227</v>
      </c>
      <c r="BA5" s="5" t="s">
        <v>89</v>
      </c>
    </row>
    <row r="6" customFormat="false" ht="15" hidden="false" customHeight="true" outlineLevel="0" collapsed="false">
      <c r="A6" s="5" t="s">
        <v>982</v>
      </c>
      <c r="B6" s="5" t="s">
        <v>982</v>
      </c>
      <c r="C6" s="5" t="s">
        <v>983</v>
      </c>
      <c r="D6" s="5" t="n">
        <v>2023</v>
      </c>
      <c r="E6" s="5" t="s">
        <v>984</v>
      </c>
      <c r="F6" s="5" t="s">
        <v>987</v>
      </c>
      <c r="G6" s="5" t="s">
        <v>988</v>
      </c>
      <c r="H6" s="5" t="n">
        <v>35.27</v>
      </c>
      <c r="I6" s="5" t="n">
        <v>119.38</v>
      </c>
      <c r="J6" s="5" t="s">
        <v>921</v>
      </c>
      <c r="K6" s="5" t="n">
        <v>2018</v>
      </c>
      <c r="L6" s="5" t="s">
        <v>872</v>
      </c>
      <c r="M6" s="5"/>
      <c r="N6" s="5" t="s">
        <v>86</v>
      </c>
      <c r="O6" s="5" t="s">
        <v>2062</v>
      </c>
      <c r="P6" s="5" t="n">
        <f aca="false">ROUND((1-BD!P6/2.65)*100,2)</f>
        <v>48.15</v>
      </c>
      <c r="Q6" s="5"/>
      <c r="R6" s="5"/>
      <c r="S6" s="5"/>
      <c r="T6" s="5"/>
      <c r="U6" s="5"/>
      <c r="V6" s="5"/>
      <c r="W6" s="5"/>
      <c r="X6" s="5" t="n">
        <f aca="false">ROUND((1-BD!X6/2.65)*100,2)</f>
        <v>47.36</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793</v>
      </c>
      <c r="AS6" s="5" t="s">
        <v>2063</v>
      </c>
      <c r="AT6" s="5" t="s">
        <v>2064</v>
      </c>
      <c r="AU6" s="5" t="s">
        <v>2065</v>
      </c>
      <c r="AV6" s="5" t="s">
        <v>2229</v>
      </c>
      <c r="AW6" s="23" t="s">
        <v>2230</v>
      </c>
      <c r="AX6" s="5" t="s">
        <v>998</v>
      </c>
      <c r="AY6" s="5" t="s">
        <v>2224</v>
      </c>
    </row>
    <row r="7" customFormat="false" ht="15" hidden="false" customHeight="true" outlineLevel="0" collapsed="false">
      <c r="A7" s="5" t="s">
        <v>982</v>
      </c>
      <c r="B7" s="5" t="s">
        <v>982</v>
      </c>
      <c r="C7" s="5" t="s">
        <v>983</v>
      </c>
      <c r="D7" s="5" t="n">
        <v>2023</v>
      </c>
      <c r="E7" s="5" t="s">
        <v>984</v>
      </c>
      <c r="F7" s="5" t="s">
        <v>987</v>
      </c>
      <c r="G7" s="5" t="s">
        <v>988</v>
      </c>
      <c r="H7" s="5" t="n">
        <v>35.27</v>
      </c>
      <c r="I7" s="5" t="n">
        <v>119.38</v>
      </c>
      <c r="J7" s="5" t="s">
        <v>921</v>
      </c>
      <c r="K7" s="5" t="n">
        <v>2019</v>
      </c>
      <c r="L7" s="5" t="s">
        <v>872</v>
      </c>
      <c r="M7" s="5"/>
      <c r="N7" s="5" t="s">
        <v>86</v>
      </c>
      <c r="O7" s="5" t="s">
        <v>2062</v>
      </c>
      <c r="P7" s="5" t="n">
        <f aca="false">ROUND((1-BD!P7/2.65)*100,2)</f>
        <v>48.08</v>
      </c>
      <c r="Q7" s="5"/>
      <c r="R7" s="5"/>
      <c r="S7" s="5"/>
      <c r="T7" s="5"/>
      <c r="U7" s="5"/>
      <c r="V7" s="5"/>
      <c r="W7" s="5"/>
      <c r="X7" s="5" t="n">
        <f aca="false">ROUND((1-BD!X7/2.65)*100,2)</f>
        <v>47.28</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793</v>
      </c>
      <c r="AS7" s="5" t="s">
        <v>2063</v>
      </c>
      <c r="AT7" s="5" t="s">
        <v>2069</v>
      </c>
      <c r="AU7" s="5" t="s">
        <v>2065</v>
      </c>
      <c r="AV7" s="5" t="s">
        <v>2229</v>
      </c>
      <c r="AW7" s="23" t="s">
        <v>2230</v>
      </c>
      <c r="AX7" s="5" t="s">
        <v>998</v>
      </c>
      <c r="AY7" s="5" t="s">
        <v>2224</v>
      </c>
    </row>
    <row r="8" customFormat="false" ht="15" hidden="false" customHeight="true" outlineLevel="0" collapsed="false">
      <c r="A8" s="5" t="s">
        <v>982</v>
      </c>
      <c r="B8" s="5" t="s">
        <v>982</v>
      </c>
      <c r="C8" s="5" t="s">
        <v>983</v>
      </c>
      <c r="D8" s="5" t="n">
        <v>2023</v>
      </c>
      <c r="E8" s="5" t="s">
        <v>984</v>
      </c>
      <c r="F8" s="5" t="s">
        <v>987</v>
      </c>
      <c r="G8" s="5" t="s">
        <v>988</v>
      </c>
      <c r="H8" s="5" t="n">
        <v>35.27</v>
      </c>
      <c r="I8" s="5" t="n">
        <v>119.38</v>
      </c>
      <c r="J8" s="5" t="s">
        <v>921</v>
      </c>
      <c r="K8" s="5" t="n">
        <v>2020</v>
      </c>
      <c r="L8" s="5" t="s">
        <v>872</v>
      </c>
      <c r="M8" s="5"/>
      <c r="N8" s="5" t="s">
        <v>86</v>
      </c>
      <c r="O8" s="5" t="s">
        <v>2062</v>
      </c>
      <c r="P8" s="5" t="n">
        <f aca="false">ROUND((1-BD!P8/2.65)*100,2)</f>
        <v>47.85</v>
      </c>
      <c r="Q8" s="5"/>
      <c r="R8" s="5"/>
      <c r="S8" s="5"/>
      <c r="T8" s="5"/>
      <c r="U8" s="5"/>
      <c r="V8" s="5"/>
      <c r="W8" s="5"/>
      <c r="X8" s="5" t="n">
        <f aca="false">ROUND((1-BD!X8/2.65)*100,2)</f>
        <v>46.87</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793</v>
      </c>
      <c r="AS8" s="5" t="s">
        <v>2063</v>
      </c>
      <c r="AT8" s="5" t="s">
        <v>2070</v>
      </c>
      <c r="AU8" s="5" t="s">
        <v>2065</v>
      </c>
      <c r="AV8" s="5" t="s">
        <v>2229</v>
      </c>
      <c r="AW8" s="23" t="s">
        <v>2230</v>
      </c>
      <c r="AX8" s="5" t="s">
        <v>998</v>
      </c>
      <c r="AY8" s="5" t="s">
        <v>2224</v>
      </c>
    </row>
    <row r="9" customFormat="false" ht="15" hidden="false" customHeight="true" outlineLevel="0" collapsed="false">
      <c r="A9" s="5" t="s">
        <v>982</v>
      </c>
      <c r="B9" s="5" t="s">
        <v>982</v>
      </c>
      <c r="C9" s="5" t="s">
        <v>983</v>
      </c>
      <c r="D9" s="5" t="n">
        <v>2023</v>
      </c>
      <c r="E9" s="5" t="s">
        <v>984</v>
      </c>
      <c r="F9" s="5" t="s">
        <v>987</v>
      </c>
      <c r="G9" s="5" t="s">
        <v>988</v>
      </c>
      <c r="H9" s="5" t="n">
        <v>35.27</v>
      </c>
      <c r="I9" s="5" t="n">
        <v>119.38</v>
      </c>
      <c r="J9" s="5" t="s">
        <v>921</v>
      </c>
      <c r="K9" s="5" t="n">
        <v>2018</v>
      </c>
      <c r="L9" s="5" t="s">
        <v>872</v>
      </c>
      <c r="M9" s="5"/>
      <c r="N9" s="5" t="s">
        <v>2050</v>
      </c>
      <c r="O9" s="5" t="s">
        <v>2071</v>
      </c>
      <c r="P9" s="5" t="n">
        <f aca="false">ROUND((1-BD!P9/2.65)*100,2)</f>
        <v>46.38</v>
      </c>
      <c r="Q9" s="5"/>
      <c r="R9" s="5"/>
      <c r="S9" s="5"/>
      <c r="T9" s="5"/>
      <c r="U9" s="5"/>
      <c r="V9" s="5"/>
      <c r="W9" s="5"/>
      <c r="X9" s="5" t="n">
        <f aca="false">ROUND((1-BD!X9/2.65)*100,2)</f>
        <v>45.89</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793</v>
      </c>
      <c r="AS9" s="5" t="s">
        <v>2063</v>
      </c>
      <c r="AT9" s="5" t="s">
        <v>2064</v>
      </c>
      <c r="AU9" s="5" t="s">
        <v>2065</v>
      </c>
      <c r="AV9" s="5" t="s">
        <v>2229</v>
      </c>
      <c r="AW9" s="23" t="s">
        <v>2231</v>
      </c>
      <c r="AX9" s="5" t="s">
        <v>998</v>
      </c>
      <c r="AY9" s="5" t="s">
        <v>2224</v>
      </c>
    </row>
    <row r="10" customFormat="false" ht="15" hidden="false" customHeight="true" outlineLevel="0" collapsed="false">
      <c r="A10" s="5" t="s">
        <v>982</v>
      </c>
      <c r="B10" s="5" t="s">
        <v>982</v>
      </c>
      <c r="C10" s="5" t="s">
        <v>983</v>
      </c>
      <c r="D10" s="5" t="n">
        <v>2023</v>
      </c>
      <c r="E10" s="5" t="s">
        <v>984</v>
      </c>
      <c r="F10" s="5" t="s">
        <v>987</v>
      </c>
      <c r="G10" s="5" t="s">
        <v>988</v>
      </c>
      <c r="H10" s="5" t="n">
        <v>35.27</v>
      </c>
      <c r="I10" s="5" t="n">
        <v>119.38</v>
      </c>
      <c r="J10" s="5" t="s">
        <v>921</v>
      </c>
      <c r="K10" s="5" t="n">
        <v>2019</v>
      </c>
      <c r="L10" s="5" t="s">
        <v>872</v>
      </c>
      <c r="M10" s="5"/>
      <c r="N10" s="5" t="s">
        <v>2050</v>
      </c>
      <c r="O10" s="5" t="s">
        <v>2071</v>
      </c>
      <c r="P10" s="5" t="n">
        <f aca="false">ROUND((1-BD!P10/2.65)*100,2)</f>
        <v>46.49</v>
      </c>
      <c r="Q10" s="5"/>
      <c r="R10" s="5"/>
      <c r="S10" s="5"/>
      <c r="T10" s="5"/>
      <c r="U10" s="5"/>
      <c r="V10" s="5"/>
      <c r="W10" s="5"/>
      <c r="X10" s="5" t="n">
        <f aca="false">ROUND((1-BD!X10/2.65)*100,2)</f>
        <v>45.85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793</v>
      </c>
      <c r="AS10" s="5" t="s">
        <v>2063</v>
      </c>
      <c r="AT10" s="5" t="s">
        <v>2069</v>
      </c>
      <c r="AU10" s="5" t="s">
        <v>2065</v>
      </c>
      <c r="AV10" s="5" t="s">
        <v>2229</v>
      </c>
      <c r="AW10" s="23" t="s">
        <v>2231</v>
      </c>
      <c r="AX10" s="5" t="s">
        <v>998</v>
      </c>
      <c r="AY10" s="5" t="s">
        <v>2224</v>
      </c>
    </row>
    <row r="11" customFormat="false" ht="15" hidden="false" customHeight="true" outlineLevel="0" collapsed="false">
      <c r="A11" s="5" t="s">
        <v>982</v>
      </c>
      <c r="B11" s="5" t="s">
        <v>982</v>
      </c>
      <c r="C11" s="5" t="s">
        <v>983</v>
      </c>
      <c r="D11" s="5" t="n">
        <v>2023</v>
      </c>
      <c r="E11" s="5" t="s">
        <v>984</v>
      </c>
      <c r="F11" s="5" t="s">
        <v>987</v>
      </c>
      <c r="G11" s="5" t="s">
        <v>988</v>
      </c>
      <c r="H11" s="5" t="n">
        <v>35.27</v>
      </c>
      <c r="I11" s="5" t="n">
        <v>119.38</v>
      </c>
      <c r="J11" s="5" t="s">
        <v>921</v>
      </c>
      <c r="K11" s="5" t="n">
        <v>2020</v>
      </c>
      <c r="L11" s="5" t="s">
        <v>872</v>
      </c>
      <c r="M11" s="5"/>
      <c r="N11" s="5" t="s">
        <v>2050</v>
      </c>
      <c r="O11" s="5" t="s">
        <v>2071</v>
      </c>
      <c r="P11" s="5" t="n">
        <f aca="false">ROUND((1-BD!P11/2.65)*100,2)</f>
        <v>45.09</v>
      </c>
      <c r="Q11" s="5"/>
      <c r="R11" s="5"/>
      <c r="S11" s="5"/>
      <c r="T11" s="5"/>
      <c r="U11" s="5"/>
      <c r="V11" s="5"/>
      <c r="W11" s="5"/>
      <c r="X11" s="5" t="n">
        <f aca="false">ROUND((1-BD!X11/2.65)*100,2)</f>
        <v>45.62</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793</v>
      </c>
      <c r="AS11" s="5" t="s">
        <v>2063</v>
      </c>
      <c r="AT11" s="5" t="s">
        <v>2070</v>
      </c>
      <c r="AU11" s="5" t="s">
        <v>2065</v>
      </c>
      <c r="AV11" s="5" t="s">
        <v>2229</v>
      </c>
      <c r="AW11" s="23" t="s">
        <v>2231</v>
      </c>
      <c r="AX11" s="5" t="s">
        <v>998</v>
      </c>
      <c r="AY11" s="5" t="s">
        <v>2224</v>
      </c>
    </row>
    <row r="12" customFormat="false" ht="15" hidden="false" customHeight="true" outlineLevel="0" collapsed="false">
      <c r="A12" s="5" t="s">
        <v>982</v>
      </c>
      <c r="B12" s="5" t="s">
        <v>982</v>
      </c>
      <c r="C12" s="5" t="s">
        <v>983</v>
      </c>
      <c r="D12" s="5" t="n">
        <v>2023</v>
      </c>
      <c r="E12" s="5" t="s">
        <v>984</v>
      </c>
      <c r="F12" s="5" t="s">
        <v>987</v>
      </c>
      <c r="G12" s="5" t="s">
        <v>988</v>
      </c>
      <c r="H12" s="5" t="n">
        <v>35.27</v>
      </c>
      <c r="I12" s="5" t="n">
        <v>119.38</v>
      </c>
      <c r="J12" s="5" t="s">
        <v>921</v>
      </c>
      <c r="K12" s="5" t="n">
        <v>2018</v>
      </c>
      <c r="L12" s="5" t="s">
        <v>872</v>
      </c>
      <c r="M12" s="5"/>
      <c r="N12" s="5" t="s">
        <v>2050</v>
      </c>
      <c r="O12" s="5" t="s">
        <v>2073</v>
      </c>
      <c r="P12" s="5" t="n">
        <f aca="false">ROUND((1-BD!P12/2.65)*100,2)</f>
        <v>43.77</v>
      </c>
      <c r="Q12" s="5"/>
      <c r="R12" s="5"/>
      <c r="S12" s="5"/>
      <c r="T12" s="5"/>
      <c r="U12" s="5"/>
      <c r="V12" s="5"/>
      <c r="W12" s="5"/>
      <c r="X12" s="5" t="n">
        <f aca="false">ROUND((1-BD!X12/2.65)*100,2)</f>
        <v>43.36</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793</v>
      </c>
      <c r="AS12" s="5" t="s">
        <v>2063</v>
      </c>
      <c r="AT12" s="5" t="s">
        <v>2064</v>
      </c>
      <c r="AU12" s="5" t="s">
        <v>2065</v>
      </c>
      <c r="AV12" s="5" t="s">
        <v>2229</v>
      </c>
      <c r="AW12" s="23" t="s">
        <v>2231</v>
      </c>
      <c r="AX12" s="5" t="s">
        <v>998</v>
      </c>
      <c r="AY12" s="5" t="s">
        <v>2224</v>
      </c>
    </row>
    <row r="13" customFormat="false" ht="15" hidden="false" customHeight="true" outlineLevel="0" collapsed="false">
      <c r="A13" s="5" t="s">
        <v>982</v>
      </c>
      <c r="B13" s="5" t="s">
        <v>982</v>
      </c>
      <c r="C13" s="5" t="s">
        <v>983</v>
      </c>
      <c r="D13" s="5" t="n">
        <v>2023</v>
      </c>
      <c r="E13" s="5" t="s">
        <v>984</v>
      </c>
      <c r="F13" s="5" t="s">
        <v>987</v>
      </c>
      <c r="G13" s="5" t="s">
        <v>988</v>
      </c>
      <c r="H13" s="5" t="n">
        <v>35.27</v>
      </c>
      <c r="I13" s="5" t="n">
        <v>119.38</v>
      </c>
      <c r="J13" s="5" t="s">
        <v>921</v>
      </c>
      <c r="K13" s="5" t="n">
        <v>2019</v>
      </c>
      <c r="L13" s="5" t="s">
        <v>872</v>
      </c>
      <c r="M13" s="5"/>
      <c r="N13" s="5" t="s">
        <v>2050</v>
      </c>
      <c r="O13" s="5" t="s">
        <v>2073</v>
      </c>
      <c r="P13" s="5" t="n">
        <f aca="false">ROUND((1-BD!P13/2.65)*100,2)</f>
        <v>44.15</v>
      </c>
      <c r="Q13" s="5"/>
      <c r="R13" s="5"/>
      <c r="S13" s="5"/>
      <c r="T13" s="5"/>
      <c r="U13" s="5"/>
      <c r="V13" s="5"/>
      <c r="W13" s="5"/>
      <c r="X13" s="5" t="n">
        <f aca="false">ROUND((1-BD!X13/2.65)*100,2)</f>
        <v>42.75</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793</v>
      </c>
      <c r="AS13" s="5" t="s">
        <v>2063</v>
      </c>
      <c r="AT13" s="5" t="s">
        <v>2069</v>
      </c>
      <c r="AU13" s="5" t="s">
        <v>2065</v>
      </c>
      <c r="AV13" s="5" t="s">
        <v>2229</v>
      </c>
      <c r="AW13" s="23" t="s">
        <v>2231</v>
      </c>
      <c r="AX13" s="5" t="s">
        <v>998</v>
      </c>
      <c r="AY13" s="5" t="s">
        <v>2224</v>
      </c>
    </row>
    <row r="14" customFormat="false" ht="15" hidden="false" customHeight="true" outlineLevel="0" collapsed="false">
      <c r="A14" s="5" t="s">
        <v>982</v>
      </c>
      <c r="B14" s="5" t="s">
        <v>982</v>
      </c>
      <c r="C14" s="5" t="s">
        <v>983</v>
      </c>
      <c r="D14" s="5" t="n">
        <v>2023</v>
      </c>
      <c r="E14" s="5" t="s">
        <v>984</v>
      </c>
      <c r="F14" s="5" t="s">
        <v>987</v>
      </c>
      <c r="G14" s="5" t="s">
        <v>988</v>
      </c>
      <c r="H14" s="5" t="n">
        <v>35.27</v>
      </c>
      <c r="I14" s="5" t="n">
        <v>119.38</v>
      </c>
      <c r="J14" s="5" t="s">
        <v>921</v>
      </c>
      <c r="K14" s="5" t="n">
        <v>2020</v>
      </c>
      <c r="L14" s="5" t="s">
        <v>872</v>
      </c>
      <c r="M14" s="5"/>
      <c r="N14" s="5" t="s">
        <v>2050</v>
      </c>
      <c r="O14" s="5" t="s">
        <v>2073</v>
      </c>
      <c r="P14" s="5" t="n">
        <f aca="false">ROUND((1-BD!P14/2.65)*100,2)</f>
        <v>44.04</v>
      </c>
      <c r="Q14" s="5"/>
      <c r="R14" s="5"/>
      <c r="S14" s="5"/>
      <c r="T14" s="5"/>
      <c r="U14" s="5"/>
      <c r="V14" s="5"/>
      <c r="W14" s="5"/>
      <c r="X14" s="5" t="n">
        <f aca="false">ROUND((1-BD!X14/2.65)*100,2)</f>
        <v>42.15</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793</v>
      </c>
      <c r="AS14" s="5" t="s">
        <v>2063</v>
      </c>
      <c r="AT14" s="5" t="s">
        <v>2070</v>
      </c>
      <c r="AU14" s="5" t="s">
        <v>2065</v>
      </c>
      <c r="AV14" s="5" t="s">
        <v>2229</v>
      </c>
      <c r="AW14" s="23" t="s">
        <v>2231</v>
      </c>
      <c r="AX14" s="5" t="s">
        <v>998</v>
      </c>
      <c r="AY14" s="5" t="s">
        <v>2224</v>
      </c>
    </row>
    <row r="15" customFormat="false" ht="15" hidden="false" customHeight="true" outlineLevel="0" collapsed="false">
      <c r="A15" s="18" t="s">
        <v>965</v>
      </c>
      <c r="B15" s="18" t="s">
        <v>965</v>
      </c>
      <c r="C15" s="18" t="s">
        <v>966</v>
      </c>
      <c r="D15" s="18" t="n">
        <v>2020</v>
      </c>
      <c r="E15" s="18" t="s">
        <v>967</v>
      </c>
      <c r="F15" s="18" t="s">
        <v>866</v>
      </c>
      <c r="G15" s="18" t="s">
        <v>970</v>
      </c>
      <c r="H15" s="18" t="n">
        <v>28.4</v>
      </c>
      <c r="I15" s="18" t="n">
        <v>77.1</v>
      </c>
      <c r="J15" s="18" t="s">
        <v>83</v>
      </c>
      <c r="K15" s="18" t="s">
        <v>2075</v>
      </c>
      <c r="L15" s="18" t="s">
        <v>853</v>
      </c>
      <c r="M15" s="18" t="s">
        <v>85</v>
      </c>
      <c r="N15" s="18" t="s">
        <v>86</v>
      </c>
      <c r="O15" s="18" t="s">
        <v>2043</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793</v>
      </c>
      <c r="AS15" s="18" t="s">
        <v>2076</v>
      </c>
      <c r="AT15" s="18" t="s">
        <v>2077</v>
      </c>
      <c r="AU15" s="18" t="s">
        <v>2078</v>
      </c>
      <c r="AV15" s="18" t="s">
        <v>2232</v>
      </c>
      <c r="AW15" s="32" t="s">
        <v>2233</v>
      </c>
      <c r="AX15" s="18" t="s">
        <v>979</v>
      </c>
      <c r="AY15" s="18" t="s">
        <v>2224</v>
      </c>
    </row>
    <row r="16" customFormat="false" ht="15" hidden="false" customHeight="true" outlineLevel="0" collapsed="false">
      <c r="A16" s="18" t="s">
        <v>965</v>
      </c>
      <c r="B16" s="18" t="s">
        <v>965</v>
      </c>
      <c r="C16" s="18" t="s">
        <v>966</v>
      </c>
      <c r="D16" s="18" t="n">
        <v>2020</v>
      </c>
      <c r="E16" s="18" t="s">
        <v>967</v>
      </c>
      <c r="F16" s="18" t="s">
        <v>866</v>
      </c>
      <c r="G16" s="18" t="s">
        <v>970</v>
      </c>
      <c r="H16" s="18" t="n">
        <v>28.4</v>
      </c>
      <c r="I16" s="18" t="n">
        <v>77.1</v>
      </c>
      <c r="J16" s="18" t="s">
        <v>83</v>
      </c>
      <c r="K16" s="18" t="s">
        <v>2075</v>
      </c>
      <c r="L16" s="18" t="s">
        <v>853</v>
      </c>
      <c r="M16" s="18" t="s">
        <v>85</v>
      </c>
      <c r="N16" s="18" t="s">
        <v>86</v>
      </c>
      <c r="O16" s="18" t="s">
        <v>2043</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793</v>
      </c>
      <c r="AS16" s="18" t="s">
        <v>2082</v>
      </c>
      <c r="AT16" s="18" t="s">
        <v>2077</v>
      </c>
      <c r="AU16" s="18" t="s">
        <v>2078</v>
      </c>
      <c r="AV16" s="18" t="s">
        <v>2232</v>
      </c>
      <c r="AW16" s="32" t="s">
        <v>2234</v>
      </c>
      <c r="AX16" s="18" t="s">
        <v>979</v>
      </c>
      <c r="AY16" s="18" t="s">
        <v>2224</v>
      </c>
    </row>
    <row r="17" customFormat="false" ht="15" hidden="false" customHeight="true" outlineLevel="0" collapsed="false">
      <c r="A17" s="18" t="s">
        <v>965</v>
      </c>
      <c r="B17" s="18" t="s">
        <v>965</v>
      </c>
      <c r="C17" s="18" t="s">
        <v>966</v>
      </c>
      <c r="D17" s="18" t="n">
        <v>2020</v>
      </c>
      <c r="E17" s="18" t="s">
        <v>967</v>
      </c>
      <c r="F17" s="18" t="s">
        <v>866</v>
      </c>
      <c r="G17" s="18" t="s">
        <v>970</v>
      </c>
      <c r="H17" s="18" t="n">
        <v>28.4</v>
      </c>
      <c r="I17" s="18" t="n">
        <v>77.1</v>
      </c>
      <c r="J17" s="18" t="s">
        <v>83</v>
      </c>
      <c r="K17" s="18" t="s">
        <v>2075</v>
      </c>
      <c r="L17" s="18" t="s">
        <v>853</v>
      </c>
      <c r="M17" s="18" t="s">
        <v>85</v>
      </c>
      <c r="N17" s="18" t="s">
        <v>86</v>
      </c>
      <c r="O17" s="18" t="s">
        <v>2043</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793</v>
      </c>
      <c r="AS17" s="18" t="s">
        <v>2084</v>
      </c>
      <c r="AT17" s="18" t="s">
        <v>2077</v>
      </c>
      <c r="AU17" s="18" t="s">
        <v>2078</v>
      </c>
      <c r="AV17" s="18" t="s">
        <v>2232</v>
      </c>
      <c r="AW17" s="32" t="s">
        <v>2235</v>
      </c>
      <c r="AX17" s="18" t="s">
        <v>979</v>
      </c>
      <c r="AY17" s="18" t="s">
        <v>2224</v>
      </c>
    </row>
    <row r="18" customFormat="false" ht="15" hidden="false" customHeight="true" outlineLevel="0" collapsed="false">
      <c r="A18" s="18" t="s">
        <v>965</v>
      </c>
      <c r="B18" s="18" t="s">
        <v>965</v>
      </c>
      <c r="C18" s="18" t="s">
        <v>966</v>
      </c>
      <c r="D18" s="18" t="n">
        <v>2020</v>
      </c>
      <c r="E18" s="18" t="s">
        <v>967</v>
      </c>
      <c r="F18" s="18" t="s">
        <v>866</v>
      </c>
      <c r="G18" s="18" t="s">
        <v>970</v>
      </c>
      <c r="H18" s="18" t="n">
        <v>28.4</v>
      </c>
      <c r="I18" s="18" t="n">
        <v>77.1</v>
      </c>
      <c r="J18" s="18" t="s">
        <v>83</v>
      </c>
      <c r="K18" s="18" t="s">
        <v>2075</v>
      </c>
      <c r="L18" s="18" t="s">
        <v>853</v>
      </c>
      <c r="M18" s="18" t="s">
        <v>85</v>
      </c>
      <c r="N18" s="18" t="s">
        <v>86</v>
      </c>
      <c r="O18" s="18" t="s">
        <v>2043</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793</v>
      </c>
      <c r="AS18" s="18" t="s">
        <v>2086</v>
      </c>
      <c r="AT18" s="18" t="s">
        <v>2077</v>
      </c>
      <c r="AU18" s="18" t="s">
        <v>2078</v>
      </c>
      <c r="AV18" s="18" t="s">
        <v>2232</v>
      </c>
      <c r="AW18" s="32" t="s">
        <v>2236</v>
      </c>
      <c r="AX18" s="18" t="s">
        <v>979</v>
      </c>
      <c r="AY18" s="18" t="s">
        <v>2224</v>
      </c>
    </row>
    <row r="19" customFormat="false" ht="15" hidden="false" customHeight="true" outlineLevel="0" collapsed="false">
      <c r="A19" s="18" t="s">
        <v>965</v>
      </c>
      <c r="B19" s="18" t="s">
        <v>965</v>
      </c>
      <c r="C19" s="18" t="s">
        <v>966</v>
      </c>
      <c r="D19" s="18" t="n">
        <v>2020</v>
      </c>
      <c r="E19" s="18" t="s">
        <v>967</v>
      </c>
      <c r="F19" s="18" t="s">
        <v>866</v>
      </c>
      <c r="G19" s="18" t="s">
        <v>970</v>
      </c>
      <c r="H19" s="18" t="n">
        <v>28.4</v>
      </c>
      <c r="I19" s="18" t="n">
        <v>77.1</v>
      </c>
      <c r="J19" s="18" t="s">
        <v>83</v>
      </c>
      <c r="K19" s="18" t="s">
        <v>2075</v>
      </c>
      <c r="L19" s="18" t="s">
        <v>853</v>
      </c>
      <c r="M19" s="18" t="s">
        <v>85</v>
      </c>
      <c r="N19" s="18" t="s">
        <v>86</v>
      </c>
      <c r="O19" s="18" t="s">
        <v>2043</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793</v>
      </c>
      <c r="AS19" s="18" t="s">
        <v>2088</v>
      </c>
      <c r="AT19" s="18" t="s">
        <v>2077</v>
      </c>
      <c r="AU19" s="18" t="s">
        <v>2078</v>
      </c>
      <c r="AV19" s="18" t="s">
        <v>2232</v>
      </c>
      <c r="AW19" s="32" t="s">
        <v>2237</v>
      </c>
      <c r="AX19" s="18" t="s">
        <v>979</v>
      </c>
      <c r="AY19" s="18" t="s">
        <v>2224</v>
      </c>
    </row>
    <row r="20" customFormat="false" ht="15" hidden="false" customHeight="true" outlineLevel="0" collapsed="false">
      <c r="A20" s="18" t="s">
        <v>965</v>
      </c>
      <c r="B20" s="18" t="s">
        <v>965</v>
      </c>
      <c r="C20" s="18" t="s">
        <v>966</v>
      </c>
      <c r="D20" s="18" t="n">
        <v>2020</v>
      </c>
      <c r="E20" s="18" t="s">
        <v>967</v>
      </c>
      <c r="F20" s="18" t="s">
        <v>866</v>
      </c>
      <c r="G20" s="18" t="s">
        <v>970</v>
      </c>
      <c r="H20" s="18" t="n">
        <v>28.4</v>
      </c>
      <c r="I20" s="18" t="n">
        <v>77.1</v>
      </c>
      <c r="J20" s="18" t="s">
        <v>83</v>
      </c>
      <c r="K20" s="18" t="s">
        <v>2075</v>
      </c>
      <c r="L20" s="18" t="s">
        <v>853</v>
      </c>
      <c r="M20" s="18" t="s">
        <v>85</v>
      </c>
      <c r="N20" s="18" t="s">
        <v>86</v>
      </c>
      <c r="O20" s="18" t="s">
        <v>2043</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793</v>
      </c>
      <c r="AS20" s="18" t="s">
        <v>2090</v>
      </c>
      <c r="AT20" s="18" t="s">
        <v>2077</v>
      </c>
      <c r="AU20" s="18" t="s">
        <v>2078</v>
      </c>
      <c r="AV20" s="18" t="s">
        <v>2232</v>
      </c>
      <c r="AW20" s="32" t="s">
        <v>2238</v>
      </c>
      <c r="AX20" s="18" t="s">
        <v>979</v>
      </c>
      <c r="AY20" s="18" t="s">
        <v>2224</v>
      </c>
    </row>
    <row r="21" customFormat="false" ht="15" hidden="false" customHeight="true" outlineLevel="0" collapsed="false">
      <c r="A21" s="18" t="s">
        <v>965</v>
      </c>
      <c r="B21" s="18" t="s">
        <v>965</v>
      </c>
      <c r="C21" s="18" t="s">
        <v>966</v>
      </c>
      <c r="D21" s="18" t="n">
        <v>2020</v>
      </c>
      <c r="E21" s="18" t="s">
        <v>967</v>
      </c>
      <c r="F21" s="18" t="s">
        <v>866</v>
      </c>
      <c r="G21" s="18" t="s">
        <v>970</v>
      </c>
      <c r="H21" s="18" t="n">
        <v>28.4</v>
      </c>
      <c r="I21" s="18" t="n">
        <v>77.1</v>
      </c>
      <c r="J21" s="18" t="s">
        <v>83</v>
      </c>
      <c r="K21" s="18" t="s">
        <v>2075</v>
      </c>
      <c r="L21" s="18" t="s">
        <v>853</v>
      </c>
      <c r="M21" s="18" t="s">
        <v>85</v>
      </c>
      <c r="N21" s="18" t="s">
        <v>86</v>
      </c>
      <c r="O21" s="18" t="s">
        <v>2043</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793</v>
      </c>
      <c r="AS21" s="18" t="s">
        <v>2092</v>
      </c>
      <c r="AT21" s="18" t="s">
        <v>2077</v>
      </c>
      <c r="AU21" s="18" t="s">
        <v>2078</v>
      </c>
      <c r="AV21" s="18" t="s">
        <v>2232</v>
      </c>
      <c r="AW21" s="32" t="s">
        <v>2239</v>
      </c>
      <c r="AX21" s="18" t="s">
        <v>979</v>
      </c>
      <c r="AY21" s="18" t="s">
        <v>2224</v>
      </c>
    </row>
    <row r="22" customFormat="false" ht="15" hidden="false" customHeight="true" outlineLevel="0" collapsed="false">
      <c r="A22" s="18" t="s">
        <v>965</v>
      </c>
      <c r="B22" s="18" t="s">
        <v>965</v>
      </c>
      <c r="C22" s="18" t="s">
        <v>966</v>
      </c>
      <c r="D22" s="18" t="n">
        <v>2020</v>
      </c>
      <c r="E22" s="18" t="s">
        <v>967</v>
      </c>
      <c r="F22" s="18" t="s">
        <v>866</v>
      </c>
      <c r="G22" s="18" t="s">
        <v>970</v>
      </c>
      <c r="H22" s="18" t="n">
        <v>28.4</v>
      </c>
      <c r="I22" s="18" t="n">
        <v>77.1</v>
      </c>
      <c r="J22" s="18" t="s">
        <v>83</v>
      </c>
      <c r="K22" s="18" t="s">
        <v>2075</v>
      </c>
      <c r="L22" s="18" t="s">
        <v>853</v>
      </c>
      <c r="M22" s="18" t="s">
        <v>85</v>
      </c>
      <c r="N22" s="18" t="s">
        <v>86</v>
      </c>
      <c r="O22" s="18" t="s">
        <v>2043</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793</v>
      </c>
      <c r="AS22" s="18" t="s">
        <v>2094</v>
      </c>
      <c r="AT22" s="18" t="s">
        <v>2077</v>
      </c>
      <c r="AU22" s="18" t="s">
        <v>2078</v>
      </c>
      <c r="AV22" s="18" t="s">
        <v>2232</v>
      </c>
      <c r="AW22" s="32" t="s">
        <v>2240</v>
      </c>
      <c r="AX22" s="18" t="s">
        <v>979</v>
      </c>
      <c r="AY22" s="18" t="s">
        <v>2224</v>
      </c>
    </row>
    <row r="23" customFormat="false" ht="15" hidden="false" customHeight="true" outlineLevel="0" collapsed="false">
      <c r="A23" s="5" t="s">
        <v>1018</v>
      </c>
      <c r="B23" s="5" t="s">
        <v>1018</v>
      </c>
      <c r="C23" s="5" t="s">
        <v>1019</v>
      </c>
      <c r="D23" s="5" t="n">
        <v>2011</v>
      </c>
      <c r="E23" s="5" t="s">
        <v>1020</v>
      </c>
      <c r="F23" s="5" t="s">
        <v>887</v>
      </c>
      <c r="G23" s="5" t="s">
        <v>1023</v>
      </c>
      <c r="H23" s="5" t="n">
        <v>29.017</v>
      </c>
      <c r="I23" s="5" t="n">
        <v>77.75</v>
      </c>
      <c r="J23" s="5" t="s">
        <v>83</v>
      </c>
      <c r="K23" s="5" t="s">
        <v>2096</v>
      </c>
      <c r="L23" s="5" t="s">
        <v>84</v>
      </c>
      <c r="M23" s="5" t="s">
        <v>85</v>
      </c>
      <c r="N23" s="5" t="s">
        <v>86</v>
      </c>
      <c r="O23" s="5" t="s">
        <v>2097</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2098</v>
      </c>
      <c r="AK23" s="5"/>
      <c r="AL23" s="5"/>
      <c r="AM23" s="5" t="n">
        <v>8.1</v>
      </c>
      <c r="AN23" s="5"/>
      <c r="AO23" s="5"/>
      <c r="AP23" s="5" t="n">
        <v>55</v>
      </c>
      <c r="AQ23" s="5" t="n">
        <v>26</v>
      </c>
      <c r="AR23" s="5" t="s">
        <v>793</v>
      </c>
      <c r="AS23" s="5" t="s">
        <v>2099</v>
      </c>
      <c r="AT23" s="5" t="s">
        <v>2100</v>
      </c>
      <c r="AU23" s="5" t="s">
        <v>2101</v>
      </c>
      <c r="AV23" s="5" t="s">
        <v>2241</v>
      </c>
      <c r="AW23" s="23" t="s">
        <v>2242</v>
      </c>
      <c r="AX23" s="5" t="s">
        <v>1038</v>
      </c>
      <c r="AY23" s="5" t="s">
        <v>2243</v>
      </c>
    </row>
    <row r="24" customFormat="false" ht="15" hidden="false" customHeight="true" outlineLevel="0" collapsed="false">
      <c r="A24" s="5" t="s">
        <v>1018</v>
      </c>
      <c r="B24" s="5" t="s">
        <v>1018</v>
      </c>
      <c r="C24" s="5" t="s">
        <v>1019</v>
      </c>
      <c r="D24" s="5" t="n">
        <v>2011</v>
      </c>
      <c r="E24" s="5" t="s">
        <v>1020</v>
      </c>
      <c r="F24" s="5" t="s">
        <v>887</v>
      </c>
      <c r="G24" s="5" t="s">
        <v>1023</v>
      </c>
      <c r="H24" s="5" t="n">
        <v>29.017</v>
      </c>
      <c r="I24" s="5" t="n">
        <v>77.75</v>
      </c>
      <c r="J24" s="5" t="s">
        <v>83</v>
      </c>
      <c r="K24" s="5" t="s">
        <v>2096</v>
      </c>
      <c r="L24" s="5" t="s">
        <v>84</v>
      </c>
      <c r="M24" s="5" t="s">
        <v>85</v>
      </c>
      <c r="N24" s="5" t="s">
        <v>86</v>
      </c>
      <c r="O24" s="5" t="s">
        <v>2097</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2098</v>
      </c>
      <c r="AK24" s="5"/>
      <c r="AL24" s="5"/>
      <c r="AM24" s="5" t="n">
        <v>8.1</v>
      </c>
      <c r="AN24" s="5"/>
      <c r="AO24" s="5"/>
      <c r="AP24" s="5" t="n">
        <v>55</v>
      </c>
      <c r="AQ24" s="5" t="n">
        <v>26</v>
      </c>
      <c r="AR24" s="5" t="s">
        <v>793</v>
      </c>
      <c r="AS24" s="5" t="s">
        <v>2099</v>
      </c>
      <c r="AT24" s="5" t="s">
        <v>2100</v>
      </c>
      <c r="AU24" s="5" t="s">
        <v>2101</v>
      </c>
      <c r="AV24" s="5" t="s">
        <v>2241</v>
      </c>
      <c r="AW24" s="23" t="s">
        <v>2244</v>
      </c>
      <c r="AX24" s="5" t="s">
        <v>1038</v>
      </c>
      <c r="AY24" s="5" t="s">
        <v>2243</v>
      </c>
    </row>
    <row r="25" customFormat="false" ht="15" hidden="false" customHeight="true" outlineLevel="0" collapsed="false">
      <c r="A25" s="5" t="s">
        <v>1018</v>
      </c>
      <c r="B25" s="5" t="s">
        <v>1018</v>
      </c>
      <c r="C25" s="5" t="s">
        <v>1019</v>
      </c>
      <c r="D25" s="5" t="n">
        <v>2011</v>
      </c>
      <c r="E25" s="5" t="s">
        <v>1020</v>
      </c>
      <c r="F25" s="5" t="s">
        <v>887</v>
      </c>
      <c r="G25" s="5" t="s">
        <v>1023</v>
      </c>
      <c r="H25" s="5" t="n">
        <v>29.017</v>
      </c>
      <c r="I25" s="5" t="n">
        <v>77.75</v>
      </c>
      <c r="J25" s="5" t="s">
        <v>83</v>
      </c>
      <c r="K25" s="5" t="s">
        <v>2096</v>
      </c>
      <c r="L25" s="5" t="s">
        <v>84</v>
      </c>
      <c r="M25" s="5" t="s">
        <v>85</v>
      </c>
      <c r="N25" s="5" t="s">
        <v>86</v>
      </c>
      <c r="O25" s="5" t="s">
        <v>2106</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2098</v>
      </c>
      <c r="AK25" s="5"/>
      <c r="AL25" s="5"/>
      <c r="AM25" s="5" t="n">
        <v>8.1</v>
      </c>
      <c r="AN25" s="5"/>
      <c r="AO25" s="5"/>
      <c r="AP25" s="5" t="n">
        <v>55</v>
      </c>
      <c r="AQ25" s="5" t="n">
        <v>26</v>
      </c>
      <c r="AR25" s="5" t="s">
        <v>793</v>
      </c>
      <c r="AS25" s="5" t="s">
        <v>2099</v>
      </c>
      <c r="AT25" s="5" t="s">
        <v>2100</v>
      </c>
      <c r="AU25" s="5" t="s">
        <v>2101</v>
      </c>
      <c r="AV25" s="5" t="s">
        <v>2241</v>
      </c>
      <c r="AW25" s="23" t="s">
        <v>2242</v>
      </c>
      <c r="AX25" s="5" t="s">
        <v>1038</v>
      </c>
      <c r="AY25" s="5" t="s">
        <v>2243</v>
      </c>
    </row>
    <row r="26" customFormat="false" ht="15" hidden="false" customHeight="true" outlineLevel="0" collapsed="false">
      <c r="A26" s="5" t="s">
        <v>1018</v>
      </c>
      <c r="B26" s="5" t="s">
        <v>1018</v>
      </c>
      <c r="C26" s="5" t="s">
        <v>1019</v>
      </c>
      <c r="D26" s="5" t="n">
        <v>2011</v>
      </c>
      <c r="E26" s="5" t="s">
        <v>1020</v>
      </c>
      <c r="F26" s="5" t="s">
        <v>887</v>
      </c>
      <c r="G26" s="5" t="s">
        <v>1023</v>
      </c>
      <c r="H26" s="5" t="n">
        <v>29.017</v>
      </c>
      <c r="I26" s="5" t="n">
        <v>77.75</v>
      </c>
      <c r="J26" s="5" t="s">
        <v>83</v>
      </c>
      <c r="K26" s="5" t="s">
        <v>2096</v>
      </c>
      <c r="L26" s="5" t="s">
        <v>84</v>
      </c>
      <c r="M26" s="5" t="s">
        <v>85</v>
      </c>
      <c r="N26" s="5" t="s">
        <v>86</v>
      </c>
      <c r="O26" s="5" t="s">
        <v>2106</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2098</v>
      </c>
      <c r="AK26" s="5"/>
      <c r="AL26" s="5"/>
      <c r="AM26" s="5" t="n">
        <v>8.1</v>
      </c>
      <c r="AN26" s="5"/>
      <c r="AO26" s="5"/>
      <c r="AP26" s="5" t="n">
        <v>55</v>
      </c>
      <c r="AQ26" s="5" t="n">
        <v>26</v>
      </c>
      <c r="AR26" s="5" t="s">
        <v>793</v>
      </c>
      <c r="AS26" s="5" t="s">
        <v>2099</v>
      </c>
      <c r="AT26" s="5" t="s">
        <v>2100</v>
      </c>
      <c r="AU26" s="5" t="s">
        <v>2101</v>
      </c>
      <c r="AV26" s="5" t="s">
        <v>2241</v>
      </c>
      <c r="AW26" s="23" t="s">
        <v>2244</v>
      </c>
      <c r="AX26" s="5" t="s">
        <v>1038</v>
      </c>
      <c r="AY26" s="5" t="s">
        <v>2243</v>
      </c>
    </row>
    <row r="27" customFormat="false" ht="15" hidden="false" customHeight="true" outlineLevel="0" collapsed="false">
      <c r="A27" s="5" t="s">
        <v>1018</v>
      </c>
      <c r="B27" s="5" t="s">
        <v>1018</v>
      </c>
      <c r="C27" s="5" t="s">
        <v>1019</v>
      </c>
      <c r="D27" s="5" t="n">
        <v>2011</v>
      </c>
      <c r="E27" s="5" t="s">
        <v>1020</v>
      </c>
      <c r="F27" s="5" t="s">
        <v>887</v>
      </c>
      <c r="G27" s="5" t="s">
        <v>1023</v>
      </c>
      <c r="H27" s="5" t="n">
        <v>29.017</v>
      </c>
      <c r="I27" s="5" t="n">
        <v>77.75</v>
      </c>
      <c r="J27" s="5" t="s">
        <v>83</v>
      </c>
      <c r="K27" s="5" t="s">
        <v>2096</v>
      </c>
      <c r="L27" s="5" t="s">
        <v>84</v>
      </c>
      <c r="M27" s="5" t="s">
        <v>85</v>
      </c>
      <c r="N27" s="5" t="s">
        <v>86</v>
      </c>
      <c r="O27" s="5" t="s">
        <v>2107</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2098</v>
      </c>
      <c r="AK27" s="5"/>
      <c r="AL27" s="5"/>
      <c r="AM27" s="5" t="n">
        <v>8.1</v>
      </c>
      <c r="AN27" s="5"/>
      <c r="AO27" s="5"/>
      <c r="AP27" s="5" t="n">
        <v>55</v>
      </c>
      <c r="AQ27" s="5" t="n">
        <v>26</v>
      </c>
      <c r="AR27" s="5" t="s">
        <v>793</v>
      </c>
      <c r="AS27" s="5" t="s">
        <v>2099</v>
      </c>
      <c r="AT27" s="5" t="s">
        <v>2100</v>
      </c>
      <c r="AU27" s="5" t="s">
        <v>2101</v>
      </c>
      <c r="AV27" s="5" t="s">
        <v>2241</v>
      </c>
      <c r="AW27" s="23" t="s">
        <v>2242</v>
      </c>
      <c r="AX27" s="5" t="s">
        <v>1038</v>
      </c>
      <c r="AY27" s="5" t="s">
        <v>2243</v>
      </c>
    </row>
    <row r="28" customFormat="false" ht="15" hidden="false" customHeight="true" outlineLevel="0" collapsed="false">
      <c r="A28" s="5" t="s">
        <v>1018</v>
      </c>
      <c r="B28" s="5" t="s">
        <v>1018</v>
      </c>
      <c r="C28" s="5" t="s">
        <v>1019</v>
      </c>
      <c r="D28" s="5" t="n">
        <v>2011</v>
      </c>
      <c r="E28" s="5" t="s">
        <v>1020</v>
      </c>
      <c r="F28" s="5" t="s">
        <v>887</v>
      </c>
      <c r="G28" s="5" t="s">
        <v>1023</v>
      </c>
      <c r="H28" s="5" t="n">
        <v>29.017</v>
      </c>
      <c r="I28" s="5" t="n">
        <v>77.75</v>
      </c>
      <c r="J28" s="5" t="s">
        <v>83</v>
      </c>
      <c r="K28" s="5" t="s">
        <v>2096</v>
      </c>
      <c r="L28" s="5" t="s">
        <v>84</v>
      </c>
      <c r="M28" s="5" t="s">
        <v>85</v>
      </c>
      <c r="N28" s="5" t="s">
        <v>86</v>
      </c>
      <c r="O28" s="5" t="s">
        <v>2107</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2098</v>
      </c>
      <c r="AK28" s="5"/>
      <c r="AL28" s="5"/>
      <c r="AM28" s="5" t="n">
        <v>8.1</v>
      </c>
      <c r="AN28" s="5"/>
      <c r="AO28" s="5"/>
      <c r="AP28" s="5" t="n">
        <v>55</v>
      </c>
      <c r="AQ28" s="5" t="n">
        <v>26</v>
      </c>
      <c r="AR28" s="5" t="s">
        <v>793</v>
      </c>
      <c r="AS28" s="5" t="s">
        <v>2099</v>
      </c>
      <c r="AT28" s="5" t="s">
        <v>2100</v>
      </c>
      <c r="AU28" s="5" t="s">
        <v>2101</v>
      </c>
      <c r="AV28" s="5" t="s">
        <v>2241</v>
      </c>
      <c r="AW28" s="23" t="s">
        <v>2244</v>
      </c>
      <c r="AX28" s="5" t="s">
        <v>1038</v>
      </c>
      <c r="AY28" s="5" t="s">
        <v>2243</v>
      </c>
    </row>
    <row r="29" customFormat="false" ht="15" hidden="false" customHeight="true" outlineLevel="0" collapsed="false">
      <c r="A29" s="5" t="s">
        <v>1018</v>
      </c>
      <c r="B29" s="5" t="s">
        <v>1018</v>
      </c>
      <c r="C29" s="5" t="s">
        <v>1019</v>
      </c>
      <c r="D29" s="5" t="n">
        <v>2011</v>
      </c>
      <c r="E29" s="5" t="s">
        <v>1020</v>
      </c>
      <c r="F29" s="5" t="s">
        <v>887</v>
      </c>
      <c r="G29" s="5" t="s">
        <v>1023</v>
      </c>
      <c r="H29" s="5" t="n">
        <v>29.017</v>
      </c>
      <c r="I29" s="5" t="n">
        <v>77.75</v>
      </c>
      <c r="J29" s="5" t="s">
        <v>83</v>
      </c>
      <c r="K29" s="5" t="s">
        <v>2096</v>
      </c>
      <c r="L29" s="5" t="s">
        <v>84</v>
      </c>
      <c r="M29" s="5" t="s">
        <v>85</v>
      </c>
      <c r="N29" s="5" t="s">
        <v>2050</v>
      </c>
      <c r="O29" s="5" t="s">
        <v>2108</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2098</v>
      </c>
      <c r="AK29" s="5"/>
      <c r="AL29" s="5"/>
      <c r="AM29" s="5" t="n">
        <v>8.1</v>
      </c>
      <c r="AN29" s="5"/>
      <c r="AO29" s="5"/>
      <c r="AP29" s="5" t="n">
        <v>55</v>
      </c>
      <c r="AQ29" s="5" t="n">
        <v>26</v>
      </c>
      <c r="AR29" s="5" t="s">
        <v>793</v>
      </c>
      <c r="AS29" s="5" t="s">
        <v>2099</v>
      </c>
      <c r="AT29" s="5" t="s">
        <v>2100</v>
      </c>
      <c r="AU29" s="5" t="s">
        <v>2101</v>
      </c>
      <c r="AV29" s="5" t="s">
        <v>2241</v>
      </c>
      <c r="AW29" s="23" t="s">
        <v>2245</v>
      </c>
      <c r="AX29" s="5" t="s">
        <v>1038</v>
      </c>
      <c r="AY29" s="5" t="s">
        <v>2243</v>
      </c>
    </row>
    <row r="30" customFormat="false" ht="15" hidden="false" customHeight="true" outlineLevel="0" collapsed="false">
      <c r="A30" s="5" t="s">
        <v>1018</v>
      </c>
      <c r="B30" s="5" t="s">
        <v>1018</v>
      </c>
      <c r="C30" s="5" t="s">
        <v>1019</v>
      </c>
      <c r="D30" s="5" t="n">
        <v>2011</v>
      </c>
      <c r="E30" s="5" t="s">
        <v>1020</v>
      </c>
      <c r="F30" s="5" t="s">
        <v>887</v>
      </c>
      <c r="G30" s="5" t="s">
        <v>1023</v>
      </c>
      <c r="H30" s="5" t="n">
        <v>29.017</v>
      </c>
      <c r="I30" s="5" t="n">
        <v>77.75</v>
      </c>
      <c r="J30" s="5" t="s">
        <v>83</v>
      </c>
      <c r="K30" s="5" t="s">
        <v>2096</v>
      </c>
      <c r="L30" s="5" t="s">
        <v>84</v>
      </c>
      <c r="M30" s="5" t="s">
        <v>85</v>
      </c>
      <c r="N30" s="5" t="s">
        <v>2050</v>
      </c>
      <c r="O30" s="5" t="s">
        <v>2108</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2098</v>
      </c>
      <c r="AK30" s="5"/>
      <c r="AL30" s="5"/>
      <c r="AM30" s="5" t="n">
        <v>8.1</v>
      </c>
      <c r="AN30" s="5"/>
      <c r="AO30" s="5"/>
      <c r="AP30" s="5" t="n">
        <v>55</v>
      </c>
      <c r="AQ30" s="5" t="n">
        <v>26</v>
      </c>
      <c r="AR30" s="5" t="s">
        <v>793</v>
      </c>
      <c r="AS30" s="5" t="s">
        <v>2099</v>
      </c>
      <c r="AT30" s="5" t="s">
        <v>2100</v>
      </c>
      <c r="AU30" s="5" t="s">
        <v>2101</v>
      </c>
      <c r="AV30" s="5" t="s">
        <v>2241</v>
      </c>
      <c r="AW30" s="23" t="s">
        <v>2246</v>
      </c>
      <c r="AX30" s="5" t="s">
        <v>1038</v>
      </c>
      <c r="AY30" s="5" t="s">
        <v>2243</v>
      </c>
    </row>
    <row r="31" customFormat="false" ht="15" hidden="false" customHeight="true" outlineLevel="0" collapsed="false">
      <c r="A31" s="5" t="s">
        <v>1041</v>
      </c>
      <c r="B31" s="5" t="s">
        <v>1041</v>
      </c>
      <c r="C31" s="5" t="s">
        <v>1042</v>
      </c>
      <c r="D31" s="5" t="n">
        <v>2022</v>
      </c>
      <c r="E31" s="5" t="s">
        <v>843</v>
      </c>
      <c r="F31" s="5" t="s">
        <v>1045</v>
      </c>
      <c r="G31" s="5" t="s">
        <v>1046</v>
      </c>
      <c r="H31" s="5" t="n">
        <v>24.724</v>
      </c>
      <c r="I31" s="5" t="n">
        <v>90.437</v>
      </c>
      <c r="J31" s="5" t="s">
        <v>83</v>
      </c>
      <c r="K31" s="5" t="s">
        <v>2111</v>
      </c>
      <c r="L31" s="5" t="s">
        <v>84</v>
      </c>
      <c r="M31" s="5" t="s">
        <v>85</v>
      </c>
      <c r="N31" s="5" t="s">
        <v>86</v>
      </c>
      <c r="O31" s="5" t="s">
        <v>2043</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793</v>
      </c>
      <c r="AS31" s="5" t="s">
        <v>2112</v>
      </c>
      <c r="AT31" s="5" t="s">
        <v>2113</v>
      </c>
      <c r="AU31" s="5" t="s">
        <v>2114</v>
      </c>
      <c r="AV31" s="5" t="s">
        <v>2247</v>
      </c>
      <c r="AW31" s="23" t="s">
        <v>2248</v>
      </c>
      <c r="AX31" s="5" t="s">
        <v>1060</v>
      </c>
      <c r="AY31" s="5" t="s">
        <v>2224</v>
      </c>
    </row>
    <row r="32" customFormat="false" ht="15" hidden="false" customHeight="true" outlineLevel="0" collapsed="false">
      <c r="A32" s="5" t="s">
        <v>1041</v>
      </c>
      <c r="B32" s="5" t="s">
        <v>1041</v>
      </c>
      <c r="C32" s="5" t="s">
        <v>1042</v>
      </c>
      <c r="D32" s="5" t="n">
        <v>2022</v>
      </c>
      <c r="E32" s="5" t="s">
        <v>843</v>
      </c>
      <c r="F32" s="5" t="s">
        <v>1045</v>
      </c>
      <c r="G32" s="5" t="s">
        <v>1046</v>
      </c>
      <c r="H32" s="5" t="n">
        <v>24.724</v>
      </c>
      <c r="I32" s="5" t="n">
        <v>90.437</v>
      </c>
      <c r="J32" s="5" t="s">
        <v>83</v>
      </c>
      <c r="K32" s="5" t="s">
        <v>2111</v>
      </c>
      <c r="L32" s="5" t="s">
        <v>84</v>
      </c>
      <c r="M32" s="5" t="s">
        <v>85</v>
      </c>
      <c r="N32" s="5" t="s">
        <v>86</v>
      </c>
      <c r="O32" s="5" t="s">
        <v>2043</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793</v>
      </c>
      <c r="AS32" s="5" t="s">
        <v>2112</v>
      </c>
      <c r="AT32" s="5" t="s">
        <v>2113</v>
      </c>
      <c r="AU32" s="5" t="s">
        <v>2114</v>
      </c>
      <c r="AV32" s="5" t="s">
        <v>2247</v>
      </c>
      <c r="AW32" s="23" t="s">
        <v>2249</v>
      </c>
      <c r="AX32" s="5" t="s">
        <v>1060</v>
      </c>
      <c r="AY32" s="5" t="s">
        <v>2224</v>
      </c>
    </row>
    <row r="33" customFormat="false" ht="15" hidden="false" customHeight="true" outlineLevel="0" collapsed="false">
      <c r="A33" s="5" t="s">
        <v>1064</v>
      </c>
      <c r="B33" s="5" t="s">
        <v>1064</v>
      </c>
      <c r="C33" s="5" t="s">
        <v>1065</v>
      </c>
      <c r="D33" s="5" t="n">
        <v>2022</v>
      </c>
      <c r="E33" s="5" t="s">
        <v>80</v>
      </c>
      <c r="F33" s="5" t="s">
        <v>942</v>
      </c>
      <c r="G33" s="5" t="s">
        <v>943</v>
      </c>
      <c r="H33" s="5" t="n">
        <v>29.706</v>
      </c>
      <c r="I33" s="5" t="n">
        <v>76.956</v>
      </c>
      <c r="J33" s="5" t="s">
        <v>83</v>
      </c>
      <c r="K33" s="5" t="n">
        <v>2019</v>
      </c>
      <c r="L33" s="5" t="s">
        <v>84</v>
      </c>
      <c r="M33" s="5" t="s">
        <v>85</v>
      </c>
      <c r="N33" s="5" t="s">
        <v>86</v>
      </c>
      <c r="O33" s="5" t="s">
        <v>2097</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793</v>
      </c>
      <c r="AS33" s="5" t="s">
        <v>2119</v>
      </c>
      <c r="AT33" s="5" t="s">
        <v>2120</v>
      </c>
      <c r="AU33" s="5" t="s">
        <v>2121</v>
      </c>
      <c r="AV33" s="5" t="s">
        <v>2241</v>
      </c>
      <c r="AW33" s="23" t="s">
        <v>2250</v>
      </c>
      <c r="AX33" s="5" t="s">
        <v>1076</v>
      </c>
      <c r="AY33" s="5" t="s">
        <v>2224</v>
      </c>
    </row>
    <row r="34" customFormat="false" ht="14.25" hidden="false" customHeight="true" outlineLevel="0" collapsed="false">
      <c r="A34" s="5" t="s">
        <v>1064</v>
      </c>
      <c r="B34" s="5" t="s">
        <v>1064</v>
      </c>
      <c r="C34" s="5" t="s">
        <v>1065</v>
      </c>
      <c r="D34" s="5" t="n">
        <v>2022</v>
      </c>
      <c r="E34" s="5" t="s">
        <v>80</v>
      </c>
      <c r="F34" s="5" t="s">
        <v>942</v>
      </c>
      <c r="G34" s="5" t="s">
        <v>943</v>
      </c>
      <c r="H34" s="5" t="n">
        <v>29.706</v>
      </c>
      <c r="I34" s="5" t="n">
        <v>76.956</v>
      </c>
      <c r="J34" s="5" t="s">
        <v>83</v>
      </c>
      <c r="K34" s="5" t="n">
        <v>2019</v>
      </c>
      <c r="L34" s="5" t="s">
        <v>84</v>
      </c>
      <c r="M34" s="5" t="s">
        <v>85</v>
      </c>
      <c r="N34" s="5" t="s">
        <v>86</v>
      </c>
      <c r="O34" s="5" t="s">
        <v>2124</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793</v>
      </c>
      <c r="AS34" s="5" t="s">
        <v>2119</v>
      </c>
      <c r="AT34" s="5" t="s">
        <v>2120</v>
      </c>
      <c r="AU34" s="5" t="s">
        <v>2121</v>
      </c>
      <c r="AV34" s="5" t="s">
        <v>2241</v>
      </c>
      <c r="AW34" s="23" t="s">
        <v>2250</v>
      </c>
      <c r="AX34" s="5" t="s">
        <v>1076</v>
      </c>
      <c r="AY34" s="5" t="s">
        <v>2224</v>
      </c>
    </row>
    <row r="35" customFormat="false" ht="14.25" hidden="false" customHeight="true" outlineLevel="0" collapsed="false">
      <c r="A35" s="5" t="s">
        <v>1064</v>
      </c>
      <c r="B35" s="5" t="s">
        <v>1064</v>
      </c>
      <c r="C35" s="5" t="s">
        <v>1065</v>
      </c>
      <c r="D35" s="5" t="n">
        <v>2022</v>
      </c>
      <c r="E35" s="5" t="s">
        <v>80</v>
      </c>
      <c r="F35" s="5" t="s">
        <v>942</v>
      </c>
      <c r="G35" s="5" t="s">
        <v>943</v>
      </c>
      <c r="H35" s="5" t="n">
        <v>29.706</v>
      </c>
      <c r="I35" s="5" t="n">
        <v>76.956</v>
      </c>
      <c r="J35" s="5" t="s">
        <v>83</v>
      </c>
      <c r="K35" s="5" t="n">
        <v>2019</v>
      </c>
      <c r="L35" s="5" t="s">
        <v>84</v>
      </c>
      <c r="M35" s="5" t="s">
        <v>85</v>
      </c>
      <c r="N35" s="5" t="s">
        <v>2050</v>
      </c>
      <c r="O35" s="5" t="s">
        <v>2051</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793</v>
      </c>
      <c r="AS35" s="5" t="s">
        <v>2119</v>
      </c>
      <c r="AT35" s="5" t="s">
        <v>2120</v>
      </c>
      <c r="AU35" s="5" t="s">
        <v>2121</v>
      </c>
      <c r="AV35" s="5" t="s">
        <v>2241</v>
      </c>
      <c r="AW35" s="23" t="s">
        <v>2251</v>
      </c>
      <c r="AX35" s="5" t="s">
        <v>1076</v>
      </c>
      <c r="AY35" s="5" t="s">
        <v>2224</v>
      </c>
    </row>
    <row r="36" customFormat="false" ht="14.25" hidden="false" customHeight="true" outlineLevel="0" collapsed="false">
      <c r="A36" s="18" t="n">
        <v>170</v>
      </c>
      <c r="B36" s="18" t="n">
        <v>170</v>
      </c>
      <c r="C36" s="18" t="s">
        <v>1001</v>
      </c>
      <c r="D36" s="18" t="n">
        <v>2003</v>
      </c>
      <c r="E36" s="18" t="s">
        <v>884</v>
      </c>
      <c r="F36" s="18" t="s">
        <v>917</v>
      </c>
      <c r="G36" s="18" t="s">
        <v>2127</v>
      </c>
      <c r="H36" s="18" t="n">
        <v>30.933</v>
      </c>
      <c r="I36" s="18" t="n">
        <v>75.867</v>
      </c>
      <c r="J36" s="18" t="s">
        <v>921</v>
      </c>
      <c r="K36" s="18" t="n">
        <v>1996</v>
      </c>
      <c r="L36" s="18" t="s">
        <v>872</v>
      </c>
      <c r="M36" s="18" t="s">
        <v>1008</v>
      </c>
      <c r="N36" s="18" t="s">
        <v>86</v>
      </c>
      <c r="O36" s="18" t="s">
        <v>2097</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793</v>
      </c>
      <c r="AS36" s="18" t="s">
        <v>2128</v>
      </c>
      <c r="AT36" s="18" t="s">
        <v>2129</v>
      </c>
      <c r="AU36" s="18" t="s">
        <v>2130</v>
      </c>
      <c r="AV36" s="18" t="s">
        <v>2252</v>
      </c>
      <c r="AW36" s="32" t="s">
        <v>2253</v>
      </c>
      <c r="AX36" s="18" t="s">
        <v>1014</v>
      </c>
      <c r="AY36" s="18" t="s">
        <v>2224</v>
      </c>
    </row>
    <row r="37" customFormat="false" ht="14.25" hidden="false" customHeight="true" outlineLevel="0" collapsed="false">
      <c r="A37" s="18" t="n">
        <v>170</v>
      </c>
      <c r="B37" s="18" t="n">
        <v>170</v>
      </c>
      <c r="C37" s="18" t="s">
        <v>1001</v>
      </c>
      <c r="D37" s="18" t="n">
        <v>2003</v>
      </c>
      <c r="E37" s="18" t="s">
        <v>884</v>
      </c>
      <c r="F37" s="18" t="s">
        <v>917</v>
      </c>
      <c r="G37" s="18" t="s">
        <v>2127</v>
      </c>
      <c r="H37" s="18" t="n">
        <v>30.933</v>
      </c>
      <c r="I37" s="18" t="n">
        <v>75.867</v>
      </c>
      <c r="J37" s="18" t="s">
        <v>921</v>
      </c>
      <c r="K37" s="18" t="n">
        <v>1996</v>
      </c>
      <c r="L37" s="18" t="s">
        <v>872</v>
      </c>
      <c r="M37" s="18" t="s">
        <v>1008</v>
      </c>
      <c r="N37" s="18" t="s">
        <v>86</v>
      </c>
      <c r="O37" s="18" t="s">
        <v>2134</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793</v>
      </c>
      <c r="AS37" s="18" t="s">
        <v>2128</v>
      </c>
      <c r="AT37" s="18" t="s">
        <v>2129</v>
      </c>
      <c r="AU37" s="18" t="s">
        <v>2130</v>
      </c>
      <c r="AV37" s="18" t="s">
        <v>2252</v>
      </c>
      <c r="AW37" s="32" t="s">
        <v>2253</v>
      </c>
      <c r="AX37" s="18" t="s">
        <v>1014</v>
      </c>
      <c r="AY37" s="18" t="s">
        <v>2224</v>
      </c>
    </row>
    <row r="38" customFormat="false" ht="14.25" hidden="false" customHeight="true" outlineLevel="0" collapsed="false">
      <c r="A38" s="18" t="n">
        <v>170</v>
      </c>
      <c r="B38" s="18" t="n">
        <v>170</v>
      </c>
      <c r="C38" s="18" t="s">
        <v>1001</v>
      </c>
      <c r="D38" s="18" t="n">
        <v>2003</v>
      </c>
      <c r="E38" s="18" t="s">
        <v>884</v>
      </c>
      <c r="F38" s="18" t="s">
        <v>917</v>
      </c>
      <c r="G38" s="18" t="s">
        <v>2127</v>
      </c>
      <c r="H38" s="18" t="n">
        <v>30.933</v>
      </c>
      <c r="I38" s="18" t="n">
        <v>75.867</v>
      </c>
      <c r="J38" s="18" t="s">
        <v>921</v>
      </c>
      <c r="K38" s="18" t="n">
        <v>1996</v>
      </c>
      <c r="L38" s="18" t="s">
        <v>872</v>
      </c>
      <c r="M38" s="18" t="s">
        <v>1008</v>
      </c>
      <c r="N38" s="18" t="s">
        <v>86</v>
      </c>
      <c r="O38" s="18" t="s">
        <v>2136</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793</v>
      </c>
      <c r="AS38" s="18" t="s">
        <v>2128</v>
      </c>
      <c r="AT38" s="18" t="s">
        <v>2129</v>
      </c>
      <c r="AU38" s="18" t="s">
        <v>2130</v>
      </c>
      <c r="AV38" s="18" t="s">
        <v>2252</v>
      </c>
      <c r="AW38" s="32" t="s">
        <v>2253</v>
      </c>
      <c r="AX38" s="18" t="s">
        <v>1014</v>
      </c>
      <c r="AY38" s="18" t="s">
        <v>2224</v>
      </c>
    </row>
    <row r="39" customFormat="false" ht="14.25" hidden="false" customHeight="true" outlineLevel="0" collapsed="false">
      <c r="A39" s="18" t="n">
        <v>170</v>
      </c>
      <c r="B39" s="18" t="n">
        <v>170</v>
      </c>
      <c r="C39" s="18" t="s">
        <v>1001</v>
      </c>
      <c r="D39" s="18" t="n">
        <v>2003</v>
      </c>
      <c r="E39" s="18" t="s">
        <v>884</v>
      </c>
      <c r="F39" s="18" t="s">
        <v>917</v>
      </c>
      <c r="G39" s="18" t="s">
        <v>2127</v>
      </c>
      <c r="H39" s="18" t="n">
        <v>30.933</v>
      </c>
      <c r="I39" s="18" t="n">
        <v>75.867</v>
      </c>
      <c r="J39" s="18" t="s">
        <v>921</v>
      </c>
      <c r="K39" s="18" t="n">
        <v>1996</v>
      </c>
      <c r="L39" s="18" t="s">
        <v>872</v>
      </c>
      <c r="M39" s="18" t="s">
        <v>1008</v>
      </c>
      <c r="N39" s="18" t="s">
        <v>86</v>
      </c>
      <c r="O39" s="18" t="s">
        <v>2138</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793</v>
      </c>
      <c r="AS39" s="18" t="s">
        <v>2128</v>
      </c>
      <c r="AT39" s="18" t="s">
        <v>2129</v>
      </c>
      <c r="AU39" s="18" t="s">
        <v>2130</v>
      </c>
      <c r="AV39" s="18" t="s">
        <v>2252</v>
      </c>
      <c r="AW39" s="32" t="s">
        <v>2253</v>
      </c>
      <c r="AX39" s="18" t="s">
        <v>1014</v>
      </c>
      <c r="AY39" s="18" t="s">
        <v>2224</v>
      </c>
    </row>
    <row r="40" customFormat="false" ht="14.25" hidden="false" customHeight="true" outlineLevel="0" collapsed="false">
      <c r="A40" s="18" t="n">
        <v>170</v>
      </c>
      <c r="B40" s="18" t="n">
        <v>170</v>
      </c>
      <c r="C40" s="18" t="s">
        <v>1001</v>
      </c>
      <c r="D40" s="18" t="n">
        <v>2003</v>
      </c>
      <c r="E40" s="18" t="s">
        <v>884</v>
      </c>
      <c r="F40" s="18" t="s">
        <v>917</v>
      </c>
      <c r="G40" s="18" t="s">
        <v>2127</v>
      </c>
      <c r="H40" s="18" t="n">
        <v>30.933</v>
      </c>
      <c r="I40" s="18" t="n">
        <v>75.867</v>
      </c>
      <c r="J40" s="18" t="s">
        <v>921</v>
      </c>
      <c r="K40" s="18" t="n">
        <v>1996</v>
      </c>
      <c r="L40" s="18" t="s">
        <v>872</v>
      </c>
      <c r="M40" s="18" t="s">
        <v>1008</v>
      </c>
      <c r="N40" s="18" t="s">
        <v>2050</v>
      </c>
      <c r="O40" s="18" t="s">
        <v>2140</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793</v>
      </c>
      <c r="AS40" s="18" t="s">
        <v>2128</v>
      </c>
      <c r="AT40" s="18" t="s">
        <v>2129</v>
      </c>
      <c r="AU40" s="18" t="s">
        <v>2130</v>
      </c>
      <c r="AV40" s="18" t="s">
        <v>2252</v>
      </c>
      <c r="AW40" s="32" t="s">
        <v>2254</v>
      </c>
      <c r="AX40" s="18" t="s">
        <v>1014</v>
      </c>
      <c r="AY40" s="18" t="s">
        <v>2224</v>
      </c>
    </row>
    <row r="41" customFormat="false" ht="14.25" hidden="false" customHeight="true" outlineLevel="0" collapsed="false">
      <c r="A41" s="18" t="n">
        <v>170</v>
      </c>
      <c r="B41" s="18" t="n">
        <v>170</v>
      </c>
      <c r="C41" s="18" t="s">
        <v>1001</v>
      </c>
      <c r="D41" s="18" t="n">
        <v>2003</v>
      </c>
      <c r="E41" s="18" t="s">
        <v>884</v>
      </c>
      <c r="F41" s="18" t="s">
        <v>917</v>
      </c>
      <c r="G41" s="18" t="s">
        <v>2127</v>
      </c>
      <c r="H41" s="18" t="n">
        <v>30.933</v>
      </c>
      <c r="I41" s="18" t="n">
        <v>75.867</v>
      </c>
      <c r="J41" s="18" t="s">
        <v>921</v>
      </c>
      <c r="K41" s="18" t="n">
        <v>1996</v>
      </c>
      <c r="L41" s="18" t="s">
        <v>872</v>
      </c>
      <c r="M41" s="18" t="s">
        <v>1008</v>
      </c>
      <c r="N41" s="18" t="s">
        <v>2050</v>
      </c>
      <c r="O41" s="18" t="s">
        <v>2142</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793</v>
      </c>
      <c r="AS41" s="18" t="s">
        <v>2128</v>
      </c>
      <c r="AT41" s="18" t="s">
        <v>2129</v>
      </c>
      <c r="AU41" s="18" t="s">
        <v>2130</v>
      </c>
      <c r="AV41" s="18" t="s">
        <v>2252</v>
      </c>
      <c r="AW41" s="32" t="s">
        <v>2254</v>
      </c>
      <c r="AX41" s="18" t="s">
        <v>1014</v>
      </c>
      <c r="AY41" s="18" t="s">
        <v>2224</v>
      </c>
    </row>
    <row r="42" customFormat="false" ht="14.25" hidden="false" customHeight="true" outlineLevel="0" collapsed="false">
      <c r="A42" s="18" t="n">
        <v>170</v>
      </c>
      <c r="B42" s="18" t="n">
        <v>170</v>
      </c>
      <c r="C42" s="18" t="s">
        <v>1001</v>
      </c>
      <c r="D42" s="18" t="n">
        <v>2003</v>
      </c>
      <c r="E42" s="18" t="s">
        <v>884</v>
      </c>
      <c r="F42" s="18" t="s">
        <v>917</v>
      </c>
      <c r="G42" s="18" t="s">
        <v>2127</v>
      </c>
      <c r="H42" s="18" t="n">
        <v>30.933</v>
      </c>
      <c r="I42" s="18" t="n">
        <v>75.867</v>
      </c>
      <c r="J42" s="18" t="s">
        <v>921</v>
      </c>
      <c r="K42" s="18" t="n">
        <v>1996</v>
      </c>
      <c r="L42" s="18" t="s">
        <v>872</v>
      </c>
      <c r="M42" s="18" t="s">
        <v>1008</v>
      </c>
      <c r="N42" s="18" t="s">
        <v>2050</v>
      </c>
      <c r="O42" s="18" t="s">
        <v>2144</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793</v>
      </c>
      <c r="AS42" s="18" t="s">
        <v>2128</v>
      </c>
      <c r="AT42" s="18" t="s">
        <v>2129</v>
      </c>
      <c r="AU42" s="18" t="s">
        <v>2130</v>
      </c>
      <c r="AV42" s="18" t="s">
        <v>2252</v>
      </c>
      <c r="AW42" s="32" t="s">
        <v>2254</v>
      </c>
      <c r="AX42" s="18" t="s">
        <v>1014</v>
      </c>
      <c r="AY42" s="18" t="s">
        <v>2224</v>
      </c>
    </row>
    <row r="43" customFormat="false" ht="14.25" hidden="false" customHeight="true" outlineLevel="0" collapsed="false">
      <c r="A43" s="18" t="n">
        <v>170</v>
      </c>
      <c r="B43" s="18" t="n">
        <v>170</v>
      </c>
      <c r="C43" s="18" t="s">
        <v>1001</v>
      </c>
      <c r="D43" s="18" t="n">
        <v>2003</v>
      </c>
      <c r="E43" s="18" t="s">
        <v>884</v>
      </c>
      <c r="F43" s="18" t="s">
        <v>917</v>
      </c>
      <c r="G43" s="18" t="s">
        <v>2127</v>
      </c>
      <c r="H43" s="18" t="n">
        <v>30.933</v>
      </c>
      <c r="I43" s="18" t="n">
        <v>75.867</v>
      </c>
      <c r="J43" s="18" t="s">
        <v>921</v>
      </c>
      <c r="K43" s="18" t="n">
        <v>1996</v>
      </c>
      <c r="L43" s="18" t="s">
        <v>872</v>
      </c>
      <c r="M43" s="18" t="s">
        <v>1008</v>
      </c>
      <c r="N43" s="18" t="s">
        <v>2050</v>
      </c>
      <c r="O43" s="18" t="s">
        <v>2146</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793</v>
      </c>
      <c r="AS43" s="18" t="s">
        <v>2128</v>
      </c>
      <c r="AT43" s="18" t="s">
        <v>2129</v>
      </c>
      <c r="AU43" s="18" t="s">
        <v>2130</v>
      </c>
      <c r="AV43" s="18" t="s">
        <v>2252</v>
      </c>
      <c r="AW43" s="32" t="s">
        <v>2254</v>
      </c>
      <c r="AX43" s="18" t="s">
        <v>1014</v>
      </c>
      <c r="AY43" s="18" t="s">
        <v>2224</v>
      </c>
    </row>
    <row r="44" customFormat="false" ht="14.25" hidden="false" customHeight="true" outlineLevel="0" collapsed="false">
      <c r="A44" s="18" t="n">
        <v>170</v>
      </c>
      <c r="B44" s="18" t="n">
        <v>170</v>
      </c>
      <c r="C44" s="18" t="s">
        <v>1001</v>
      </c>
      <c r="D44" s="18" t="n">
        <v>2003</v>
      </c>
      <c r="E44" s="18" t="s">
        <v>884</v>
      </c>
      <c r="F44" s="18" t="s">
        <v>917</v>
      </c>
      <c r="G44" s="18" t="s">
        <v>2127</v>
      </c>
      <c r="H44" s="18" t="n">
        <v>30.933</v>
      </c>
      <c r="I44" s="18" t="n">
        <v>75.867</v>
      </c>
      <c r="J44" s="18" t="s">
        <v>921</v>
      </c>
      <c r="K44" s="18" t="n">
        <v>1996</v>
      </c>
      <c r="L44" s="18" t="s">
        <v>872</v>
      </c>
      <c r="M44" s="18" t="s">
        <v>1008</v>
      </c>
      <c r="N44" s="18" t="s">
        <v>2050</v>
      </c>
      <c r="O44" s="18" t="s">
        <v>2148</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793</v>
      </c>
      <c r="AS44" s="18" t="s">
        <v>2128</v>
      </c>
      <c r="AT44" s="18" t="s">
        <v>2129</v>
      </c>
      <c r="AU44" s="18" t="s">
        <v>2130</v>
      </c>
      <c r="AV44" s="18" t="s">
        <v>2252</v>
      </c>
      <c r="AW44" s="32" t="s">
        <v>2254</v>
      </c>
      <c r="AX44" s="18" t="s">
        <v>1014</v>
      </c>
      <c r="AY44" s="18" t="s">
        <v>2224</v>
      </c>
    </row>
    <row r="45" customFormat="false" ht="14.25" hidden="false" customHeight="true" outlineLevel="0" collapsed="false">
      <c r="A45" s="5" t="n">
        <v>170</v>
      </c>
      <c r="B45" s="5" t="n">
        <v>170</v>
      </c>
      <c r="C45" s="5" t="s">
        <v>1001</v>
      </c>
      <c r="D45" s="5" t="n">
        <v>2003</v>
      </c>
      <c r="E45" s="5" t="s">
        <v>884</v>
      </c>
      <c r="F45" s="5" t="s">
        <v>917</v>
      </c>
      <c r="G45" s="5" t="s">
        <v>2127</v>
      </c>
      <c r="H45" s="5" t="n">
        <v>30.933</v>
      </c>
      <c r="I45" s="5" t="n">
        <v>75.867</v>
      </c>
      <c r="J45" s="5" t="s">
        <v>921</v>
      </c>
      <c r="K45" s="5" t="s">
        <v>2150</v>
      </c>
      <c r="L45" s="5" t="s">
        <v>872</v>
      </c>
      <c r="M45" s="5" t="s">
        <v>1008</v>
      </c>
      <c r="N45" s="5" t="s">
        <v>86</v>
      </c>
      <c r="O45" s="5" t="s">
        <v>2097</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793</v>
      </c>
      <c r="AS45" s="5" t="s">
        <v>2128</v>
      </c>
      <c r="AT45" s="5" t="s">
        <v>2151</v>
      </c>
      <c r="AU45" s="5" t="s">
        <v>2130</v>
      </c>
      <c r="AV45" s="5" t="s">
        <v>2252</v>
      </c>
      <c r="AW45" s="23" t="s">
        <v>2255</v>
      </c>
      <c r="AX45" s="5" t="s">
        <v>1014</v>
      </c>
      <c r="AY45" s="5" t="s">
        <v>2224</v>
      </c>
    </row>
    <row r="46" customFormat="false" ht="14.25" hidden="false" customHeight="true" outlineLevel="0" collapsed="false">
      <c r="A46" s="5" t="n">
        <v>170</v>
      </c>
      <c r="B46" s="5" t="n">
        <v>170</v>
      </c>
      <c r="C46" s="5" t="s">
        <v>1001</v>
      </c>
      <c r="D46" s="5" t="n">
        <v>2003</v>
      </c>
      <c r="E46" s="5" t="s">
        <v>884</v>
      </c>
      <c r="F46" s="5" t="s">
        <v>917</v>
      </c>
      <c r="G46" s="5" t="s">
        <v>2127</v>
      </c>
      <c r="H46" s="5" t="n">
        <v>30.933</v>
      </c>
      <c r="I46" s="5" t="n">
        <v>75.867</v>
      </c>
      <c r="J46" s="5" t="s">
        <v>921</v>
      </c>
      <c r="K46" s="5" t="s">
        <v>2150</v>
      </c>
      <c r="L46" s="5" t="s">
        <v>872</v>
      </c>
      <c r="M46" s="5" t="s">
        <v>1008</v>
      </c>
      <c r="N46" s="5" t="s">
        <v>86</v>
      </c>
      <c r="O46" s="5" t="s">
        <v>2134</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793</v>
      </c>
      <c r="AS46" s="5" t="s">
        <v>2128</v>
      </c>
      <c r="AT46" s="5" t="s">
        <v>2151</v>
      </c>
      <c r="AU46" s="5" t="s">
        <v>2130</v>
      </c>
      <c r="AV46" s="5" t="s">
        <v>2252</v>
      </c>
      <c r="AW46" s="23" t="s">
        <v>2255</v>
      </c>
      <c r="AX46" s="5" t="s">
        <v>1014</v>
      </c>
      <c r="AY46" s="5" t="s">
        <v>2224</v>
      </c>
    </row>
    <row r="47" customFormat="false" ht="14.25" hidden="false" customHeight="true" outlineLevel="0" collapsed="false">
      <c r="A47" s="5" t="n">
        <v>170</v>
      </c>
      <c r="B47" s="5" t="n">
        <v>170</v>
      </c>
      <c r="C47" s="5" t="s">
        <v>1001</v>
      </c>
      <c r="D47" s="5" t="n">
        <v>2003</v>
      </c>
      <c r="E47" s="5" t="s">
        <v>884</v>
      </c>
      <c r="F47" s="5" t="s">
        <v>917</v>
      </c>
      <c r="G47" s="5" t="s">
        <v>2127</v>
      </c>
      <c r="H47" s="5" t="n">
        <v>30.933</v>
      </c>
      <c r="I47" s="5" t="n">
        <v>75.867</v>
      </c>
      <c r="J47" s="5" t="s">
        <v>921</v>
      </c>
      <c r="K47" s="5" t="s">
        <v>2150</v>
      </c>
      <c r="L47" s="5" t="s">
        <v>872</v>
      </c>
      <c r="M47" s="5" t="s">
        <v>1008</v>
      </c>
      <c r="N47" s="5" t="s">
        <v>86</v>
      </c>
      <c r="O47" s="5" t="s">
        <v>2136</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793</v>
      </c>
      <c r="AS47" s="5" t="s">
        <v>2128</v>
      </c>
      <c r="AT47" s="5" t="s">
        <v>2151</v>
      </c>
      <c r="AU47" s="5" t="s">
        <v>2130</v>
      </c>
      <c r="AV47" s="5" t="s">
        <v>2252</v>
      </c>
      <c r="AW47" s="23" t="s">
        <v>2255</v>
      </c>
      <c r="AX47" s="5" t="s">
        <v>1014</v>
      </c>
      <c r="AY47" s="5" t="s">
        <v>2224</v>
      </c>
    </row>
    <row r="48" customFormat="false" ht="14.25" hidden="false" customHeight="true" outlineLevel="0" collapsed="false">
      <c r="A48" s="5" t="n">
        <v>170</v>
      </c>
      <c r="B48" s="5" t="n">
        <v>170</v>
      </c>
      <c r="C48" s="5" t="s">
        <v>1001</v>
      </c>
      <c r="D48" s="5" t="n">
        <v>2003</v>
      </c>
      <c r="E48" s="5" t="s">
        <v>884</v>
      </c>
      <c r="F48" s="5" t="s">
        <v>917</v>
      </c>
      <c r="G48" s="5" t="s">
        <v>2127</v>
      </c>
      <c r="H48" s="5" t="n">
        <v>30.933</v>
      </c>
      <c r="I48" s="5" t="n">
        <v>75.867</v>
      </c>
      <c r="J48" s="5" t="s">
        <v>921</v>
      </c>
      <c r="K48" s="5" t="s">
        <v>2150</v>
      </c>
      <c r="L48" s="5" t="s">
        <v>872</v>
      </c>
      <c r="M48" s="5" t="s">
        <v>1008</v>
      </c>
      <c r="N48" s="5" t="s">
        <v>86</v>
      </c>
      <c r="O48" s="5" t="s">
        <v>2138</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793</v>
      </c>
      <c r="AS48" s="5" t="s">
        <v>2128</v>
      </c>
      <c r="AT48" s="5" t="s">
        <v>2151</v>
      </c>
      <c r="AU48" s="5" t="s">
        <v>2130</v>
      </c>
      <c r="AV48" s="5" t="s">
        <v>2252</v>
      </c>
      <c r="AW48" s="23" t="s">
        <v>2255</v>
      </c>
      <c r="AX48" s="5" t="s">
        <v>1014</v>
      </c>
      <c r="AY48" s="5" t="s">
        <v>2224</v>
      </c>
    </row>
    <row r="49" customFormat="false" ht="14.25" hidden="false" customHeight="true" outlineLevel="0" collapsed="false">
      <c r="A49" s="5" t="n">
        <v>170</v>
      </c>
      <c r="B49" s="5" t="n">
        <v>170</v>
      </c>
      <c r="C49" s="5" t="s">
        <v>1001</v>
      </c>
      <c r="D49" s="5" t="n">
        <v>2003</v>
      </c>
      <c r="E49" s="5" t="s">
        <v>884</v>
      </c>
      <c r="F49" s="5" t="s">
        <v>917</v>
      </c>
      <c r="G49" s="5" t="s">
        <v>2127</v>
      </c>
      <c r="H49" s="5" t="n">
        <v>30.933</v>
      </c>
      <c r="I49" s="5" t="n">
        <v>75.867</v>
      </c>
      <c r="J49" s="5" t="s">
        <v>921</v>
      </c>
      <c r="K49" s="5" t="s">
        <v>2150</v>
      </c>
      <c r="L49" s="5" t="s">
        <v>872</v>
      </c>
      <c r="M49" s="5" t="s">
        <v>1008</v>
      </c>
      <c r="N49" s="5" t="s">
        <v>2050</v>
      </c>
      <c r="O49" s="5" t="s">
        <v>2140</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793</v>
      </c>
      <c r="AS49" s="5" t="s">
        <v>2128</v>
      </c>
      <c r="AT49" s="5" t="s">
        <v>2151</v>
      </c>
      <c r="AU49" s="5" t="s">
        <v>2130</v>
      </c>
      <c r="AV49" s="5" t="s">
        <v>2252</v>
      </c>
      <c r="AW49" s="23" t="s">
        <v>2256</v>
      </c>
      <c r="AX49" s="5" t="s">
        <v>1014</v>
      </c>
      <c r="AY49" s="5" t="s">
        <v>2224</v>
      </c>
    </row>
    <row r="50" customFormat="false" ht="14.25" hidden="false" customHeight="true" outlineLevel="0" collapsed="false">
      <c r="A50" s="5" t="n">
        <v>170</v>
      </c>
      <c r="B50" s="5" t="n">
        <v>170</v>
      </c>
      <c r="C50" s="5" t="s">
        <v>1001</v>
      </c>
      <c r="D50" s="5" t="n">
        <v>2003</v>
      </c>
      <c r="E50" s="5" t="s">
        <v>884</v>
      </c>
      <c r="F50" s="5" t="s">
        <v>917</v>
      </c>
      <c r="G50" s="5" t="s">
        <v>2127</v>
      </c>
      <c r="H50" s="5" t="n">
        <v>30.933</v>
      </c>
      <c r="I50" s="5" t="n">
        <v>75.867</v>
      </c>
      <c r="J50" s="5" t="s">
        <v>921</v>
      </c>
      <c r="K50" s="5" t="s">
        <v>2150</v>
      </c>
      <c r="L50" s="5" t="s">
        <v>872</v>
      </c>
      <c r="M50" s="5" t="s">
        <v>1008</v>
      </c>
      <c r="N50" s="5" t="s">
        <v>2050</v>
      </c>
      <c r="O50" s="5" t="s">
        <v>2142</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793</v>
      </c>
      <c r="AS50" s="5" t="s">
        <v>2128</v>
      </c>
      <c r="AT50" s="5" t="s">
        <v>2151</v>
      </c>
      <c r="AU50" s="5" t="s">
        <v>2130</v>
      </c>
      <c r="AV50" s="5" t="s">
        <v>2252</v>
      </c>
      <c r="AW50" s="23" t="s">
        <v>2256</v>
      </c>
      <c r="AX50" s="5" t="s">
        <v>1014</v>
      </c>
      <c r="AY50" s="5" t="s">
        <v>2224</v>
      </c>
    </row>
    <row r="51" customFormat="false" ht="14.25" hidden="false" customHeight="true" outlineLevel="0" collapsed="false">
      <c r="A51" s="5" t="n">
        <v>170</v>
      </c>
      <c r="B51" s="5" t="n">
        <v>170</v>
      </c>
      <c r="C51" s="5" t="s">
        <v>1001</v>
      </c>
      <c r="D51" s="5" t="n">
        <v>2003</v>
      </c>
      <c r="E51" s="5" t="s">
        <v>884</v>
      </c>
      <c r="F51" s="5" t="s">
        <v>917</v>
      </c>
      <c r="G51" s="5" t="s">
        <v>2127</v>
      </c>
      <c r="H51" s="5" t="n">
        <v>30.933</v>
      </c>
      <c r="I51" s="5" t="n">
        <v>75.867</v>
      </c>
      <c r="J51" s="5" t="s">
        <v>921</v>
      </c>
      <c r="K51" s="5" t="s">
        <v>2150</v>
      </c>
      <c r="L51" s="5" t="s">
        <v>872</v>
      </c>
      <c r="M51" s="5" t="s">
        <v>1008</v>
      </c>
      <c r="N51" s="5" t="s">
        <v>2050</v>
      </c>
      <c r="O51" s="5" t="s">
        <v>2144</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793</v>
      </c>
      <c r="AS51" s="5" t="s">
        <v>2128</v>
      </c>
      <c r="AT51" s="5" t="s">
        <v>2151</v>
      </c>
      <c r="AU51" s="5" t="s">
        <v>2130</v>
      </c>
      <c r="AV51" s="5" t="s">
        <v>2252</v>
      </c>
      <c r="AW51" s="23" t="s">
        <v>2256</v>
      </c>
      <c r="AX51" s="5" t="s">
        <v>1014</v>
      </c>
      <c r="AY51" s="5" t="s">
        <v>2224</v>
      </c>
    </row>
    <row r="52" customFormat="false" ht="14.25" hidden="false" customHeight="true" outlineLevel="0" collapsed="false">
      <c r="A52" s="18" t="n">
        <v>173</v>
      </c>
      <c r="B52" s="18" t="n">
        <v>173</v>
      </c>
      <c r="C52" s="18" t="s">
        <v>1133</v>
      </c>
      <c r="D52" s="18" t="n">
        <v>2023</v>
      </c>
      <c r="E52" s="18" t="s">
        <v>1134</v>
      </c>
      <c r="F52" s="18" t="s">
        <v>866</v>
      </c>
      <c r="G52" s="18" t="s">
        <v>1137</v>
      </c>
      <c r="H52" s="18" t="n">
        <v>28.633</v>
      </c>
      <c r="I52" s="18" t="n">
        <v>77.15</v>
      </c>
      <c r="J52" s="18" t="s">
        <v>83</v>
      </c>
      <c r="K52" s="18" t="n">
        <v>2020</v>
      </c>
      <c r="L52" s="18" t="s">
        <v>84</v>
      </c>
      <c r="M52" s="18" t="s">
        <v>85</v>
      </c>
      <c r="N52" s="18" t="s">
        <v>86</v>
      </c>
      <c r="O52" s="18" t="s">
        <v>2043</v>
      </c>
      <c r="P52" s="18" t="n">
        <f aca="false">ROUND((1-BD!P54/2.65)*100,2)</f>
        <v>43.4</v>
      </c>
      <c r="Q52" s="18" t="n">
        <f aca="false">ROUND((1-BD!Q54/2.65)*100,2)</f>
        <v>41.89</v>
      </c>
      <c r="R52" s="18"/>
      <c r="S52" s="18" t="n">
        <f aca="false">ROUND((1-BD!S54/2.65)*100,2)</f>
        <v>42.64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793</v>
      </c>
      <c r="AS52" s="18" t="s">
        <v>2165</v>
      </c>
      <c r="AT52" s="18" t="s">
        <v>2166</v>
      </c>
      <c r="AU52" s="18" t="s">
        <v>2167</v>
      </c>
      <c r="AV52" s="18" t="s">
        <v>2232</v>
      </c>
      <c r="AW52" s="32" t="s">
        <v>2257</v>
      </c>
      <c r="AX52" s="18" t="s">
        <v>1148</v>
      </c>
      <c r="AY52" s="18" t="s">
        <v>2224</v>
      </c>
    </row>
    <row r="53" customFormat="false" ht="14.25" hidden="false" customHeight="true" outlineLevel="0" collapsed="false">
      <c r="A53" s="18" t="n">
        <v>173</v>
      </c>
      <c r="B53" s="18" t="n">
        <v>173</v>
      </c>
      <c r="C53" s="18" t="s">
        <v>1133</v>
      </c>
      <c r="D53" s="18" t="n">
        <v>2023</v>
      </c>
      <c r="E53" s="18" t="s">
        <v>1134</v>
      </c>
      <c r="F53" s="18" t="s">
        <v>866</v>
      </c>
      <c r="G53" s="18" t="s">
        <v>1137</v>
      </c>
      <c r="H53" s="18" t="n">
        <v>28.633</v>
      </c>
      <c r="I53" s="18" t="n">
        <v>77.15</v>
      </c>
      <c r="J53" s="18" t="s">
        <v>83</v>
      </c>
      <c r="K53" s="18" t="n">
        <v>2020</v>
      </c>
      <c r="L53" s="18" t="s">
        <v>84</v>
      </c>
      <c r="M53" s="18" t="s">
        <v>85</v>
      </c>
      <c r="N53" s="18" t="s">
        <v>86</v>
      </c>
      <c r="O53" s="18" t="s">
        <v>2043</v>
      </c>
      <c r="P53" s="18" t="n">
        <f aca="false">ROUND((1-BD!P55/2.65)*100,2)</f>
        <v>43.02</v>
      </c>
      <c r="Q53" s="18" t="n">
        <f aca="false">ROUND((1-BD!Q55/2.65)*100,2)</f>
        <v>42.64</v>
      </c>
      <c r="R53" s="18"/>
      <c r="S53" s="18" t="n">
        <f aca="false">ROUND((1-BD!S55/2.65)*100,2)</f>
        <v>42.26</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793</v>
      </c>
      <c r="AS53" s="18" t="s">
        <v>2165</v>
      </c>
      <c r="AT53" s="18" t="s">
        <v>2166</v>
      </c>
      <c r="AU53" s="18" t="s">
        <v>2167</v>
      </c>
      <c r="AV53" s="18" t="s">
        <v>2232</v>
      </c>
      <c r="AW53" s="32" t="s">
        <v>2258</v>
      </c>
      <c r="AX53" s="18" t="s">
        <v>1148</v>
      </c>
      <c r="AY53" s="18" t="s">
        <v>2224</v>
      </c>
    </row>
    <row r="54" customFormat="false" ht="14.25" hidden="false" customHeight="true" outlineLevel="0" collapsed="false">
      <c r="A54" s="18" t="n">
        <v>173</v>
      </c>
      <c r="B54" s="18" t="n">
        <v>173</v>
      </c>
      <c r="C54" s="18" t="s">
        <v>1133</v>
      </c>
      <c r="D54" s="18" t="n">
        <v>2023</v>
      </c>
      <c r="E54" s="18" t="s">
        <v>1134</v>
      </c>
      <c r="F54" s="18" t="s">
        <v>866</v>
      </c>
      <c r="G54" s="18" t="s">
        <v>1137</v>
      </c>
      <c r="H54" s="18" t="n">
        <v>28.633</v>
      </c>
      <c r="I54" s="18" t="n">
        <v>77.15</v>
      </c>
      <c r="J54" s="18" t="s">
        <v>83</v>
      </c>
      <c r="K54" s="18" t="n">
        <v>2020</v>
      </c>
      <c r="L54" s="18" t="s">
        <v>84</v>
      </c>
      <c r="M54" s="18" t="s">
        <v>85</v>
      </c>
      <c r="N54" s="18" t="s">
        <v>86</v>
      </c>
      <c r="O54" s="18" t="s">
        <v>2043</v>
      </c>
      <c r="P54" s="18" t="n">
        <f aca="false">ROUND((1-BD!P56/2.65)*100,2)</f>
        <v>44.15</v>
      </c>
      <c r="Q54" s="18" t="n">
        <f aca="false">ROUND((1-BD!Q56/2.65)*100,2)</f>
        <v>41.89</v>
      </c>
      <c r="R54" s="18"/>
      <c r="S54" s="18" t="n">
        <f aca="false">ROUND((1-BD!S56/2.65)*100,2)</f>
        <v>42.64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793</v>
      </c>
      <c r="AS54" s="18" t="s">
        <v>2165</v>
      </c>
      <c r="AT54" s="18" t="s">
        <v>2166</v>
      </c>
      <c r="AU54" s="18" t="s">
        <v>2167</v>
      </c>
      <c r="AV54" s="18" t="s">
        <v>2232</v>
      </c>
      <c r="AW54" s="32" t="s">
        <v>2259</v>
      </c>
      <c r="AX54" s="18" t="s">
        <v>1148</v>
      </c>
      <c r="AY54" s="18" t="s">
        <v>2224</v>
      </c>
    </row>
    <row r="55" customFormat="false" ht="14.25" hidden="false" customHeight="true" outlineLevel="0" collapsed="false">
      <c r="A55" s="18" t="n">
        <v>173</v>
      </c>
      <c r="B55" s="18" t="n">
        <v>173</v>
      </c>
      <c r="C55" s="18" t="s">
        <v>1133</v>
      </c>
      <c r="D55" s="18" t="n">
        <v>2023</v>
      </c>
      <c r="E55" s="18" t="s">
        <v>1134</v>
      </c>
      <c r="F55" s="18" t="s">
        <v>866</v>
      </c>
      <c r="G55" s="18" t="s">
        <v>1137</v>
      </c>
      <c r="H55" s="18" t="n">
        <v>28.633</v>
      </c>
      <c r="I55" s="18" t="n">
        <v>77.15</v>
      </c>
      <c r="J55" s="18" t="s">
        <v>83</v>
      </c>
      <c r="K55" s="18" t="n">
        <v>2020</v>
      </c>
      <c r="L55" s="18" t="s">
        <v>84</v>
      </c>
      <c r="M55" s="18" t="s">
        <v>85</v>
      </c>
      <c r="N55" s="18" t="s">
        <v>86</v>
      </c>
      <c r="O55" s="18" t="s">
        <v>2043</v>
      </c>
      <c r="P55" s="18" t="n">
        <f aca="false">ROUND((1-BD!P57/2.65)*100,2)</f>
        <v>43.77</v>
      </c>
      <c r="Q55" s="18" t="n">
        <f aca="false">ROUND((1-BD!Q57/2.65)*100,2)</f>
        <v>42.64</v>
      </c>
      <c r="R55" s="18"/>
      <c r="S55" s="18" t="n">
        <f aca="false">ROUND((1-BD!S57/2.65)*100,2)</f>
        <v>42.26</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793</v>
      </c>
      <c r="AS55" s="18" t="s">
        <v>2165</v>
      </c>
      <c r="AT55" s="18" t="s">
        <v>2166</v>
      </c>
      <c r="AU55" s="18" t="s">
        <v>2167</v>
      </c>
      <c r="AV55" s="18" t="s">
        <v>2232</v>
      </c>
      <c r="AW55" s="32" t="s">
        <v>2260</v>
      </c>
      <c r="AX55" s="18" t="s">
        <v>1148</v>
      </c>
      <c r="AY55" s="18" t="s">
        <v>2224</v>
      </c>
    </row>
    <row r="56" customFormat="false" ht="14.25" hidden="false" customHeight="true" outlineLevel="0" collapsed="false">
      <c r="A56" s="18" t="n">
        <v>173</v>
      </c>
      <c r="B56" s="18" t="n">
        <v>173</v>
      </c>
      <c r="C56" s="18" t="s">
        <v>1133</v>
      </c>
      <c r="D56" s="18" t="n">
        <v>2023</v>
      </c>
      <c r="E56" s="18" t="s">
        <v>1134</v>
      </c>
      <c r="F56" s="18" t="s">
        <v>866</v>
      </c>
      <c r="G56" s="18" t="s">
        <v>1137</v>
      </c>
      <c r="H56" s="18" t="n">
        <v>28.633</v>
      </c>
      <c r="I56" s="18" t="n">
        <v>77.15</v>
      </c>
      <c r="J56" s="18" t="s">
        <v>83</v>
      </c>
      <c r="K56" s="18" t="n">
        <v>2020</v>
      </c>
      <c r="L56" s="18" t="s">
        <v>84</v>
      </c>
      <c r="M56" s="18" t="s">
        <v>85</v>
      </c>
      <c r="N56" s="18" t="s">
        <v>2050</v>
      </c>
      <c r="O56" s="18" t="s">
        <v>2051</v>
      </c>
      <c r="P56" s="18" t="n">
        <f aca="false">ROUND((1-BD!P58/2.65)*100,2)</f>
        <v>42.64</v>
      </c>
      <c r="Q56" s="18" t="n">
        <f aca="false">ROUND((1-BD!Q58/2.65)*100,2)</f>
        <v>41.13</v>
      </c>
      <c r="R56" s="18"/>
      <c r="S56" s="18" t="n">
        <f aca="false">ROUND((1-BD!S58/2.65)*100,2)</f>
        <v>41.51</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793</v>
      </c>
      <c r="AS56" s="18" t="s">
        <v>2165</v>
      </c>
      <c r="AT56" s="18" t="s">
        <v>2166</v>
      </c>
      <c r="AU56" s="18" t="s">
        <v>2167</v>
      </c>
      <c r="AV56" s="18" t="s">
        <v>2232</v>
      </c>
      <c r="AW56" s="32" t="s">
        <v>2257</v>
      </c>
      <c r="AX56" s="18" t="s">
        <v>1148</v>
      </c>
      <c r="AY56" s="18" t="s">
        <v>2224</v>
      </c>
    </row>
    <row r="57" customFormat="false" ht="14.25" hidden="false" customHeight="true" outlineLevel="0" collapsed="false">
      <c r="A57" s="18" t="n">
        <v>173</v>
      </c>
      <c r="B57" s="18" t="n">
        <v>173</v>
      </c>
      <c r="C57" s="18" t="s">
        <v>1133</v>
      </c>
      <c r="D57" s="18" t="n">
        <v>2023</v>
      </c>
      <c r="E57" s="18" t="s">
        <v>1134</v>
      </c>
      <c r="F57" s="18" t="s">
        <v>866</v>
      </c>
      <c r="G57" s="18" t="s">
        <v>1137</v>
      </c>
      <c r="H57" s="18" t="n">
        <v>28.633</v>
      </c>
      <c r="I57" s="18" t="n">
        <v>77.15</v>
      </c>
      <c r="J57" s="18" t="s">
        <v>83</v>
      </c>
      <c r="K57" s="18" t="n">
        <v>2020</v>
      </c>
      <c r="L57" s="18" t="s">
        <v>84</v>
      </c>
      <c r="M57" s="18" t="s">
        <v>85</v>
      </c>
      <c r="N57" s="18" t="s">
        <v>2050</v>
      </c>
      <c r="O57" s="18" t="s">
        <v>2051</v>
      </c>
      <c r="P57" s="18" t="n">
        <f aca="false">ROUND((1-BD!P59/2.65)*100,2)</f>
        <v>41.89</v>
      </c>
      <c r="Q57" s="18" t="n">
        <f aca="false">ROUND((1-BD!Q59/2.65)*100,2)</f>
        <v>41.89</v>
      </c>
      <c r="R57" s="18"/>
      <c r="S57" s="18" t="n">
        <f aca="false">ROUND((1-BD!S59/2.65)*100,2)</f>
        <v>41.13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793</v>
      </c>
      <c r="AS57" s="18" t="s">
        <v>2165</v>
      </c>
      <c r="AT57" s="18" t="s">
        <v>2166</v>
      </c>
      <c r="AU57" s="18" t="s">
        <v>2167</v>
      </c>
      <c r="AV57" s="18" t="s">
        <v>2232</v>
      </c>
      <c r="AW57" s="32" t="s">
        <v>2258</v>
      </c>
      <c r="AX57" s="18" t="s">
        <v>1148</v>
      </c>
      <c r="AY57" s="18" t="s">
        <v>2224</v>
      </c>
    </row>
    <row r="58" customFormat="false" ht="14.25" hidden="false" customHeight="true" outlineLevel="0" collapsed="false">
      <c r="A58" s="18" t="n">
        <v>173</v>
      </c>
      <c r="B58" s="18" t="n">
        <v>173</v>
      </c>
      <c r="C58" s="18" t="s">
        <v>1133</v>
      </c>
      <c r="D58" s="18" t="n">
        <v>2023</v>
      </c>
      <c r="E58" s="18" t="s">
        <v>1134</v>
      </c>
      <c r="F58" s="18" t="s">
        <v>866</v>
      </c>
      <c r="G58" s="18" t="s">
        <v>1137</v>
      </c>
      <c r="H58" s="18" t="n">
        <v>28.633</v>
      </c>
      <c r="I58" s="18" t="n">
        <v>77.15</v>
      </c>
      <c r="J58" s="18" t="s">
        <v>83</v>
      </c>
      <c r="K58" s="18" t="n">
        <v>2020</v>
      </c>
      <c r="L58" s="18" t="s">
        <v>84</v>
      </c>
      <c r="M58" s="18" t="s">
        <v>85</v>
      </c>
      <c r="N58" s="18" t="s">
        <v>2050</v>
      </c>
      <c r="O58" s="18" t="s">
        <v>2051</v>
      </c>
      <c r="P58" s="18" t="n">
        <f aca="false">ROUND((1-BD!P60/2.65)*100,2)</f>
        <v>43.4</v>
      </c>
      <c r="Q58" s="18" t="n">
        <f aca="false">ROUND((1-BD!Q60/2.65)*100,2)</f>
        <v>41.13</v>
      </c>
      <c r="R58" s="18"/>
      <c r="S58" s="18" t="n">
        <f aca="false">ROUND((1-BD!S60/2.65)*100,2)</f>
        <v>41.51</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793</v>
      </c>
      <c r="AS58" s="18" t="s">
        <v>2165</v>
      </c>
      <c r="AT58" s="18" t="s">
        <v>2166</v>
      </c>
      <c r="AU58" s="18" t="s">
        <v>2167</v>
      </c>
      <c r="AV58" s="18" t="s">
        <v>2232</v>
      </c>
      <c r="AW58" s="32" t="s">
        <v>2259</v>
      </c>
      <c r="AX58" s="18" t="s">
        <v>1148</v>
      </c>
      <c r="AY58" s="18" t="s">
        <v>2224</v>
      </c>
    </row>
    <row r="59" customFormat="false" ht="14.25" hidden="false" customHeight="true" outlineLevel="0" collapsed="false">
      <c r="A59" s="18" t="n">
        <v>173</v>
      </c>
      <c r="B59" s="18" t="n">
        <v>173</v>
      </c>
      <c r="C59" s="18" t="s">
        <v>1133</v>
      </c>
      <c r="D59" s="18" t="n">
        <v>2023</v>
      </c>
      <c r="E59" s="18" t="s">
        <v>1134</v>
      </c>
      <c r="F59" s="18" t="s">
        <v>866</v>
      </c>
      <c r="G59" s="18" t="s">
        <v>1137</v>
      </c>
      <c r="H59" s="18" t="n">
        <v>28.633</v>
      </c>
      <c r="I59" s="18" t="n">
        <v>77.15</v>
      </c>
      <c r="J59" s="18" t="s">
        <v>83</v>
      </c>
      <c r="K59" s="18" t="n">
        <v>2020</v>
      </c>
      <c r="L59" s="18" t="s">
        <v>84</v>
      </c>
      <c r="M59" s="18" t="s">
        <v>85</v>
      </c>
      <c r="N59" s="18" t="s">
        <v>2050</v>
      </c>
      <c r="O59" s="18" t="s">
        <v>2051</v>
      </c>
      <c r="P59" s="18" t="n">
        <f aca="false">ROUND((1-BD!P61/2.65)*100,2)</f>
        <v>43.02</v>
      </c>
      <c r="Q59" s="18" t="n">
        <f aca="false">ROUND((1-BD!Q61/2.65)*100,2)</f>
        <v>41.89</v>
      </c>
      <c r="R59" s="18"/>
      <c r="S59" s="18" t="n">
        <f aca="false">ROUND((1-BD!S61/2.65)*100,2)</f>
        <v>41.13</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793</v>
      </c>
      <c r="AS59" s="18" t="s">
        <v>2165</v>
      </c>
      <c r="AT59" s="18" t="s">
        <v>2166</v>
      </c>
      <c r="AU59" s="18" t="s">
        <v>2167</v>
      </c>
      <c r="AV59" s="18" t="s">
        <v>2232</v>
      </c>
      <c r="AW59" s="32" t="s">
        <v>2260</v>
      </c>
      <c r="AX59" s="18" t="s">
        <v>1148</v>
      </c>
      <c r="AY59" s="18" t="s">
        <v>2224</v>
      </c>
    </row>
    <row r="60" customFormat="false" ht="14.25" hidden="false" customHeight="true" outlineLevel="0" collapsed="false">
      <c r="A60" s="18" t="n">
        <v>173</v>
      </c>
      <c r="B60" s="18" t="n">
        <v>173</v>
      </c>
      <c r="C60" s="18" t="s">
        <v>1133</v>
      </c>
      <c r="D60" s="18" t="n">
        <v>2023</v>
      </c>
      <c r="E60" s="18" t="s">
        <v>1134</v>
      </c>
      <c r="F60" s="18" t="s">
        <v>866</v>
      </c>
      <c r="G60" s="18" t="s">
        <v>1137</v>
      </c>
      <c r="H60" s="18" t="n">
        <v>28.633</v>
      </c>
      <c r="I60" s="18" t="n">
        <v>77.15</v>
      </c>
      <c r="J60" s="18" t="s">
        <v>83</v>
      </c>
      <c r="K60" s="18" t="n">
        <v>2020</v>
      </c>
      <c r="L60" s="18" t="s">
        <v>84</v>
      </c>
      <c r="M60" s="18" t="s">
        <v>85</v>
      </c>
      <c r="N60" s="18" t="s">
        <v>2177</v>
      </c>
      <c r="O60" s="18" t="s">
        <v>2178</v>
      </c>
      <c r="P60" s="18" t="n">
        <f aca="false">ROUND((1-BD!P62/2.65)*100,2)</f>
        <v>40.38</v>
      </c>
      <c r="Q60" s="18" t="n">
        <f aca="false">ROUND((1-BD!Q62/2.65)*100,2)</f>
        <v>40</v>
      </c>
      <c r="R60" s="18"/>
      <c r="S60" s="18" t="n">
        <f aca="false">ROUND((1-BD!S62/2.65)*100,2)</f>
        <v>40</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793</v>
      </c>
      <c r="AS60" s="18" t="s">
        <v>2165</v>
      </c>
      <c r="AT60" s="18" t="s">
        <v>2166</v>
      </c>
      <c r="AU60" s="18" t="s">
        <v>2167</v>
      </c>
      <c r="AV60" s="18" t="s">
        <v>2232</v>
      </c>
      <c r="AW60" s="32" t="s">
        <v>2257</v>
      </c>
      <c r="AX60" s="18" t="s">
        <v>1148</v>
      </c>
      <c r="AY60" s="18" t="s">
        <v>2224</v>
      </c>
    </row>
    <row r="61" customFormat="false" ht="14.25" hidden="false" customHeight="true" outlineLevel="0" collapsed="false">
      <c r="A61" s="18" t="n">
        <v>173</v>
      </c>
      <c r="B61" s="18" t="n">
        <v>173</v>
      </c>
      <c r="C61" s="18" t="s">
        <v>1133</v>
      </c>
      <c r="D61" s="18" t="n">
        <v>2023</v>
      </c>
      <c r="E61" s="18" t="s">
        <v>1134</v>
      </c>
      <c r="F61" s="18" t="s">
        <v>866</v>
      </c>
      <c r="G61" s="18" t="s">
        <v>1137</v>
      </c>
      <c r="H61" s="18" t="n">
        <v>28.633</v>
      </c>
      <c r="I61" s="18" t="n">
        <v>77.15</v>
      </c>
      <c r="J61" s="18" t="s">
        <v>83</v>
      </c>
      <c r="K61" s="18" t="n">
        <v>2020</v>
      </c>
      <c r="L61" s="18" t="s">
        <v>84</v>
      </c>
      <c r="M61" s="18" t="s">
        <v>85</v>
      </c>
      <c r="N61" s="18" t="s">
        <v>2177</v>
      </c>
      <c r="O61" s="18" t="s">
        <v>2178</v>
      </c>
      <c r="P61" s="18" t="n">
        <f aca="false">ROUND((1-BD!P63/2.65)*100,2)</f>
        <v>40.75</v>
      </c>
      <c r="Q61" s="18" t="n">
        <f aca="false">ROUND((1-BD!Q63/2.65)*100,2)</f>
        <v>40.38</v>
      </c>
      <c r="R61" s="18"/>
      <c r="S61" s="18" t="n">
        <f aca="false">ROUND((1-BD!S63/2.65)*100,2)</f>
        <v>40</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793</v>
      </c>
      <c r="AS61" s="18" t="s">
        <v>2165</v>
      </c>
      <c r="AT61" s="18" t="s">
        <v>2166</v>
      </c>
      <c r="AU61" s="18" t="s">
        <v>2167</v>
      </c>
      <c r="AV61" s="18" t="s">
        <v>2232</v>
      </c>
      <c r="AW61" s="32" t="s">
        <v>2258</v>
      </c>
      <c r="AX61" s="18" t="s">
        <v>1148</v>
      </c>
      <c r="AY61" s="18" t="s">
        <v>2224</v>
      </c>
    </row>
    <row r="62" customFormat="false" ht="14.25" hidden="false" customHeight="true" outlineLevel="0" collapsed="false">
      <c r="A62" s="18" t="n">
        <v>173</v>
      </c>
      <c r="B62" s="18" t="n">
        <v>173</v>
      </c>
      <c r="C62" s="18" t="s">
        <v>1133</v>
      </c>
      <c r="D62" s="18" t="n">
        <v>2023</v>
      </c>
      <c r="E62" s="18" t="s">
        <v>1134</v>
      </c>
      <c r="F62" s="18" t="s">
        <v>866</v>
      </c>
      <c r="G62" s="18" t="s">
        <v>1137</v>
      </c>
      <c r="H62" s="18" t="n">
        <v>28.633</v>
      </c>
      <c r="I62" s="18" t="n">
        <v>77.15</v>
      </c>
      <c r="J62" s="18" t="s">
        <v>83</v>
      </c>
      <c r="K62" s="18" t="n">
        <v>2020</v>
      </c>
      <c r="L62" s="18" t="s">
        <v>84</v>
      </c>
      <c r="M62" s="18" t="s">
        <v>85</v>
      </c>
      <c r="N62" s="18" t="s">
        <v>2177</v>
      </c>
      <c r="O62" s="18" t="s">
        <v>2178</v>
      </c>
      <c r="P62" s="18" t="n">
        <f aca="false">ROUND((1-BD!P64/2.65)*100,2)</f>
        <v>41.13</v>
      </c>
      <c r="Q62" s="18" t="n">
        <f aca="false">ROUND((1-BD!Q64/2.65)*100,2)</f>
        <v>40</v>
      </c>
      <c r="R62" s="18"/>
      <c r="S62" s="18" t="n">
        <f aca="false">ROUND((1-BD!S64/2.65)*100,2)</f>
        <v>40</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793</v>
      </c>
      <c r="AS62" s="18" t="s">
        <v>2165</v>
      </c>
      <c r="AT62" s="18" t="s">
        <v>2166</v>
      </c>
      <c r="AU62" s="18" t="s">
        <v>2167</v>
      </c>
      <c r="AV62" s="18" t="s">
        <v>2232</v>
      </c>
      <c r="AW62" s="32" t="s">
        <v>2259</v>
      </c>
      <c r="AX62" s="18" t="s">
        <v>1148</v>
      </c>
      <c r="AY62" s="18" t="s">
        <v>2224</v>
      </c>
    </row>
    <row r="63" customFormat="false" ht="14.25" hidden="false" customHeight="true" outlineLevel="0" collapsed="false">
      <c r="A63" s="18" t="n">
        <v>173</v>
      </c>
      <c r="B63" s="18" t="n">
        <v>173</v>
      </c>
      <c r="C63" s="18" t="s">
        <v>1133</v>
      </c>
      <c r="D63" s="18" t="n">
        <v>2023</v>
      </c>
      <c r="E63" s="18" t="s">
        <v>1134</v>
      </c>
      <c r="F63" s="18" t="s">
        <v>866</v>
      </c>
      <c r="G63" s="18" t="s">
        <v>1137</v>
      </c>
      <c r="H63" s="18" t="n">
        <v>28.633</v>
      </c>
      <c r="I63" s="18" t="n">
        <v>77.15</v>
      </c>
      <c r="J63" s="18" t="s">
        <v>83</v>
      </c>
      <c r="K63" s="18" t="n">
        <v>2020</v>
      </c>
      <c r="L63" s="18" t="s">
        <v>84</v>
      </c>
      <c r="M63" s="18" t="s">
        <v>85</v>
      </c>
      <c r="N63" s="18" t="s">
        <v>2177</v>
      </c>
      <c r="O63" s="18" t="s">
        <v>2178</v>
      </c>
      <c r="P63" s="18" t="n">
        <f aca="false">ROUND((1-BD!P65/2.65)*100,2)</f>
        <v>40.38</v>
      </c>
      <c r="Q63" s="18" t="n">
        <f aca="false">ROUND((1-BD!Q65/2.65)*100,2)</f>
        <v>40.38</v>
      </c>
      <c r="R63" s="18"/>
      <c r="S63" s="18" t="n">
        <f aca="false">ROUND((1-BD!S65/2.65)*100,2)</f>
        <v>40</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793</v>
      </c>
      <c r="AS63" s="18" t="s">
        <v>2165</v>
      </c>
      <c r="AT63" s="18" t="s">
        <v>2166</v>
      </c>
      <c r="AU63" s="18" t="s">
        <v>2167</v>
      </c>
      <c r="AV63" s="18" t="s">
        <v>2232</v>
      </c>
      <c r="AW63" s="32" t="s">
        <v>2260</v>
      </c>
      <c r="AX63" s="18" t="s">
        <v>1148</v>
      </c>
      <c r="AY63" s="18" t="s">
        <v>2224</v>
      </c>
    </row>
    <row r="64" customFormat="false" ht="14.25" hidden="false" customHeight="false" outlineLevel="0" collapsed="false">
      <c r="A64" s="24" t="n">
        <v>174</v>
      </c>
      <c r="B64" s="24" t="n">
        <v>174</v>
      </c>
      <c r="C64" s="24" t="s">
        <v>1152</v>
      </c>
      <c r="D64" s="24" t="n">
        <v>2017</v>
      </c>
      <c r="E64" s="24" t="s">
        <v>1153</v>
      </c>
      <c r="F64" s="24" t="s">
        <v>887</v>
      </c>
      <c r="G64" s="24" t="s">
        <v>1156</v>
      </c>
      <c r="H64" s="24" t="n">
        <v>29.067</v>
      </c>
      <c r="I64" s="24" t="n">
        <v>77.767</v>
      </c>
      <c r="J64" s="24" t="s">
        <v>83</v>
      </c>
      <c r="K64" s="24" t="s">
        <v>2183</v>
      </c>
      <c r="L64" s="24" t="s">
        <v>872</v>
      </c>
      <c r="M64" s="24" t="s">
        <v>85</v>
      </c>
      <c r="N64" s="24" t="s">
        <v>86</v>
      </c>
      <c r="O64" s="24" t="s">
        <v>2097</v>
      </c>
      <c r="P64" s="24" t="n">
        <f aca="false">ROUND((1-BD!P66/2.65)*100,2)</f>
        <v>42.49</v>
      </c>
      <c r="Q64" s="24"/>
      <c r="R64" s="24" t="n">
        <f aca="false">ROUND((1-BD!R66/2.65)*100,2)</f>
        <v>41.51</v>
      </c>
      <c r="S64" s="24"/>
      <c r="T64" s="24"/>
      <c r="U64" s="24"/>
      <c r="V64" s="24"/>
      <c r="W64" s="24"/>
      <c r="X64" s="24" t="n">
        <f aca="false">ROUND((1-BD!X66/2.65)*100,2)</f>
        <v>43.51</v>
      </c>
      <c r="Y64" s="24" t="n">
        <f aca="false">ROUND((1-BD!Y66/2.65)*100,2)</f>
        <v>42.08</v>
      </c>
      <c r="Z64" s="24"/>
      <c r="AA64" s="24"/>
      <c r="AB64" s="24" t="n">
        <v>5</v>
      </c>
      <c r="AC64" s="24" t="n">
        <v>3</v>
      </c>
      <c r="AD64" s="24" t="n">
        <f aca="false">IF(AND(N(AB64)&gt;0,N(AC64)&gt;0),SQRT(2*AB64/AC64),"")</f>
        <v>1.82574185835055</v>
      </c>
      <c r="AE64" s="24" t="n">
        <v>16.5</v>
      </c>
      <c r="AF64" s="24" t="n">
        <v>5</v>
      </c>
      <c r="AG64" s="24" t="n">
        <v>46</v>
      </c>
      <c r="AH64" s="24" t="n">
        <v>863</v>
      </c>
      <c r="AI64" s="24" t="n">
        <v>29.067</v>
      </c>
      <c r="AJ64" s="24" t="n">
        <v>2</v>
      </c>
      <c r="AK64" s="24"/>
      <c r="AL64" s="24"/>
      <c r="AM64" s="24" t="n">
        <v>8.1</v>
      </c>
      <c r="AN64" s="24" t="n">
        <v>8.3</v>
      </c>
      <c r="AO64" s="24"/>
      <c r="AP64" s="24" t="n">
        <v>62</v>
      </c>
      <c r="AQ64" s="24" t="n">
        <v>20.5</v>
      </c>
      <c r="AR64" s="24" t="s">
        <v>2261</v>
      </c>
      <c r="AS64" s="24" t="s">
        <v>2184</v>
      </c>
      <c r="AT64" s="24" t="s">
        <v>2185</v>
      </c>
      <c r="AU64" s="24" t="s">
        <v>2186</v>
      </c>
      <c r="AV64" s="24" t="s">
        <v>2252</v>
      </c>
      <c r="AW64" s="25" t="s">
        <v>2262</v>
      </c>
      <c r="AX64" s="24" t="s">
        <v>1167</v>
      </c>
      <c r="AY64" s="24" t="s">
        <v>2263</v>
      </c>
    </row>
    <row r="65" customFormat="false" ht="14.25" hidden="false" customHeight="false" outlineLevel="0" collapsed="false">
      <c r="A65" s="24" t="n">
        <v>174</v>
      </c>
      <c r="B65" s="24" t="n">
        <v>174</v>
      </c>
      <c r="C65" s="24" t="s">
        <v>1152</v>
      </c>
      <c r="D65" s="24" t="n">
        <v>2017</v>
      </c>
      <c r="E65" s="24" t="s">
        <v>1153</v>
      </c>
      <c r="F65" s="24" t="s">
        <v>887</v>
      </c>
      <c r="G65" s="24" t="s">
        <v>1156</v>
      </c>
      <c r="H65" s="24" t="n">
        <v>29.067</v>
      </c>
      <c r="I65" s="24" t="n">
        <v>77.767</v>
      </c>
      <c r="J65" s="24" t="s">
        <v>83</v>
      </c>
      <c r="K65" s="24" t="s">
        <v>2183</v>
      </c>
      <c r="L65" s="24" t="s">
        <v>872</v>
      </c>
      <c r="M65" s="24" t="s">
        <v>85</v>
      </c>
      <c r="N65" s="24" t="s">
        <v>86</v>
      </c>
      <c r="O65" s="24" t="s">
        <v>2097</v>
      </c>
      <c r="P65" s="24" t="n">
        <f aca="false">ROUND((1-BD!P67/2.65)*100,2)</f>
        <v>42.57</v>
      </c>
      <c r="Q65" s="24"/>
      <c r="R65" s="24" t="n">
        <f aca="false">ROUND((1-BD!R67/2.65)*100,2)</f>
        <v>40.79</v>
      </c>
      <c r="S65" s="24"/>
      <c r="T65" s="24"/>
      <c r="U65" s="24"/>
      <c r="V65" s="24"/>
      <c r="W65" s="24"/>
      <c r="X65" s="24" t="n">
        <f aca="false">ROUND((1-BD!X67/2.65)*100,2)</f>
        <v>43.51</v>
      </c>
      <c r="Y65" s="24" t="n">
        <f aca="false">ROUND((1-BD!Y67/2.65)*100,2)</f>
        <v>42.08</v>
      </c>
      <c r="Z65" s="24"/>
      <c r="AA65" s="24"/>
      <c r="AB65" s="24" t="n">
        <v>5</v>
      </c>
      <c r="AC65" s="24" t="n">
        <v>3</v>
      </c>
      <c r="AD65" s="24" t="n">
        <f aca="false">IF(AND(N(AB65)&gt;0,N(AC65)&gt;0),SQRT(2*AB65/AC65),"")</f>
        <v>1.82574185835055</v>
      </c>
      <c r="AE65" s="24" t="n">
        <v>16.5</v>
      </c>
      <c r="AF65" s="24" t="n">
        <v>5</v>
      </c>
      <c r="AG65" s="24" t="n">
        <v>46</v>
      </c>
      <c r="AH65" s="24" t="n">
        <v>863</v>
      </c>
      <c r="AI65" s="24" t="n">
        <v>29.067</v>
      </c>
      <c r="AJ65" s="24" t="n">
        <v>2</v>
      </c>
      <c r="AK65" s="24"/>
      <c r="AL65" s="24"/>
      <c r="AM65" s="24" t="n">
        <v>8.1</v>
      </c>
      <c r="AN65" s="24" t="n">
        <v>8.3</v>
      </c>
      <c r="AO65" s="24"/>
      <c r="AP65" s="24" t="n">
        <v>62</v>
      </c>
      <c r="AQ65" s="24" t="n">
        <v>20.5</v>
      </c>
      <c r="AR65" s="24" t="s">
        <v>2261</v>
      </c>
      <c r="AS65" s="24" t="s">
        <v>2184</v>
      </c>
      <c r="AT65" s="24" t="s">
        <v>2185</v>
      </c>
      <c r="AU65" s="24" t="s">
        <v>2186</v>
      </c>
      <c r="AV65" s="24" t="s">
        <v>2252</v>
      </c>
      <c r="AW65" s="25" t="s">
        <v>2264</v>
      </c>
      <c r="AX65" s="24" t="s">
        <v>1167</v>
      </c>
      <c r="AY65" s="24" t="s">
        <v>2263</v>
      </c>
    </row>
    <row r="66" customFormat="false" ht="14.25" hidden="false" customHeight="false" outlineLevel="0" collapsed="false">
      <c r="A66" s="24" t="n">
        <v>174</v>
      </c>
      <c r="B66" s="24" t="n">
        <v>174</v>
      </c>
      <c r="C66" s="24" t="s">
        <v>1152</v>
      </c>
      <c r="D66" s="24" t="n">
        <v>2017</v>
      </c>
      <c r="E66" s="24" t="s">
        <v>1153</v>
      </c>
      <c r="F66" s="24" t="s">
        <v>887</v>
      </c>
      <c r="G66" s="24" t="s">
        <v>1156</v>
      </c>
      <c r="H66" s="24" t="n">
        <v>29.067</v>
      </c>
      <c r="I66" s="24" t="n">
        <v>77.767</v>
      </c>
      <c r="J66" s="24" t="s">
        <v>83</v>
      </c>
      <c r="K66" s="24" t="s">
        <v>2183</v>
      </c>
      <c r="L66" s="24" t="s">
        <v>872</v>
      </c>
      <c r="M66" s="24" t="s">
        <v>85</v>
      </c>
      <c r="N66" s="24" t="s">
        <v>86</v>
      </c>
      <c r="O66" s="24" t="s">
        <v>2106</v>
      </c>
      <c r="P66" s="24" t="n">
        <f aca="false">ROUND((1-BD!P68/2.65)*100,2)</f>
        <v>40.23</v>
      </c>
      <c r="Q66" s="24"/>
      <c r="R66" s="24" t="n">
        <f aca="false">ROUND((1-BD!R68/2.65)*100,2)</f>
        <v>39.96</v>
      </c>
      <c r="S66" s="24"/>
      <c r="T66" s="24"/>
      <c r="U66" s="24"/>
      <c r="V66" s="24"/>
      <c r="W66" s="24"/>
      <c r="X66" s="24" t="n">
        <f aca="false">ROUND((1-BD!X68/2.65)*100,2)</f>
        <v>40.42</v>
      </c>
      <c r="Y66" s="24" t="n">
        <f aca="false">ROUND((1-BD!Y68/2.65)*100,2)</f>
        <v>38.91</v>
      </c>
      <c r="Z66" s="24"/>
      <c r="AA66" s="24"/>
      <c r="AB66" s="24" t="n">
        <v>5</v>
      </c>
      <c r="AC66" s="24" t="n">
        <v>3</v>
      </c>
      <c r="AD66" s="24" t="n">
        <f aca="false">IF(AND(N(AB66)&gt;0,N(AC66)&gt;0),SQRT(2*AB66/AC66),"")</f>
        <v>1.82574185835055</v>
      </c>
      <c r="AE66" s="24" t="n">
        <v>16.5</v>
      </c>
      <c r="AF66" s="24" t="n">
        <v>5</v>
      </c>
      <c r="AG66" s="24" t="n">
        <v>46</v>
      </c>
      <c r="AH66" s="24" t="n">
        <v>863</v>
      </c>
      <c r="AI66" s="24" t="n">
        <v>29.067</v>
      </c>
      <c r="AJ66" s="24" t="n">
        <v>2</v>
      </c>
      <c r="AK66" s="24"/>
      <c r="AL66" s="24"/>
      <c r="AM66" s="24" t="n">
        <v>8.1</v>
      </c>
      <c r="AN66" s="24" t="n">
        <v>8.3</v>
      </c>
      <c r="AO66" s="24"/>
      <c r="AP66" s="24" t="n">
        <v>62</v>
      </c>
      <c r="AQ66" s="24" t="n">
        <v>20.5</v>
      </c>
      <c r="AR66" s="24" t="s">
        <v>2261</v>
      </c>
      <c r="AS66" s="24" t="s">
        <v>2184</v>
      </c>
      <c r="AT66" s="24" t="s">
        <v>2185</v>
      </c>
      <c r="AU66" s="24" t="s">
        <v>2186</v>
      </c>
      <c r="AV66" s="24" t="s">
        <v>2252</v>
      </c>
      <c r="AW66" s="25" t="s">
        <v>2262</v>
      </c>
      <c r="AX66" s="24" t="s">
        <v>1167</v>
      </c>
      <c r="AY66" s="24" t="s">
        <v>2263</v>
      </c>
    </row>
    <row r="67" customFormat="false" ht="14.25" hidden="false" customHeight="false" outlineLevel="0" collapsed="false">
      <c r="A67" s="24" t="n">
        <v>174</v>
      </c>
      <c r="B67" s="24" t="n">
        <v>174</v>
      </c>
      <c r="C67" s="24" t="s">
        <v>1152</v>
      </c>
      <c r="D67" s="24" t="n">
        <v>2017</v>
      </c>
      <c r="E67" s="24" t="s">
        <v>1153</v>
      </c>
      <c r="F67" s="24" t="s">
        <v>887</v>
      </c>
      <c r="G67" s="24" t="s">
        <v>1156</v>
      </c>
      <c r="H67" s="24" t="n">
        <v>29.067</v>
      </c>
      <c r="I67" s="24" t="n">
        <v>77.767</v>
      </c>
      <c r="J67" s="24" t="s">
        <v>83</v>
      </c>
      <c r="K67" s="24" t="s">
        <v>2183</v>
      </c>
      <c r="L67" s="24" t="s">
        <v>872</v>
      </c>
      <c r="M67" s="24" t="s">
        <v>85</v>
      </c>
      <c r="N67" s="24" t="s">
        <v>86</v>
      </c>
      <c r="O67" s="24" t="s">
        <v>2106</v>
      </c>
      <c r="P67" s="24" t="n">
        <f aca="false">ROUND((1-BD!P69/2.65)*100,2)</f>
        <v>38.91</v>
      </c>
      <c r="Q67" s="24"/>
      <c r="R67" s="24" t="n">
        <f aca="false">ROUND((1-BD!R69/2.65)*100,2)</f>
        <v>38.72</v>
      </c>
      <c r="S67" s="24"/>
      <c r="T67" s="24"/>
      <c r="U67" s="24"/>
      <c r="V67" s="24"/>
      <c r="W67" s="24"/>
      <c r="X67" s="24" t="n">
        <f aca="false">ROUND((1-BD!X69/2.65)*100,2)</f>
        <v>40.42</v>
      </c>
      <c r="Y67" s="24" t="n">
        <f aca="false">ROUND((1-BD!Y69/2.65)*100,2)</f>
        <v>38.91</v>
      </c>
      <c r="Z67" s="24"/>
      <c r="AA67" s="24"/>
      <c r="AB67" s="24" t="n">
        <v>5</v>
      </c>
      <c r="AC67" s="24" t="n">
        <v>3</v>
      </c>
      <c r="AD67" s="24" t="n">
        <f aca="false">IF(AND(N(AB67)&gt;0,N(AC67)&gt;0),SQRT(2*AB67/AC67),"")</f>
        <v>1.82574185835055</v>
      </c>
      <c r="AE67" s="24" t="n">
        <v>16.5</v>
      </c>
      <c r="AF67" s="24" t="n">
        <v>5</v>
      </c>
      <c r="AG67" s="24" t="n">
        <v>46</v>
      </c>
      <c r="AH67" s="24" t="n">
        <v>863</v>
      </c>
      <c r="AI67" s="24" t="n">
        <v>29.067</v>
      </c>
      <c r="AJ67" s="24" t="n">
        <v>2</v>
      </c>
      <c r="AK67" s="24"/>
      <c r="AL67" s="24"/>
      <c r="AM67" s="24" t="n">
        <v>8.1</v>
      </c>
      <c r="AN67" s="24" t="n">
        <v>8.3</v>
      </c>
      <c r="AO67" s="24"/>
      <c r="AP67" s="24" t="n">
        <v>62</v>
      </c>
      <c r="AQ67" s="24" t="n">
        <v>20.5</v>
      </c>
      <c r="AR67" s="24" t="s">
        <v>2261</v>
      </c>
      <c r="AS67" s="24" t="s">
        <v>2184</v>
      </c>
      <c r="AT67" s="24" t="s">
        <v>2185</v>
      </c>
      <c r="AU67" s="24" t="s">
        <v>2186</v>
      </c>
      <c r="AV67" s="24" t="s">
        <v>2252</v>
      </c>
      <c r="AW67" s="25" t="s">
        <v>2264</v>
      </c>
      <c r="AX67" s="24" t="s">
        <v>1167</v>
      </c>
      <c r="AY67" s="24" t="s">
        <v>2263</v>
      </c>
    </row>
    <row r="68" customFormat="false" ht="14.25" hidden="false" customHeight="false" outlineLevel="0" collapsed="false">
      <c r="A68" s="24" t="n">
        <v>174</v>
      </c>
      <c r="B68" s="24" t="n">
        <v>174</v>
      </c>
      <c r="C68" s="24" t="s">
        <v>1152</v>
      </c>
      <c r="D68" s="24" t="n">
        <v>2017</v>
      </c>
      <c r="E68" s="24" t="s">
        <v>1153</v>
      </c>
      <c r="F68" s="24" t="s">
        <v>887</v>
      </c>
      <c r="G68" s="24" t="s">
        <v>1156</v>
      </c>
      <c r="H68" s="24" t="n">
        <v>29.067</v>
      </c>
      <c r="I68" s="24" t="n">
        <v>77.767</v>
      </c>
      <c r="J68" s="24" t="s">
        <v>83</v>
      </c>
      <c r="K68" s="24" t="s">
        <v>2183</v>
      </c>
      <c r="L68" s="24" t="s">
        <v>872</v>
      </c>
      <c r="M68" s="24" t="s">
        <v>85</v>
      </c>
      <c r="N68" s="24" t="s">
        <v>86</v>
      </c>
      <c r="O68" s="24" t="s">
        <v>2107</v>
      </c>
      <c r="P68" s="24" t="n">
        <f aca="false">ROUND((1-BD!P70/2.65)*100,2)</f>
        <v>34.26</v>
      </c>
      <c r="Q68" s="24"/>
      <c r="R68" s="24" t="n">
        <f aca="false">ROUND((1-BD!R70/2.65)*100,2)</f>
        <v>34.11</v>
      </c>
      <c r="S68" s="24"/>
      <c r="T68" s="24"/>
      <c r="U68" s="24"/>
      <c r="V68" s="24"/>
      <c r="W68" s="24"/>
      <c r="X68" s="24" t="n">
        <f aca="false">ROUND((1-BD!X70/2.65)*100,2)</f>
        <v>34.3</v>
      </c>
      <c r="Y68" s="24" t="n">
        <f aca="false">ROUND((1-BD!Y70/2.65)*100,2)</f>
        <v>33.74</v>
      </c>
      <c r="Z68" s="24"/>
      <c r="AA68" s="24"/>
      <c r="AB68" s="24" t="n">
        <v>5</v>
      </c>
      <c r="AC68" s="24" t="n">
        <v>3</v>
      </c>
      <c r="AD68" s="24" t="n">
        <f aca="false">IF(AND(N(AB68)&gt;0,N(AC68)&gt;0),SQRT(2*AB68/AC68),"")</f>
        <v>1.82574185835055</v>
      </c>
      <c r="AE68" s="24" t="n">
        <v>16.5</v>
      </c>
      <c r="AF68" s="24" t="n">
        <v>5</v>
      </c>
      <c r="AG68" s="24" t="n">
        <v>46</v>
      </c>
      <c r="AH68" s="24" t="n">
        <v>863</v>
      </c>
      <c r="AI68" s="24" t="n">
        <v>29.067</v>
      </c>
      <c r="AJ68" s="24" t="n">
        <v>2</v>
      </c>
      <c r="AK68" s="24"/>
      <c r="AL68" s="24"/>
      <c r="AM68" s="24" t="n">
        <v>8.1</v>
      </c>
      <c r="AN68" s="24" t="n">
        <v>8.3</v>
      </c>
      <c r="AO68" s="24"/>
      <c r="AP68" s="24" t="n">
        <v>62</v>
      </c>
      <c r="AQ68" s="24" t="n">
        <v>20.5</v>
      </c>
      <c r="AR68" s="24" t="s">
        <v>2261</v>
      </c>
      <c r="AS68" s="24" t="s">
        <v>2184</v>
      </c>
      <c r="AT68" s="24" t="s">
        <v>2185</v>
      </c>
      <c r="AU68" s="24" t="s">
        <v>2186</v>
      </c>
      <c r="AV68" s="24" t="s">
        <v>2252</v>
      </c>
      <c r="AW68" s="25" t="s">
        <v>2262</v>
      </c>
      <c r="AX68" s="24" t="s">
        <v>1167</v>
      </c>
      <c r="AY68" s="24" t="s">
        <v>2263</v>
      </c>
    </row>
    <row r="69" customFormat="false" ht="14.25" hidden="false" customHeight="false" outlineLevel="0" collapsed="false">
      <c r="A69" s="24" t="n">
        <v>174</v>
      </c>
      <c r="B69" s="24" t="n">
        <v>174</v>
      </c>
      <c r="C69" s="24" t="s">
        <v>1152</v>
      </c>
      <c r="D69" s="24" t="n">
        <v>2017</v>
      </c>
      <c r="E69" s="24" t="s">
        <v>1153</v>
      </c>
      <c r="F69" s="24" t="s">
        <v>887</v>
      </c>
      <c r="G69" s="24" t="s">
        <v>1156</v>
      </c>
      <c r="H69" s="24" t="n">
        <v>29.067</v>
      </c>
      <c r="I69" s="24" t="n">
        <v>77.767</v>
      </c>
      <c r="J69" s="24" t="s">
        <v>83</v>
      </c>
      <c r="K69" s="24" t="s">
        <v>2183</v>
      </c>
      <c r="L69" s="24" t="s">
        <v>872</v>
      </c>
      <c r="M69" s="24" t="s">
        <v>85</v>
      </c>
      <c r="N69" s="24" t="s">
        <v>86</v>
      </c>
      <c r="O69" s="24" t="s">
        <v>2107</v>
      </c>
      <c r="P69" s="24" t="n">
        <f aca="false">ROUND((1-BD!P71/2.65)*100,2)</f>
        <v>37.36</v>
      </c>
      <c r="Q69" s="24"/>
      <c r="R69" s="24" t="n">
        <f aca="false">ROUND((1-BD!R71/2.65)*100,2)</f>
        <v>37.02</v>
      </c>
      <c r="S69" s="24"/>
      <c r="T69" s="24"/>
      <c r="U69" s="24"/>
      <c r="V69" s="24"/>
      <c r="W69" s="24"/>
      <c r="X69" s="24" t="n">
        <f aca="false">ROUND((1-BD!X71/2.65)*100,2)</f>
        <v>34.3</v>
      </c>
      <c r="Y69" s="24" t="n">
        <f aca="false">ROUND((1-BD!Y71/2.65)*100,2)</f>
        <v>33.74</v>
      </c>
      <c r="Z69" s="24"/>
      <c r="AA69" s="24"/>
      <c r="AB69" s="24" t="n">
        <v>5</v>
      </c>
      <c r="AC69" s="24" t="n">
        <v>3</v>
      </c>
      <c r="AD69" s="24" t="n">
        <f aca="false">IF(AND(N(AB69)&gt;0,N(AC69)&gt;0),SQRT(2*AB69/AC69),"")</f>
        <v>1.82574185835055</v>
      </c>
      <c r="AE69" s="24" t="n">
        <v>16.5</v>
      </c>
      <c r="AF69" s="24" t="n">
        <v>5</v>
      </c>
      <c r="AG69" s="24" t="n">
        <v>46</v>
      </c>
      <c r="AH69" s="24" t="n">
        <v>863</v>
      </c>
      <c r="AI69" s="24" t="n">
        <v>29.067</v>
      </c>
      <c r="AJ69" s="24" t="n">
        <v>2</v>
      </c>
      <c r="AK69" s="24"/>
      <c r="AL69" s="24"/>
      <c r="AM69" s="24" t="n">
        <v>8.1</v>
      </c>
      <c r="AN69" s="24" t="n">
        <v>8.3</v>
      </c>
      <c r="AO69" s="24"/>
      <c r="AP69" s="24" t="n">
        <v>62</v>
      </c>
      <c r="AQ69" s="24" t="n">
        <v>20.5</v>
      </c>
      <c r="AR69" s="24" t="s">
        <v>2261</v>
      </c>
      <c r="AS69" s="24" t="s">
        <v>2184</v>
      </c>
      <c r="AT69" s="24" t="s">
        <v>2185</v>
      </c>
      <c r="AU69" s="24" t="s">
        <v>2186</v>
      </c>
      <c r="AV69" s="24" t="s">
        <v>2252</v>
      </c>
      <c r="AW69" s="25" t="s">
        <v>2264</v>
      </c>
      <c r="AX69" s="24" t="s">
        <v>1167</v>
      </c>
      <c r="AY69" s="24" t="s">
        <v>2263</v>
      </c>
    </row>
    <row r="70" customFormat="false" ht="14.25" hidden="false" customHeight="false" outlineLevel="0" collapsed="false">
      <c r="A70" s="24" t="n">
        <v>174</v>
      </c>
      <c r="B70" s="24" t="n">
        <v>174</v>
      </c>
      <c r="C70" s="24" t="s">
        <v>1152</v>
      </c>
      <c r="D70" s="24" t="n">
        <v>2017</v>
      </c>
      <c r="E70" s="24" t="s">
        <v>1153</v>
      </c>
      <c r="F70" s="24" t="s">
        <v>887</v>
      </c>
      <c r="G70" s="24" t="s">
        <v>1156</v>
      </c>
      <c r="H70" s="24" t="n">
        <v>29.067</v>
      </c>
      <c r="I70" s="24" t="n">
        <v>77.767</v>
      </c>
      <c r="J70" s="24" t="s">
        <v>83</v>
      </c>
      <c r="K70" s="24" t="s">
        <v>2183</v>
      </c>
      <c r="L70" s="24" t="s">
        <v>872</v>
      </c>
      <c r="M70" s="24" t="s">
        <v>85</v>
      </c>
      <c r="N70" s="24" t="s">
        <v>2050</v>
      </c>
      <c r="O70" s="24" t="s">
        <v>2108</v>
      </c>
      <c r="P70" s="24" t="n">
        <f aca="false">ROUND((1-BD!P72/2.65)*100,2)</f>
        <v>34</v>
      </c>
      <c r="Q70" s="24"/>
      <c r="R70" s="24" t="n">
        <f aca="false">ROUND((1-BD!R72/2.65)*100,2)</f>
        <v>34.19</v>
      </c>
      <c r="S70" s="24"/>
      <c r="T70" s="24"/>
      <c r="U70" s="24"/>
      <c r="V70" s="24"/>
      <c r="W70" s="24"/>
      <c r="X70" s="24" t="n">
        <f aca="false">ROUND((1-BD!X72/2.65)*100,2)</f>
        <v>33.4</v>
      </c>
      <c r="Y70" s="24" t="n">
        <f aca="false">ROUND((1-BD!Y72/2.65)*100,2)</f>
        <v>32.75</v>
      </c>
      <c r="Z70" s="24"/>
      <c r="AA70" s="24"/>
      <c r="AB70" s="24" t="n">
        <v>2</v>
      </c>
      <c r="AC70" s="24" t="n">
        <v>3</v>
      </c>
      <c r="AD70" s="24" t="n">
        <f aca="false">IF(AND(N(AB70)&gt;0,N(AC70)&gt;0),SQRT(2*AB70/AC70),"")</f>
        <v>1.15470053837925</v>
      </c>
      <c r="AE70" s="24" t="n">
        <v>16.5</v>
      </c>
      <c r="AF70" s="24" t="n">
        <v>5</v>
      </c>
      <c r="AG70" s="24" t="n">
        <v>46</v>
      </c>
      <c r="AH70" s="24" t="n">
        <v>863</v>
      </c>
      <c r="AI70" s="24" t="n">
        <v>29.067</v>
      </c>
      <c r="AJ70" s="24" t="n">
        <v>2</v>
      </c>
      <c r="AK70" s="24"/>
      <c r="AL70" s="24"/>
      <c r="AM70" s="24" t="n">
        <v>8.1</v>
      </c>
      <c r="AN70" s="24" t="n">
        <v>8.3</v>
      </c>
      <c r="AO70" s="24"/>
      <c r="AP70" s="24" t="n">
        <v>62</v>
      </c>
      <c r="AQ70" s="24" t="n">
        <v>20.5</v>
      </c>
      <c r="AR70" s="24" t="s">
        <v>2261</v>
      </c>
      <c r="AS70" s="24" t="s">
        <v>2184</v>
      </c>
      <c r="AT70" s="24" t="s">
        <v>2185</v>
      </c>
      <c r="AU70" s="24" t="s">
        <v>2186</v>
      </c>
      <c r="AV70" s="24" t="s">
        <v>2252</v>
      </c>
      <c r="AW70" s="25" t="s">
        <v>2265</v>
      </c>
      <c r="AX70" s="24" t="s">
        <v>1167</v>
      </c>
      <c r="AY70" s="24" t="s">
        <v>2263</v>
      </c>
    </row>
    <row r="71" customFormat="false" ht="14.25" hidden="false" customHeight="false" outlineLevel="0" collapsed="false">
      <c r="A71" s="24" t="n">
        <v>174</v>
      </c>
      <c r="B71" s="24" t="n">
        <v>174</v>
      </c>
      <c r="C71" s="24" t="s">
        <v>1152</v>
      </c>
      <c r="D71" s="24" t="n">
        <v>2017</v>
      </c>
      <c r="E71" s="24" t="s">
        <v>1153</v>
      </c>
      <c r="F71" s="24" t="s">
        <v>887</v>
      </c>
      <c r="G71" s="24" t="s">
        <v>1156</v>
      </c>
      <c r="H71" s="24" t="n">
        <v>29.067</v>
      </c>
      <c r="I71" s="24" t="n">
        <v>77.767</v>
      </c>
      <c r="J71" s="24" t="s">
        <v>83</v>
      </c>
      <c r="K71" s="24" t="s">
        <v>2183</v>
      </c>
      <c r="L71" s="24" t="s">
        <v>872</v>
      </c>
      <c r="M71" s="24" t="s">
        <v>85</v>
      </c>
      <c r="N71" s="24" t="s">
        <v>2050</v>
      </c>
      <c r="O71" s="24" t="s">
        <v>2108</v>
      </c>
      <c r="P71" s="24" t="n">
        <f aca="false">ROUND((1-BD!P73/2.65)*100,2)</f>
        <v>36.87</v>
      </c>
      <c r="Q71" s="24"/>
      <c r="R71" s="24" t="n">
        <f aca="false">ROUND((1-BD!R73/2.65)*100,2)</f>
        <v>36.49</v>
      </c>
      <c r="S71" s="24"/>
      <c r="T71" s="24"/>
      <c r="U71" s="24"/>
      <c r="V71" s="24"/>
      <c r="W71" s="24"/>
      <c r="X71" s="24" t="n">
        <f aca="false">ROUND((1-BD!X73/2.65)*100,2)</f>
        <v>33.4</v>
      </c>
      <c r="Y71" s="24" t="n">
        <f aca="false">ROUND((1-BD!Y73/2.65)*100,2)</f>
        <v>32.75</v>
      </c>
      <c r="Z71" s="24"/>
      <c r="AA71" s="24"/>
      <c r="AB71" s="24" t="n">
        <v>2</v>
      </c>
      <c r="AC71" s="24" t="n">
        <v>3</v>
      </c>
      <c r="AD71" s="24" t="n">
        <f aca="false">IF(AND(N(AB71)&gt;0,N(AC71)&gt;0),SQRT(2*AB71/AC71),"")</f>
        <v>1.15470053837925</v>
      </c>
      <c r="AE71" s="24" t="n">
        <v>16.5</v>
      </c>
      <c r="AF71" s="24" t="n">
        <v>5</v>
      </c>
      <c r="AG71" s="24" t="n">
        <v>46</v>
      </c>
      <c r="AH71" s="24" t="n">
        <v>863</v>
      </c>
      <c r="AI71" s="24" t="n">
        <v>29.067</v>
      </c>
      <c r="AJ71" s="24" t="n">
        <v>2</v>
      </c>
      <c r="AK71" s="24"/>
      <c r="AL71" s="24"/>
      <c r="AM71" s="24" t="n">
        <v>8.1</v>
      </c>
      <c r="AN71" s="24" t="n">
        <v>8.3</v>
      </c>
      <c r="AO71" s="24"/>
      <c r="AP71" s="24" t="n">
        <v>62</v>
      </c>
      <c r="AQ71" s="24" t="n">
        <v>20.5</v>
      </c>
      <c r="AR71" s="24" t="s">
        <v>2261</v>
      </c>
      <c r="AS71" s="24" t="s">
        <v>2184</v>
      </c>
      <c r="AT71" s="24" t="s">
        <v>2185</v>
      </c>
      <c r="AU71" s="24" t="s">
        <v>2186</v>
      </c>
      <c r="AV71" s="24" t="s">
        <v>2252</v>
      </c>
      <c r="AW71" s="25" t="s">
        <v>2266</v>
      </c>
      <c r="AX71" s="24" t="s">
        <v>1167</v>
      </c>
      <c r="AY71" s="24" t="s">
        <v>2263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2267</v>
      </c>
      <c r="Q1" s="27" t="s">
        <v>2268</v>
      </c>
      <c r="R1" s="27" t="s">
        <v>2269</v>
      </c>
      <c r="S1" s="27" t="s">
        <v>2270</v>
      </c>
      <c r="T1" s="27" t="s">
        <v>2271</v>
      </c>
      <c r="U1" s="27" t="s">
        <v>2272</v>
      </c>
      <c r="V1" s="27" t="s">
        <v>2273</v>
      </c>
      <c r="W1" s="27" t="s">
        <v>2274</v>
      </c>
      <c r="X1" s="30" t="s">
        <v>2275</v>
      </c>
      <c r="Y1" s="30" t="s">
        <v>2276</v>
      </c>
      <c r="Z1" s="30" t="s">
        <v>2277</v>
      </c>
      <c r="AA1" s="30" t="s">
        <v>2278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793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2279</v>
      </c>
      <c r="Q1" s="27" t="s">
        <v>2280</v>
      </c>
      <c r="R1" s="27" t="s">
        <v>2281</v>
      </c>
      <c r="S1" s="27" t="s">
        <v>2282</v>
      </c>
      <c r="T1" s="27" t="s">
        <v>2283</v>
      </c>
      <c r="U1" s="27" t="s">
        <v>2284</v>
      </c>
      <c r="V1" s="27" t="s">
        <v>2285</v>
      </c>
      <c r="W1" s="27" t="s">
        <v>2286</v>
      </c>
      <c r="X1" s="30" t="s">
        <v>2287</v>
      </c>
      <c r="Y1" s="30" t="s">
        <v>2288</v>
      </c>
      <c r="Z1" s="30" t="s">
        <v>2289</v>
      </c>
      <c r="AA1" s="30" t="s">
        <v>2290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793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2291</v>
      </c>
      <c r="Q1" s="27" t="s">
        <v>2292</v>
      </c>
      <c r="R1" s="27" t="s">
        <v>2293</v>
      </c>
      <c r="S1" s="27" t="s">
        <v>2294</v>
      </c>
      <c r="T1" s="27" t="s">
        <v>2295</v>
      </c>
      <c r="U1" s="27" t="s">
        <v>2296</v>
      </c>
      <c r="V1" s="27" t="s">
        <v>2297</v>
      </c>
      <c r="W1" s="27" t="s">
        <v>2298</v>
      </c>
      <c r="X1" s="30" t="s">
        <v>2299</v>
      </c>
      <c r="Y1" s="30" t="s">
        <v>2300</v>
      </c>
      <c r="Z1" s="30" t="s">
        <v>2301</v>
      </c>
      <c r="AA1" s="30" t="s">
        <v>2302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793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2303</v>
      </c>
      <c r="Q1" s="27" t="s">
        <v>2304</v>
      </c>
      <c r="R1" s="27" t="s">
        <v>2305</v>
      </c>
      <c r="S1" s="27" t="s">
        <v>2306</v>
      </c>
      <c r="T1" s="27" t="s">
        <v>2307</v>
      </c>
      <c r="U1" s="27" t="s">
        <v>2308</v>
      </c>
      <c r="V1" s="27" t="s">
        <v>2309</v>
      </c>
      <c r="W1" s="27" t="s">
        <v>2310</v>
      </c>
      <c r="X1" s="30" t="s">
        <v>2311</v>
      </c>
      <c r="Y1" s="30" t="s">
        <v>2312</v>
      </c>
      <c r="Z1" s="30" t="s">
        <v>2313</v>
      </c>
      <c r="AA1" s="30" t="s">
        <v>2314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1282</v>
      </c>
      <c r="AS2" s="18" t="s">
        <v>2044</v>
      </c>
      <c r="AT2" s="18" t="s">
        <v>2045</v>
      </c>
      <c r="AU2" s="18" t="s">
        <v>2046</v>
      </c>
      <c r="AV2" s="18" t="s">
        <v>2079</v>
      </c>
      <c r="AW2" s="32" t="s">
        <v>2315</v>
      </c>
      <c r="AX2" s="18" t="s">
        <v>928</v>
      </c>
      <c r="AY2" s="18" t="s">
        <v>2316</v>
      </c>
      <c r="BA2" s="33" t="s">
        <v>1282</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2050</v>
      </c>
      <c r="O3" s="18" t="s">
        <v>2051</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1282</v>
      </c>
      <c r="AS3" s="18" t="s">
        <v>2044</v>
      </c>
      <c r="AT3" s="18" t="s">
        <v>2045</v>
      </c>
      <c r="AU3" s="18" t="s">
        <v>2046</v>
      </c>
      <c r="AV3" s="18" t="s">
        <v>2079</v>
      </c>
      <c r="AW3" s="32" t="s">
        <v>2315</v>
      </c>
      <c r="AX3" s="18" t="s">
        <v>928</v>
      </c>
      <c r="AY3" s="18" t="s">
        <v>2316</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2318</v>
      </c>
      <c r="AS4" s="5" t="s">
        <v>2319</v>
      </c>
      <c r="AT4" s="5" t="s">
        <v>2320</v>
      </c>
      <c r="AU4" s="5" t="s">
        <v>2321</v>
      </c>
      <c r="AV4" s="5" t="s">
        <v>2322</v>
      </c>
      <c r="AW4" s="23" t="s">
        <v>2323</v>
      </c>
      <c r="AX4" s="5" t="s">
        <v>899</v>
      </c>
      <c r="AY4" s="5" t="s">
        <v>2324</v>
      </c>
    </row>
    <row r="5" customFormat="false" ht="1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2317</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2325</v>
      </c>
      <c r="AS5" s="5" t="s">
        <v>2319</v>
      </c>
      <c r="AT5" s="5" t="s">
        <v>2320</v>
      </c>
      <c r="AU5" s="5" t="s">
        <v>2321</v>
      </c>
      <c r="AV5" s="5" t="s">
        <v>2326</v>
      </c>
      <c r="AW5" s="23" t="s">
        <v>2327</v>
      </c>
      <c r="AX5" s="5" t="s">
        <v>899</v>
      </c>
      <c r="AY5" s="5" t="s">
        <v>2328</v>
      </c>
    </row>
    <row r="6" customFormat="false" ht="1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86</v>
      </c>
      <c r="O6" s="5" t="s">
        <v>2329</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2318</v>
      </c>
      <c r="AS6" s="5" t="s">
        <v>2319</v>
      </c>
      <c r="AT6" s="5" t="s">
        <v>2320</v>
      </c>
      <c r="AU6" s="5" t="s">
        <v>2321</v>
      </c>
      <c r="AV6" s="5" t="s">
        <v>2322</v>
      </c>
      <c r="AW6" s="23" t="s">
        <v>2323</v>
      </c>
      <c r="AX6" s="5" t="s">
        <v>899</v>
      </c>
      <c r="AY6" s="5" t="s">
        <v>2324</v>
      </c>
    </row>
    <row r="7" customFormat="false" ht="15" hidden="false" customHeight="true" outlineLevel="0" collapsed="false">
      <c r="A7" s="5" t="n">
        <v>166</v>
      </c>
      <c r="B7" s="5" t="n">
        <v>166</v>
      </c>
      <c r="C7" s="5" t="s">
        <v>883</v>
      </c>
      <c r="D7" s="5" t="n">
        <v>2014</v>
      </c>
      <c r="E7" s="5" t="s">
        <v>884</v>
      </c>
      <c r="F7" s="5" t="s">
        <v>887</v>
      </c>
      <c r="G7" s="5" t="s">
        <v>888</v>
      </c>
      <c r="H7" s="5" t="n">
        <v>29.067</v>
      </c>
      <c r="I7" s="5" t="n">
        <v>77.767</v>
      </c>
      <c r="J7" s="5" t="s">
        <v>83</v>
      </c>
      <c r="K7" s="5" t="n">
        <v>2011</v>
      </c>
      <c r="L7" s="5" t="s">
        <v>853</v>
      </c>
      <c r="M7" s="5" t="s">
        <v>85</v>
      </c>
      <c r="N7" s="5" t="s">
        <v>86</v>
      </c>
      <c r="O7" s="5" t="s">
        <v>2329</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2325</v>
      </c>
      <c r="AS7" s="5" t="s">
        <v>2319</v>
      </c>
      <c r="AT7" s="5" t="s">
        <v>2320</v>
      </c>
      <c r="AU7" s="5" t="s">
        <v>2321</v>
      </c>
      <c r="AV7" s="5" t="s">
        <v>2326</v>
      </c>
      <c r="AW7" s="23" t="s">
        <v>2327</v>
      </c>
      <c r="AX7" s="5" t="s">
        <v>899</v>
      </c>
      <c r="AY7" s="5" t="s">
        <v>2328</v>
      </c>
    </row>
    <row r="8" customFormat="false" ht="15" hidden="false" customHeight="true" outlineLevel="0" collapsed="false">
      <c r="A8" s="5" t="n">
        <v>166</v>
      </c>
      <c r="B8" s="5" t="n">
        <v>166</v>
      </c>
      <c r="C8" s="5" t="s">
        <v>883</v>
      </c>
      <c r="D8" s="5" t="n">
        <v>2014</v>
      </c>
      <c r="E8" s="5" t="s">
        <v>884</v>
      </c>
      <c r="F8" s="5" t="s">
        <v>887</v>
      </c>
      <c r="G8" s="5" t="s">
        <v>888</v>
      </c>
      <c r="H8" s="5" t="n">
        <v>29.067</v>
      </c>
      <c r="I8" s="5" t="n">
        <v>77.767</v>
      </c>
      <c r="J8" s="5" t="s">
        <v>83</v>
      </c>
      <c r="K8" s="5" t="n">
        <v>2011</v>
      </c>
      <c r="L8" s="5" t="s">
        <v>853</v>
      </c>
      <c r="M8" s="5" t="s">
        <v>85</v>
      </c>
      <c r="N8" s="5" t="s">
        <v>2050</v>
      </c>
      <c r="O8" s="5" t="s">
        <v>2051</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2318</v>
      </c>
      <c r="AS8" s="5" t="s">
        <v>2319</v>
      </c>
      <c r="AT8" s="5" t="s">
        <v>2320</v>
      </c>
      <c r="AU8" s="5" t="s">
        <v>2321</v>
      </c>
      <c r="AV8" s="5" t="s">
        <v>2322</v>
      </c>
      <c r="AW8" s="23" t="s">
        <v>2330</v>
      </c>
      <c r="AX8" s="5" t="s">
        <v>899</v>
      </c>
      <c r="AY8" s="5" t="s">
        <v>2324</v>
      </c>
    </row>
    <row r="9" customFormat="false" ht="15" hidden="false" customHeight="true" outlineLevel="0" collapsed="false">
      <c r="A9" s="5" t="n">
        <v>166</v>
      </c>
      <c r="B9" s="5" t="n">
        <v>166</v>
      </c>
      <c r="C9" s="5" t="s">
        <v>883</v>
      </c>
      <c r="D9" s="5" t="n">
        <v>2014</v>
      </c>
      <c r="E9" s="5" t="s">
        <v>884</v>
      </c>
      <c r="F9" s="5" t="s">
        <v>887</v>
      </c>
      <c r="G9" s="5" t="s">
        <v>888</v>
      </c>
      <c r="H9" s="5" t="n">
        <v>29.067</v>
      </c>
      <c r="I9" s="5" t="n">
        <v>77.767</v>
      </c>
      <c r="J9" s="5" t="s">
        <v>83</v>
      </c>
      <c r="K9" s="5" t="n">
        <v>2011</v>
      </c>
      <c r="L9" s="5" t="s">
        <v>853</v>
      </c>
      <c r="M9" s="5" t="s">
        <v>85</v>
      </c>
      <c r="N9" s="5" t="s">
        <v>2050</v>
      </c>
      <c r="O9" s="5" t="s">
        <v>2051</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2325</v>
      </c>
      <c r="AS9" s="5" t="s">
        <v>2319</v>
      </c>
      <c r="AT9" s="5" t="s">
        <v>2320</v>
      </c>
      <c r="AU9" s="5" t="s">
        <v>2321</v>
      </c>
      <c r="AV9" s="5" t="s">
        <v>2326</v>
      </c>
      <c r="AW9" s="23" t="s">
        <v>2331</v>
      </c>
      <c r="AX9" s="5" t="s">
        <v>899</v>
      </c>
      <c r="AY9" s="5" t="s">
        <v>2328</v>
      </c>
    </row>
    <row r="10" customFormat="false" ht="15" hidden="false" customHeight="true" outlineLevel="0" collapsed="false">
      <c r="A10" s="5" t="s">
        <v>982</v>
      </c>
      <c r="B10" s="5" t="s">
        <v>982</v>
      </c>
      <c r="C10" s="5" t="s">
        <v>983</v>
      </c>
      <c r="D10" s="5" t="n">
        <v>2023</v>
      </c>
      <c r="E10" s="5" t="s">
        <v>984</v>
      </c>
      <c r="F10" s="5" t="s">
        <v>987</v>
      </c>
      <c r="G10" s="5" t="s">
        <v>988</v>
      </c>
      <c r="H10" s="5" t="n">
        <v>35.27</v>
      </c>
      <c r="I10" s="5" t="n">
        <v>119.38</v>
      </c>
      <c r="J10" s="5" t="s">
        <v>921</v>
      </c>
      <c r="K10" s="5" t="n">
        <v>2020</v>
      </c>
      <c r="L10" s="5" t="s">
        <v>872</v>
      </c>
      <c r="M10" s="5"/>
      <c r="N10" s="5" t="s">
        <v>86</v>
      </c>
      <c r="O10" s="5" t="s">
        <v>2062</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1282</v>
      </c>
      <c r="AS10" s="5" t="s">
        <v>2063</v>
      </c>
      <c r="AT10" s="5" t="s">
        <v>2332</v>
      </c>
      <c r="AU10" s="5" t="s">
        <v>2065</v>
      </c>
      <c r="AV10" s="5" t="s">
        <v>2102</v>
      </c>
      <c r="AW10" s="23" t="s">
        <v>2333</v>
      </c>
      <c r="AX10" s="5" t="s">
        <v>998</v>
      </c>
      <c r="AY10" s="5" t="s">
        <v>2334</v>
      </c>
    </row>
    <row r="11" customFormat="false" ht="15" hidden="false" customHeight="true" outlineLevel="0" collapsed="false">
      <c r="A11" s="5" t="s">
        <v>982</v>
      </c>
      <c r="B11" s="5" t="s">
        <v>982</v>
      </c>
      <c r="C11" s="5" t="s">
        <v>983</v>
      </c>
      <c r="D11" s="5" t="n">
        <v>2023</v>
      </c>
      <c r="E11" s="5" t="s">
        <v>984</v>
      </c>
      <c r="F11" s="5" t="s">
        <v>987</v>
      </c>
      <c r="G11" s="5" t="s">
        <v>988</v>
      </c>
      <c r="H11" s="5" t="n">
        <v>35.27</v>
      </c>
      <c r="I11" s="5" t="n">
        <v>119.38</v>
      </c>
      <c r="J11" s="5" t="s">
        <v>921</v>
      </c>
      <c r="K11" s="5" t="n">
        <v>2020</v>
      </c>
      <c r="L11" s="5" t="s">
        <v>872</v>
      </c>
      <c r="M11" s="5"/>
      <c r="N11" s="5" t="s">
        <v>2050</v>
      </c>
      <c r="O11" s="5" t="s">
        <v>2071</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1282</v>
      </c>
      <c r="AS11" s="5" t="s">
        <v>2063</v>
      </c>
      <c r="AT11" s="5" t="s">
        <v>2332</v>
      </c>
      <c r="AU11" s="5" t="s">
        <v>2065</v>
      </c>
      <c r="AV11" s="5" t="s">
        <v>2102</v>
      </c>
      <c r="AW11" s="23" t="s">
        <v>2335</v>
      </c>
      <c r="AX11" s="5" t="s">
        <v>998</v>
      </c>
      <c r="AY11" s="5" t="s">
        <v>2334</v>
      </c>
    </row>
    <row r="12" customFormat="false" ht="15" hidden="false" customHeight="true" outlineLevel="0" collapsed="false">
      <c r="A12" s="5" t="s">
        <v>982</v>
      </c>
      <c r="B12" s="5" t="s">
        <v>982</v>
      </c>
      <c r="C12" s="5" t="s">
        <v>983</v>
      </c>
      <c r="D12" s="5" t="n">
        <v>2023</v>
      </c>
      <c r="E12" s="5" t="s">
        <v>984</v>
      </c>
      <c r="F12" s="5" t="s">
        <v>987</v>
      </c>
      <c r="G12" s="5" t="s">
        <v>988</v>
      </c>
      <c r="H12" s="5" t="n">
        <v>35.27</v>
      </c>
      <c r="I12" s="5" t="n">
        <v>119.38</v>
      </c>
      <c r="J12" s="5" t="s">
        <v>921</v>
      </c>
      <c r="K12" s="5" t="n">
        <v>2020</v>
      </c>
      <c r="L12" s="5" t="s">
        <v>872</v>
      </c>
      <c r="M12" s="5"/>
      <c r="N12" s="5" t="s">
        <v>2050</v>
      </c>
      <c r="O12" s="5" t="s">
        <v>2073</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1282</v>
      </c>
      <c r="AS12" s="5" t="s">
        <v>2063</v>
      </c>
      <c r="AT12" s="5" t="s">
        <v>2332</v>
      </c>
      <c r="AU12" s="5" t="s">
        <v>2065</v>
      </c>
      <c r="AV12" s="5" t="s">
        <v>2102</v>
      </c>
      <c r="AW12" s="23" t="s">
        <v>2336</v>
      </c>
      <c r="AX12" s="5" t="s">
        <v>998</v>
      </c>
      <c r="AY12" s="5" t="s">
        <v>2334</v>
      </c>
    </row>
    <row r="13" customFormat="false" ht="15" hidden="false" customHeight="true" outlineLevel="0" collapsed="false">
      <c r="A13" s="18" t="s">
        <v>938</v>
      </c>
      <c r="B13" s="18" t="s">
        <v>938</v>
      </c>
      <c r="C13" s="18" t="s">
        <v>939</v>
      </c>
      <c r="D13" s="18" t="n">
        <v>2019</v>
      </c>
      <c r="E13" s="18" t="s">
        <v>884</v>
      </c>
      <c r="F13" s="18" t="s">
        <v>942</v>
      </c>
      <c r="G13" s="18" t="s">
        <v>943</v>
      </c>
      <c r="H13" s="18" t="n">
        <v>29.7</v>
      </c>
      <c r="I13" s="18" t="n">
        <v>76.96</v>
      </c>
      <c r="J13" s="18" t="s">
        <v>83</v>
      </c>
      <c r="K13" s="18" t="n">
        <v>2013</v>
      </c>
      <c r="L13" s="18" t="s">
        <v>84</v>
      </c>
      <c r="M13" s="18" t="s">
        <v>85</v>
      </c>
      <c r="N13" s="18" t="s">
        <v>86</v>
      </c>
      <c r="O13" s="18" t="s">
        <v>2043</v>
      </c>
      <c r="P13" s="18" t="n">
        <v>2.44</v>
      </c>
      <c r="Q13" s="18" t="n">
        <v>1.48</v>
      </c>
      <c r="R13" s="18"/>
      <c r="S13" s="18"/>
      <c r="T13" s="18"/>
      <c r="U13" s="18"/>
      <c r="V13" s="18"/>
      <c r="W13" s="18"/>
      <c r="X13" s="18" t="n">
        <v>2.06</v>
      </c>
      <c r="Y13" s="18"/>
      <c r="Z13" s="18"/>
      <c r="AA13" s="18"/>
      <c r="AB13" s="18" t="n">
        <v>2</v>
      </c>
      <c r="AC13" s="18" t="n">
        <v>3</v>
      </c>
      <c r="AD13" s="18" t="n">
        <f aca="false">IF(AND(N(AB13)&gt;0,N(AC13)&gt;0),SQRT(2*AB13/AC13),"")</f>
        <v>1.15470053837925</v>
      </c>
      <c r="AE13" s="18"/>
      <c r="AF13" s="18" t="n">
        <v>2</v>
      </c>
      <c r="AG13" s="18" t="n">
        <v>42.5</v>
      </c>
      <c r="AH13" s="18" t="n">
        <v>700</v>
      </c>
      <c r="AI13" s="18" t="n">
        <v>29.7</v>
      </c>
      <c r="AJ13" s="18" t="n">
        <v>4</v>
      </c>
      <c r="AK13" s="18"/>
      <c r="AL13" s="18"/>
      <c r="AM13" s="18"/>
      <c r="AN13" s="18"/>
      <c r="AO13" s="18"/>
      <c r="AP13" s="18"/>
      <c r="AQ13" s="18"/>
      <c r="AR13" s="18" t="s">
        <v>1282</v>
      </c>
      <c r="AS13" s="18" t="s">
        <v>2337</v>
      </c>
      <c r="AT13" s="18" t="s">
        <v>2338</v>
      </c>
      <c r="AU13" s="18" t="s">
        <v>2339</v>
      </c>
      <c r="AV13" s="18" t="s">
        <v>91</v>
      </c>
      <c r="AW13" s="32" t="s">
        <v>2340</v>
      </c>
      <c r="AX13" s="18" t="s">
        <v>952</v>
      </c>
      <c r="AY13" s="18" t="s">
        <v>2341</v>
      </c>
    </row>
    <row r="14" customFormat="false" ht="15" hidden="false" customHeight="true" outlineLevel="0" collapsed="false">
      <c r="A14" s="18" t="s">
        <v>938</v>
      </c>
      <c r="B14" s="18" t="s">
        <v>938</v>
      </c>
      <c r="C14" s="18" t="s">
        <v>939</v>
      </c>
      <c r="D14" s="18" t="n">
        <v>2019</v>
      </c>
      <c r="E14" s="18" t="s">
        <v>884</v>
      </c>
      <c r="F14" s="18" t="s">
        <v>942</v>
      </c>
      <c r="G14" s="18" t="s">
        <v>943</v>
      </c>
      <c r="H14" s="18" t="n">
        <v>29.7</v>
      </c>
      <c r="I14" s="18" t="n">
        <v>76.96</v>
      </c>
      <c r="J14" s="18" t="s">
        <v>83</v>
      </c>
      <c r="K14" s="18" t="n">
        <v>2013</v>
      </c>
      <c r="L14" s="18" t="s">
        <v>84</v>
      </c>
      <c r="M14" s="18" t="s">
        <v>85</v>
      </c>
      <c r="N14" s="18" t="s">
        <v>2050</v>
      </c>
      <c r="O14" s="18" t="s">
        <v>2051</v>
      </c>
      <c r="P14" s="18" t="n">
        <v>1.34</v>
      </c>
      <c r="Q14" s="18" t="n">
        <v>1.27</v>
      </c>
      <c r="R14" s="18"/>
      <c r="S14" s="18"/>
      <c r="T14" s="18"/>
      <c r="U14" s="18"/>
      <c r="V14" s="18"/>
      <c r="W14" s="18"/>
      <c r="X14" s="18" t="n">
        <v>1.31</v>
      </c>
      <c r="Y14" s="18"/>
      <c r="Z14" s="18"/>
      <c r="AA14" s="18"/>
      <c r="AB14" s="18" t="n">
        <v>2</v>
      </c>
      <c r="AC14" s="18" t="n">
        <v>3</v>
      </c>
      <c r="AD14" s="18" t="n">
        <f aca="false">IF(AND(N(AB14)&gt;0,N(AC14)&gt;0),SQRT(2*AB14/AC14),"")</f>
        <v>1.15470053837925</v>
      </c>
      <c r="AE14" s="18"/>
      <c r="AF14" s="18" t="n">
        <v>2</v>
      </c>
      <c r="AG14" s="18" t="n">
        <v>42.5</v>
      </c>
      <c r="AH14" s="18" t="n">
        <v>700</v>
      </c>
      <c r="AI14" s="18" t="n">
        <v>29.7</v>
      </c>
      <c r="AJ14" s="18" t="n">
        <v>4</v>
      </c>
      <c r="AK14" s="18"/>
      <c r="AL14" s="18"/>
      <c r="AM14" s="18"/>
      <c r="AN14" s="18"/>
      <c r="AO14" s="18"/>
      <c r="AP14" s="18"/>
      <c r="AQ14" s="18"/>
      <c r="AR14" s="18" t="s">
        <v>1282</v>
      </c>
      <c r="AS14" s="18" t="s">
        <v>2337</v>
      </c>
      <c r="AT14" s="18" t="s">
        <v>2338</v>
      </c>
      <c r="AU14" s="18" t="s">
        <v>2339</v>
      </c>
      <c r="AV14" s="18" t="s">
        <v>91</v>
      </c>
      <c r="AW14" s="32" t="s">
        <v>2342</v>
      </c>
      <c r="AX14" s="18" t="s">
        <v>952</v>
      </c>
      <c r="AY14" s="18" t="s">
        <v>2341</v>
      </c>
    </row>
    <row r="15" customFormat="false" ht="15" hidden="false" customHeight="true" outlineLevel="0" collapsed="false">
      <c r="A15" s="18" t="s">
        <v>938</v>
      </c>
      <c r="B15" s="18" t="s">
        <v>938</v>
      </c>
      <c r="C15" s="18" t="s">
        <v>939</v>
      </c>
      <c r="D15" s="18" t="n">
        <v>2019</v>
      </c>
      <c r="E15" s="18" t="s">
        <v>884</v>
      </c>
      <c r="F15" s="18" t="s">
        <v>942</v>
      </c>
      <c r="G15" s="18" t="s">
        <v>943</v>
      </c>
      <c r="H15" s="18" t="n">
        <v>29.7</v>
      </c>
      <c r="I15" s="18" t="n">
        <v>76.96</v>
      </c>
      <c r="J15" s="18" t="s">
        <v>83</v>
      </c>
      <c r="K15" s="18" t="n">
        <v>2015</v>
      </c>
      <c r="L15" s="18" t="s">
        <v>84</v>
      </c>
      <c r="M15" s="18" t="s">
        <v>85</v>
      </c>
      <c r="N15" s="18" t="s">
        <v>86</v>
      </c>
      <c r="O15" s="18" t="s">
        <v>2043</v>
      </c>
      <c r="P15" s="18" t="n">
        <v>2.65</v>
      </c>
      <c r="Q15" s="18" t="n">
        <v>1.67</v>
      </c>
      <c r="R15" s="18"/>
      <c r="S15" s="18"/>
      <c r="T15" s="18"/>
      <c r="U15" s="18"/>
      <c r="V15" s="18"/>
      <c r="W15" s="18"/>
      <c r="X15" s="18" t="n">
        <v>2.2</v>
      </c>
      <c r="Y15" s="18"/>
      <c r="Z15" s="18"/>
      <c r="AA15" s="18"/>
      <c r="AB15" s="18" t="n">
        <v>2</v>
      </c>
      <c r="AC15" s="18" t="n">
        <v>3</v>
      </c>
      <c r="AD15" s="18" t="n">
        <f aca="false">IF(AND(N(AB15)&gt;0,N(AC15)&gt;0),SQRT(2*AB15/AC15),"")</f>
        <v>1.15470053837925</v>
      </c>
      <c r="AE15" s="18"/>
      <c r="AF15" s="18" t="n">
        <v>2</v>
      </c>
      <c r="AG15" s="18" t="n">
        <v>42.5</v>
      </c>
      <c r="AH15" s="18" t="n">
        <v>700</v>
      </c>
      <c r="AI15" s="18" t="n">
        <v>29.7</v>
      </c>
      <c r="AJ15" s="18" t="n">
        <v>6</v>
      </c>
      <c r="AK15" s="18"/>
      <c r="AL15" s="18"/>
      <c r="AM15" s="18"/>
      <c r="AN15" s="18"/>
      <c r="AO15" s="18"/>
      <c r="AP15" s="18"/>
      <c r="AQ15" s="18"/>
      <c r="AR15" s="18" t="s">
        <v>1282</v>
      </c>
      <c r="AS15" s="18" t="s">
        <v>2337</v>
      </c>
      <c r="AT15" s="18" t="s">
        <v>2343</v>
      </c>
      <c r="AU15" s="18" t="s">
        <v>2339</v>
      </c>
      <c r="AV15" s="18" t="s">
        <v>91</v>
      </c>
      <c r="AW15" s="32" t="s">
        <v>2344</v>
      </c>
      <c r="AX15" s="18" t="s">
        <v>952</v>
      </c>
      <c r="AY15" s="18" t="s">
        <v>2341</v>
      </c>
    </row>
    <row r="16" customFormat="false" ht="15" hidden="false" customHeight="true" outlineLevel="0" collapsed="false">
      <c r="A16" s="18" t="s">
        <v>938</v>
      </c>
      <c r="B16" s="18" t="s">
        <v>938</v>
      </c>
      <c r="C16" s="18" t="s">
        <v>939</v>
      </c>
      <c r="D16" s="18" t="n">
        <v>2019</v>
      </c>
      <c r="E16" s="18" t="s">
        <v>884</v>
      </c>
      <c r="F16" s="18" t="s">
        <v>942</v>
      </c>
      <c r="G16" s="18" t="s">
        <v>943</v>
      </c>
      <c r="H16" s="18" t="n">
        <v>29.7</v>
      </c>
      <c r="I16" s="18" t="n">
        <v>76.96</v>
      </c>
      <c r="J16" s="18" t="s">
        <v>83</v>
      </c>
      <c r="K16" s="18" t="n">
        <v>2015</v>
      </c>
      <c r="L16" s="18" t="s">
        <v>84</v>
      </c>
      <c r="M16" s="18" t="s">
        <v>85</v>
      </c>
      <c r="N16" s="18" t="s">
        <v>2050</v>
      </c>
      <c r="O16" s="18" t="s">
        <v>2051</v>
      </c>
      <c r="P16" s="18" t="n">
        <v>1.53</v>
      </c>
      <c r="Q16" s="18" t="n">
        <v>1.12</v>
      </c>
      <c r="R16" s="18"/>
      <c r="S16" s="18"/>
      <c r="T16" s="18"/>
      <c r="U16" s="18"/>
      <c r="V16" s="18"/>
      <c r="W16" s="18"/>
      <c r="X16" s="18" t="n">
        <v>1.56</v>
      </c>
      <c r="Y16" s="18"/>
      <c r="Z16" s="18"/>
      <c r="AA16" s="18"/>
      <c r="AB16" s="18" t="n">
        <v>2</v>
      </c>
      <c r="AC16" s="18" t="n">
        <v>3</v>
      </c>
      <c r="AD16" s="18" t="n">
        <f aca="false">IF(AND(N(AB16)&gt;0,N(AC16)&gt;0),SQRT(2*AB16/AC16),"")</f>
        <v>1.15470053837925</v>
      </c>
      <c r="AE16" s="18"/>
      <c r="AF16" s="18" t="n">
        <v>2</v>
      </c>
      <c r="AG16" s="18" t="n">
        <v>42.5</v>
      </c>
      <c r="AH16" s="18" t="n">
        <v>700</v>
      </c>
      <c r="AI16" s="18" t="n">
        <v>29.7</v>
      </c>
      <c r="AJ16" s="18" t="n">
        <v>6</v>
      </c>
      <c r="AK16" s="18"/>
      <c r="AL16" s="18"/>
      <c r="AM16" s="18"/>
      <c r="AN16" s="18"/>
      <c r="AO16" s="18"/>
      <c r="AP16" s="18"/>
      <c r="AQ16" s="18"/>
      <c r="AR16" s="18" t="s">
        <v>1282</v>
      </c>
      <c r="AS16" s="18" t="s">
        <v>2337</v>
      </c>
      <c r="AT16" s="18" t="s">
        <v>2343</v>
      </c>
      <c r="AU16" s="18" t="s">
        <v>2339</v>
      </c>
      <c r="AV16" s="18" t="s">
        <v>91</v>
      </c>
      <c r="AW16" s="32" t="s">
        <v>2345</v>
      </c>
      <c r="AX16" s="18" t="s">
        <v>952</v>
      </c>
      <c r="AY16" s="18" t="s">
        <v>2341</v>
      </c>
    </row>
    <row r="17" customFormat="false" ht="15" hidden="false" customHeight="true" outlineLevel="0" collapsed="false">
      <c r="A17" s="18" t="s">
        <v>965</v>
      </c>
      <c r="B17" s="18" t="s">
        <v>965</v>
      </c>
      <c r="C17" s="18" t="s">
        <v>966</v>
      </c>
      <c r="D17" s="18" t="n">
        <v>2020</v>
      </c>
      <c r="E17" s="18" t="s">
        <v>967</v>
      </c>
      <c r="F17" s="18" t="s">
        <v>866</v>
      </c>
      <c r="G17" s="18" t="s">
        <v>970</v>
      </c>
      <c r="H17" s="18" t="n">
        <v>28.4</v>
      </c>
      <c r="I17" s="18" t="n">
        <v>77.1</v>
      </c>
      <c r="J17" s="18" t="s">
        <v>83</v>
      </c>
      <c r="K17" s="18" t="s">
        <v>2075</v>
      </c>
      <c r="L17" s="18" t="s">
        <v>853</v>
      </c>
      <c r="M17" s="18" t="s">
        <v>85</v>
      </c>
      <c r="N17" s="18" t="s">
        <v>86</v>
      </c>
      <c r="O17" s="18" t="s">
        <v>2043</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1282</v>
      </c>
      <c r="AS17" s="18" t="s">
        <v>2076</v>
      </c>
      <c r="AT17" s="18" t="s">
        <v>2077</v>
      </c>
      <c r="AU17" s="18" t="s">
        <v>2078</v>
      </c>
      <c r="AV17" s="18" t="s">
        <v>2079</v>
      </c>
      <c r="AW17" s="32" t="s">
        <v>2346</v>
      </c>
      <c r="AX17" s="18" t="s">
        <v>979</v>
      </c>
      <c r="AY17" s="18" t="s">
        <v>2347</v>
      </c>
    </row>
    <row r="18" customFormat="false" ht="15" hidden="false" customHeight="true" outlineLevel="0" collapsed="false">
      <c r="A18" s="18" t="s">
        <v>965</v>
      </c>
      <c r="B18" s="18" t="s">
        <v>965</v>
      </c>
      <c r="C18" s="18" t="s">
        <v>966</v>
      </c>
      <c r="D18" s="18" t="n">
        <v>2020</v>
      </c>
      <c r="E18" s="18" t="s">
        <v>967</v>
      </c>
      <c r="F18" s="18" t="s">
        <v>866</v>
      </c>
      <c r="G18" s="18" t="s">
        <v>970</v>
      </c>
      <c r="H18" s="18" t="n">
        <v>28.4</v>
      </c>
      <c r="I18" s="18" t="n">
        <v>77.1</v>
      </c>
      <c r="J18" s="18" t="s">
        <v>83</v>
      </c>
      <c r="K18" s="18" t="s">
        <v>2075</v>
      </c>
      <c r="L18" s="18" t="s">
        <v>853</v>
      </c>
      <c r="M18" s="18" t="s">
        <v>85</v>
      </c>
      <c r="N18" s="18" t="s">
        <v>86</v>
      </c>
      <c r="O18" s="18" t="s">
        <v>2043</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1282</v>
      </c>
      <c r="AS18" s="18" t="s">
        <v>2082</v>
      </c>
      <c r="AT18" s="18" t="s">
        <v>2077</v>
      </c>
      <c r="AU18" s="18" t="s">
        <v>2078</v>
      </c>
      <c r="AV18" s="18" t="s">
        <v>2079</v>
      </c>
      <c r="AW18" s="32" t="s">
        <v>2348</v>
      </c>
      <c r="AX18" s="18" t="s">
        <v>979</v>
      </c>
      <c r="AY18" s="18" t="s">
        <v>2347</v>
      </c>
    </row>
    <row r="19" customFormat="false" ht="15" hidden="false" customHeight="true" outlineLevel="0" collapsed="false">
      <c r="A19" s="18" t="s">
        <v>965</v>
      </c>
      <c r="B19" s="18" t="s">
        <v>965</v>
      </c>
      <c r="C19" s="18" t="s">
        <v>966</v>
      </c>
      <c r="D19" s="18" t="n">
        <v>2020</v>
      </c>
      <c r="E19" s="18" t="s">
        <v>967</v>
      </c>
      <c r="F19" s="18" t="s">
        <v>866</v>
      </c>
      <c r="G19" s="18" t="s">
        <v>970</v>
      </c>
      <c r="H19" s="18" t="n">
        <v>28.4</v>
      </c>
      <c r="I19" s="18" t="n">
        <v>77.1</v>
      </c>
      <c r="J19" s="18" t="s">
        <v>83</v>
      </c>
      <c r="K19" s="18" t="s">
        <v>2075</v>
      </c>
      <c r="L19" s="18" t="s">
        <v>853</v>
      </c>
      <c r="M19" s="18" t="s">
        <v>85</v>
      </c>
      <c r="N19" s="18" t="s">
        <v>86</v>
      </c>
      <c r="O19" s="18" t="s">
        <v>2043</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1282</v>
      </c>
      <c r="AS19" s="18" t="s">
        <v>2084</v>
      </c>
      <c r="AT19" s="18" t="s">
        <v>2077</v>
      </c>
      <c r="AU19" s="18" t="s">
        <v>2078</v>
      </c>
      <c r="AV19" s="18" t="s">
        <v>2079</v>
      </c>
      <c r="AW19" s="32" t="s">
        <v>2349</v>
      </c>
      <c r="AX19" s="18" t="s">
        <v>979</v>
      </c>
      <c r="AY19" s="18" t="s">
        <v>2347</v>
      </c>
    </row>
    <row r="20" customFormat="false" ht="14.25" hidden="false" customHeight="true" outlineLevel="0" collapsed="false">
      <c r="A20" s="18" t="s">
        <v>965</v>
      </c>
      <c r="B20" s="18" t="s">
        <v>965</v>
      </c>
      <c r="C20" s="18" t="s">
        <v>966</v>
      </c>
      <c r="D20" s="18" t="n">
        <v>2020</v>
      </c>
      <c r="E20" s="18" t="s">
        <v>967</v>
      </c>
      <c r="F20" s="18" t="s">
        <v>866</v>
      </c>
      <c r="G20" s="18" t="s">
        <v>970</v>
      </c>
      <c r="H20" s="18" t="n">
        <v>28.4</v>
      </c>
      <c r="I20" s="18" t="n">
        <v>77.1</v>
      </c>
      <c r="J20" s="18" t="s">
        <v>83</v>
      </c>
      <c r="K20" s="18" t="s">
        <v>2075</v>
      </c>
      <c r="L20" s="18" t="s">
        <v>853</v>
      </c>
      <c r="M20" s="18" t="s">
        <v>85</v>
      </c>
      <c r="N20" s="18" t="s">
        <v>86</v>
      </c>
      <c r="O20" s="18" t="s">
        <v>2043</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1282</v>
      </c>
      <c r="AS20" s="18" t="s">
        <v>2086</v>
      </c>
      <c r="AT20" s="18" t="s">
        <v>2077</v>
      </c>
      <c r="AU20" s="18" t="s">
        <v>2078</v>
      </c>
      <c r="AV20" s="18" t="s">
        <v>2079</v>
      </c>
      <c r="AW20" s="32" t="s">
        <v>2350</v>
      </c>
      <c r="AX20" s="18" t="s">
        <v>979</v>
      </c>
      <c r="AY20" s="18" t="s">
        <v>2347</v>
      </c>
    </row>
    <row r="21" customFormat="false" ht="14.25" hidden="false" customHeight="true" outlineLevel="0" collapsed="false">
      <c r="A21" s="18" t="s">
        <v>965</v>
      </c>
      <c r="B21" s="18" t="s">
        <v>965</v>
      </c>
      <c r="C21" s="18" t="s">
        <v>966</v>
      </c>
      <c r="D21" s="18" t="n">
        <v>2020</v>
      </c>
      <c r="E21" s="18" t="s">
        <v>967</v>
      </c>
      <c r="F21" s="18" t="s">
        <v>866</v>
      </c>
      <c r="G21" s="18" t="s">
        <v>970</v>
      </c>
      <c r="H21" s="18" t="n">
        <v>28.4</v>
      </c>
      <c r="I21" s="18" t="n">
        <v>77.1</v>
      </c>
      <c r="J21" s="18" t="s">
        <v>83</v>
      </c>
      <c r="K21" s="18" t="s">
        <v>2075</v>
      </c>
      <c r="L21" s="18" t="s">
        <v>853</v>
      </c>
      <c r="M21" s="18" t="s">
        <v>85</v>
      </c>
      <c r="N21" s="18" t="s">
        <v>86</v>
      </c>
      <c r="O21" s="18" t="s">
        <v>2043</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1282</v>
      </c>
      <c r="AS21" s="18" t="s">
        <v>2088</v>
      </c>
      <c r="AT21" s="18" t="s">
        <v>2077</v>
      </c>
      <c r="AU21" s="18" t="s">
        <v>2078</v>
      </c>
      <c r="AV21" s="18" t="s">
        <v>2079</v>
      </c>
      <c r="AW21" s="32" t="s">
        <v>2351</v>
      </c>
      <c r="AX21" s="18" t="s">
        <v>979</v>
      </c>
      <c r="AY21" s="18" t="s">
        <v>2347</v>
      </c>
    </row>
    <row r="22" customFormat="false" ht="14.25" hidden="false" customHeight="true" outlineLevel="0" collapsed="false">
      <c r="A22" s="18" t="s">
        <v>965</v>
      </c>
      <c r="B22" s="18" t="s">
        <v>965</v>
      </c>
      <c r="C22" s="18" t="s">
        <v>966</v>
      </c>
      <c r="D22" s="18" t="n">
        <v>2020</v>
      </c>
      <c r="E22" s="18" t="s">
        <v>967</v>
      </c>
      <c r="F22" s="18" t="s">
        <v>866</v>
      </c>
      <c r="G22" s="18" t="s">
        <v>970</v>
      </c>
      <c r="H22" s="18" t="n">
        <v>28.4</v>
      </c>
      <c r="I22" s="18" t="n">
        <v>77.1</v>
      </c>
      <c r="J22" s="18" t="s">
        <v>83</v>
      </c>
      <c r="K22" s="18" t="s">
        <v>2075</v>
      </c>
      <c r="L22" s="18" t="s">
        <v>853</v>
      </c>
      <c r="M22" s="18" t="s">
        <v>85</v>
      </c>
      <c r="N22" s="18" t="s">
        <v>86</v>
      </c>
      <c r="O22" s="18" t="s">
        <v>2043</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1282</v>
      </c>
      <c r="AS22" s="18" t="s">
        <v>2090</v>
      </c>
      <c r="AT22" s="18" t="s">
        <v>2077</v>
      </c>
      <c r="AU22" s="18" t="s">
        <v>2078</v>
      </c>
      <c r="AV22" s="18" t="s">
        <v>2079</v>
      </c>
      <c r="AW22" s="32" t="s">
        <v>2352</v>
      </c>
      <c r="AX22" s="18" t="s">
        <v>979</v>
      </c>
      <c r="AY22" s="18" t="s">
        <v>2347</v>
      </c>
    </row>
    <row r="23" customFormat="false" ht="14.25" hidden="false" customHeight="true" outlineLevel="0" collapsed="false">
      <c r="A23" s="18" t="s">
        <v>965</v>
      </c>
      <c r="B23" s="18" t="s">
        <v>965</v>
      </c>
      <c r="C23" s="18" t="s">
        <v>966</v>
      </c>
      <c r="D23" s="18" t="n">
        <v>2020</v>
      </c>
      <c r="E23" s="18" t="s">
        <v>967</v>
      </c>
      <c r="F23" s="18" t="s">
        <v>866</v>
      </c>
      <c r="G23" s="18" t="s">
        <v>970</v>
      </c>
      <c r="H23" s="18" t="n">
        <v>28.4</v>
      </c>
      <c r="I23" s="18" t="n">
        <v>77.1</v>
      </c>
      <c r="J23" s="18" t="s">
        <v>83</v>
      </c>
      <c r="K23" s="18" t="s">
        <v>2075</v>
      </c>
      <c r="L23" s="18" t="s">
        <v>853</v>
      </c>
      <c r="M23" s="18" t="s">
        <v>85</v>
      </c>
      <c r="N23" s="18" t="s">
        <v>86</v>
      </c>
      <c r="O23" s="18" t="s">
        <v>2043</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1282</v>
      </c>
      <c r="AS23" s="18" t="s">
        <v>2092</v>
      </c>
      <c r="AT23" s="18" t="s">
        <v>2077</v>
      </c>
      <c r="AU23" s="18" t="s">
        <v>2078</v>
      </c>
      <c r="AV23" s="18" t="s">
        <v>2079</v>
      </c>
      <c r="AW23" s="32" t="s">
        <v>2353</v>
      </c>
      <c r="AX23" s="18" t="s">
        <v>979</v>
      </c>
      <c r="AY23" s="18" t="s">
        <v>2347</v>
      </c>
    </row>
    <row r="24" customFormat="false" ht="14.25" hidden="false" customHeight="true" outlineLevel="0" collapsed="false">
      <c r="A24" s="18" t="s">
        <v>965</v>
      </c>
      <c r="B24" s="18" t="s">
        <v>965</v>
      </c>
      <c r="C24" s="18" t="s">
        <v>966</v>
      </c>
      <c r="D24" s="18" t="n">
        <v>2020</v>
      </c>
      <c r="E24" s="18" t="s">
        <v>967</v>
      </c>
      <c r="F24" s="18" t="s">
        <v>866</v>
      </c>
      <c r="G24" s="18" t="s">
        <v>970</v>
      </c>
      <c r="H24" s="18" t="n">
        <v>28.4</v>
      </c>
      <c r="I24" s="18" t="n">
        <v>77.1</v>
      </c>
      <c r="J24" s="18" t="s">
        <v>83</v>
      </c>
      <c r="K24" s="18" t="s">
        <v>2075</v>
      </c>
      <c r="L24" s="18" t="s">
        <v>853</v>
      </c>
      <c r="M24" s="18" t="s">
        <v>85</v>
      </c>
      <c r="N24" s="18" t="s">
        <v>86</v>
      </c>
      <c r="O24" s="18" t="s">
        <v>2043</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1282</v>
      </c>
      <c r="AS24" s="18" t="s">
        <v>2094</v>
      </c>
      <c r="AT24" s="18" t="s">
        <v>2077</v>
      </c>
      <c r="AU24" s="18" t="s">
        <v>2078</v>
      </c>
      <c r="AV24" s="18" t="s">
        <v>2079</v>
      </c>
      <c r="AW24" s="32" t="s">
        <v>2354</v>
      </c>
      <c r="AX24" s="18" t="s">
        <v>979</v>
      </c>
      <c r="AY24" s="18" t="s">
        <v>2347</v>
      </c>
    </row>
    <row r="25" customFormat="false" ht="14.25" hidden="false" customHeight="true" outlineLevel="0" collapsed="false">
      <c r="A25" s="5" t="s">
        <v>1018</v>
      </c>
      <c r="B25" s="5" t="s">
        <v>1018</v>
      </c>
      <c r="C25" s="5" t="s">
        <v>1019</v>
      </c>
      <c r="D25" s="5" t="n">
        <v>2011</v>
      </c>
      <c r="E25" s="5" t="s">
        <v>1020</v>
      </c>
      <c r="F25" s="5" t="s">
        <v>887</v>
      </c>
      <c r="G25" s="5" t="s">
        <v>1023</v>
      </c>
      <c r="H25" s="5" t="n">
        <v>29.017</v>
      </c>
      <c r="I25" s="5" t="n">
        <v>77.75</v>
      </c>
      <c r="J25" s="5" t="s">
        <v>83</v>
      </c>
      <c r="K25" s="5" t="s">
        <v>2355</v>
      </c>
      <c r="L25" s="5" t="s">
        <v>84</v>
      </c>
      <c r="M25" s="5" t="s">
        <v>85</v>
      </c>
      <c r="N25" s="5" t="s">
        <v>86</v>
      </c>
      <c r="O25" s="5" t="s">
        <v>2043</v>
      </c>
      <c r="P25" s="5"/>
      <c r="Q25" s="5" t="n">
        <f aca="false">ROUND(6.375*8.4/100+3.375*9.4/100+1.5*7.4/100+0.75*10/100+0.375*14.8/100+0.18*27.2/100+0.055*13.1/100,2)</f>
        <v>1.15</v>
      </c>
      <c r="R25" s="5" t="n">
        <f aca="false">ROUND(6.375*22.4/100+3.375*16.2/100+1.5*13/100+0.75*8.9/100+0.375*14.5/100+0.18*14.2/100+0.055*5.6/100,2)</f>
        <v>2.32</v>
      </c>
      <c r="S25" s="5"/>
      <c r="T25" s="5"/>
      <c r="U25" s="5" t="n">
        <f aca="false">ROUND(6.375*20.1/100+3.375*12/100+1.5*11.6/100+0.75*10/100+0.375*16.6/100+0.18*19.2/100+0.055*6.4/100,2)</f>
        <v>2.04</v>
      </c>
      <c r="V25" s="5"/>
      <c r="W25" s="5"/>
      <c r="X25" s="5"/>
      <c r="Y25" s="5" t="n">
        <f aca="false">ROUND(6.375*10.4/100+3.375*7.3/100+1.5*4.9/100+0.75*6.6/100+0.375*21.7/100+0.18*23.2/100+0.055*14.2/100,2)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2356</v>
      </c>
      <c r="AS25" s="5" t="s">
        <v>2099</v>
      </c>
      <c r="AT25" s="5" t="s">
        <v>2357</v>
      </c>
      <c r="AU25" s="5" t="s">
        <v>2101</v>
      </c>
      <c r="AV25" s="5" t="s">
        <v>2358</v>
      </c>
      <c r="AW25" s="23" t="s">
        <v>2359</v>
      </c>
      <c r="AX25" s="5" t="s">
        <v>1038</v>
      </c>
      <c r="AY25" s="5" t="s">
        <v>2360</v>
      </c>
    </row>
    <row r="26" customFormat="false" ht="14.25" hidden="false" customHeight="true" outlineLevel="0" collapsed="false">
      <c r="A26" s="5" t="s">
        <v>1018</v>
      </c>
      <c r="B26" s="5" t="s">
        <v>1018</v>
      </c>
      <c r="C26" s="5" t="s">
        <v>1019</v>
      </c>
      <c r="D26" s="5" t="n">
        <v>2011</v>
      </c>
      <c r="E26" s="5" t="s">
        <v>1020</v>
      </c>
      <c r="F26" s="5" t="s">
        <v>887</v>
      </c>
      <c r="G26" s="5" t="s">
        <v>1023</v>
      </c>
      <c r="H26" s="5" t="n">
        <v>29.017</v>
      </c>
      <c r="I26" s="5" t="n">
        <v>77.75</v>
      </c>
      <c r="J26" s="5" t="s">
        <v>83</v>
      </c>
      <c r="K26" s="5" t="s">
        <v>2355</v>
      </c>
      <c r="L26" s="5" t="s">
        <v>84</v>
      </c>
      <c r="M26" s="5" t="s">
        <v>85</v>
      </c>
      <c r="N26" s="5" t="s">
        <v>86</v>
      </c>
      <c r="O26" s="5" t="s">
        <v>2043</v>
      </c>
      <c r="P26" s="5"/>
      <c r="Q26" s="5" t="n">
        <f aca="false">ROUND(6.375*8.4/100+3.375*9.4/100+1.5*7.4/100+0.75*10/100+0.375*14.8/100+0.18*27.2/100+0.055*13.1/100,2)</f>
        <v>1.15</v>
      </c>
      <c r="R26" s="5" t="n">
        <f aca="false">ROUND(6.375*19/100+3.375*13.6/100+1.5*12.1/100+0.75*10/100+0.375*17.6/100+0.18*15.3/100+0.055*3.6/100,2)</f>
        <v>2.02</v>
      </c>
      <c r="S26" s="5"/>
      <c r="T26" s="5"/>
      <c r="U26" s="5" t="n">
        <f aca="false">ROUND(6.375*16.6/100+3.375*12.2/100+1.5*11.9/100+0.75*10/100+0.375*17.8/100+0.18*13.9/100+0.055*4.4/100,2)</f>
        <v>1.82</v>
      </c>
      <c r="V26" s="5"/>
      <c r="W26" s="5"/>
      <c r="X26" s="5"/>
      <c r="Y26" s="5" t="n">
        <f aca="false">ROUND(6.375*10.4/100+3.375*7.3/100+1.5*4.9/100+0.75*6.6/100+0.375*21.7/100+0.18*23.2/100+0.055*14.2/100,2)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2356</v>
      </c>
      <c r="AS26" s="5" t="s">
        <v>2099</v>
      </c>
      <c r="AT26" s="5" t="s">
        <v>2357</v>
      </c>
      <c r="AU26" s="5" t="s">
        <v>2101</v>
      </c>
      <c r="AV26" s="5" t="s">
        <v>2358</v>
      </c>
      <c r="AW26" s="23" t="s">
        <v>2361</v>
      </c>
      <c r="AX26" s="5" t="s">
        <v>1038</v>
      </c>
      <c r="AY26" s="5" t="s">
        <v>2360</v>
      </c>
    </row>
    <row r="27" customFormat="false" ht="14.25" hidden="false" customHeight="false" outlineLevel="0" collapsed="false">
      <c r="A27" s="24" t="n">
        <v>174</v>
      </c>
      <c r="B27" s="24" t="n">
        <v>174</v>
      </c>
      <c r="C27" s="24" t="s">
        <v>1152</v>
      </c>
      <c r="D27" s="24" t="n">
        <v>2017</v>
      </c>
      <c r="E27" s="24" t="s">
        <v>1153</v>
      </c>
      <c r="F27" s="24" t="s">
        <v>887</v>
      </c>
      <c r="G27" s="24" t="s">
        <v>1156</v>
      </c>
      <c r="H27" s="24" t="n">
        <v>29.067</v>
      </c>
      <c r="I27" s="24" t="n">
        <v>77.767</v>
      </c>
      <c r="J27" s="24" t="s">
        <v>83</v>
      </c>
      <c r="K27" s="24" t="s">
        <v>2183</v>
      </c>
      <c r="L27" s="24" t="s">
        <v>872</v>
      </c>
      <c r="M27" s="24" t="s">
        <v>85</v>
      </c>
      <c r="N27" s="24" t="s">
        <v>86</v>
      </c>
      <c r="O27" s="24" t="s">
        <v>2043</v>
      </c>
      <c r="P27" s="24" t="n">
        <v>1.636</v>
      </c>
      <c r="Q27" s="24"/>
      <c r="R27" s="24" t="n">
        <v>1.55</v>
      </c>
      <c r="S27" s="24"/>
      <c r="T27" s="24"/>
      <c r="U27" s="24"/>
      <c r="V27" s="24"/>
      <c r="W27" s="24"/>
      <c r="X27" s="24" t="n">
        <v>1.615</v>
      </c>
      <c r="Y27" s="24" t="n">
        <v>1.521</v>
      </c>
      <c r="Z27" s="24"/>
      <c r="AA27" s="24"/>
      <c r="AB27" s="24" t="n">
        <v>2</v>
      </c>
      <c r="AC27" s="24" t="n">
        <v>3</v>
      </c>
      <c r="AD27" s="24" t="n">
        <f aca="false">IF(AND(N(AB27)&gt;0,N(AC27)&gt;0),SQRT(2*AB27/AC27),"")</f>
        <v>1.15470053837925</v>
      </c>
      <c r="AE27" s="24" t="n">
        <v>16.5</v>
      </c>
      <c r="AF27" s="24" t="n">
        <v>5</v>
      </c>
      <c r="AG27" s="24" t="n">
        <v>46</v>
      </c>
      <c r="AH27" s="24" t="n">
        <v>863</v>
      </c>
      <c r="AI27" s="24" t="n">
        <v>29.067</v>
      </c>
      <c r="AJ27" s="24" t="n">
        <v>2</v>
      </c>
      <c r="AK27" s="24"/>
      <c r="AL27" s="24"/>
      <c r="AM27" s="24" t="n">
        <v>8.1</v>
      </c>
      <c r="AN27" s="24" t="n">
        <v>8.3</v>
      </c>
      <c r="AO27" s="24"/>
      <c r="AP27" s="24" t="n">
        <v>62</v>
      </c>
      <c r="AQ27" s="24" t="n">
        <v>20.5</v>
      </c>
      <c r="AR27" s="24" t="s">
        <v>1282</v>
      </c>
      <c r="AS27" s="24" t="s">
        <v>2184</v>
      </c>
      <c r="AT27" s="24" t="s">
        <v>2185</v>
      </c>
      <c r="AU27" s="24" t="s">
        <v>2186</v>
      </c>
      <c r="AV27" s="24" t="s">
        <v>2362</v>
      </c>
      <c r="AW27" s="25" t="s">
        <v>2363</v>
      </c>
      <c r="AX27" s="24" t="s">
        <v>1167</v>
      </c>
      <c r="AY27" s="24" t="s">
        <v>2364</v>
      </c>
    </row>
    <row r="28" customFormat="false" ht="14.25" hidden="false" customHeight="false" outlineLevel="0" collapsed="false">
      <c r="A28" s="24" t="n">
        <v>174</v>
      </c>
      <c r="B28" s="24" t="n">
        <v>174</v>
      </c>
      <c r="C28" s="24" t="s">
        <v>1152</v>
      </c>
      <c r="D28" s="24" t="n">
        <v>2017</v>
      </c>
      <c r="E28" s="24" t="s">
        <v>1153</v>
      </c>
      <c r="F28" s="24" t="s">
        <v>887</v>
      </c>
      <c r="G28" s="24" t="s">
        <v>1156</v>
      </c>
      <c r="H28" s="24" t="n">
        <v>29.067</v>
      </c>
      <c r="I28" s="24" t="n">
        <v>77.767</v>
      </c>
      <c r="J28" s="24" t="s">
        <v>83</v>
      </c>
      <c r="K28" s="24" t="s">
        <v>2183</v>
      </c>
      <c r="L28" s="24" t="s">
        <v>872</v>
      </c>
      <c r="M28" s="24" t="s">
        <v>85</v>
      </c>
      <c r="N28" s="24" t="s">
        <v>86</v>
      </c>
      <c r="O28" s="24" t="s">
        <v>2043</v>
      </c>
      <c r="P28" s="24" t="n">
        <v>2.091</v>
      </c>
      <c r="Q28" s="24"/>
      <c r="R28" s="24" t="n">
        <v>1.701</v>
      </c>
      <c r="S28" s="24"/>
      <c r="T28" s="24"/>
      <c r="U28" s="24"/>
      <c r="V28" s="24"/>
      <c r="W28" s="24"/>
      <c r="X28" s="24" t="n">
        <v>1.615</v>
      </c>
      <c r="Y28" s="24" t="n">
        <v>1.521</v>
      </c>
      <c r="Z28" s="24"/>
      <c r="AA28" s="24"/>
      <c r="AB28" s="24" t="n">
        <v>2</v>
      </c>
      <c r="AC28" s="24" t="n">
        <v>3</v>
      </c>
      <c r="AD28" s="24" t="n">
        <f aca="false">IF(AND(N(AB28)&gt;0,N(AC28)&gt;0),SQRT(2*AB28/AC28),"")</f>
        <v>1.15470053837925</v>
      </c>
      <c r="AE28" s="24" t="n">
        <v>16.5</v>
      </c>
      <c r="AF28" s="24" t="n">
        <v>5</v>
      </c>
      <c r="AG28" s="24" t="n">
        <v>46</v>
      </c>
      <c r="AH28" s="24" t="n">
        <v>863</v>
      </c>
      <c r="AI28" s="24" t="n">
        <v>29.067</v>
      </c>
      <c r="AJ28" s="24" t="n">
        <v>2</v>
      </c>
      <c r="AK28" s="24"/>
      <c r="AL28" s="24"/>
      <c r="AM28" s="24" t="n">
        <v>8.1</v>
      </c>
      <c r="AN28" s="24" t="n">
        <v>8.3</v>
      </c>
      <c r="AO28" s="24"/>
      <c r="AP28" s="24" t="n">
        <v>62</v>
      </c>
      <c r="AQ28" s="24" t="n">
        <v>20.5</v>
      </c>
      <c r="AR28" s="24" t="s">
        <v>1282</v>
      </c>
      <c r="AS28" s="24" t="s">
        <v>2184</v>
      </c>
      <c r="AT28" s="24" t="s">
        <v>2185</v>
      </c>
      <c r="AU28" s="24" t="s">
        <v>2186</v>
      </c>
      <c r="AV28" s="24" t="s">
        <v>2362</v>
      </c>
      <c r="AW28" s="25" t="s">
        <v>2365</v>
      </c>
      <c r="AX28" s="24" t="s">
        <v>1167</v>
      </c>
      <c r="AY28" s="24" t="s">
        <v>2364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2366</v>
      </c>
      <c r="Q1" s="27" t="s">
        <v>2367</v>
      </c>
      <c r="R1" s="27" t="s">
        <v>2368</v>
      </c>
      <c r="S1" s="27" t="s">
        <v>2369</v>
      </c>
      <c r="T1" s="27" t="s">
        <v>2370</v>
      </c>
      <c r="U1" s="27" t="s">
        <v>2371</v>
      </c>
      <c r="V1" s="27" t="s">
        <v>2372</v>
      </c>
      <c r="W1" s="27" t="s">
        <v>2373</v>
      </c>
      <c r="X1" s="30" t="s">
        <v>2374</v>
      </c>
      <c r="Y1" s="30" t="s">
        <v>2375</v>
      </c>
      <c r="Z1" s="30" t="s">
        <v>2376</v>
      </c>
      <c r="AA1" s="30" t="s">
        <v>2377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982</v>
      </c>
      <c r="B2" s="5" t="s">
        <v>982</v>
      </c>
      <c r="C2" s="5" t="s">
        <v>983</v>
      </c>
      <c r="D2" s="5" t="n">
        <v>2023</v>
      </c>
      <c r="E2" s="5" t="s">
        <v>984</v>
      </c>
      <c r="F2" s="5" t="s">
        <v>987</v>
      </c>
      <c r="G2" s="5" t="s">
        <v>988</v>
      </c>
      <c r="H2" s="5" t="n">
        <v>35.27</v>
      </c>
      <c r="I2" s="5" t="n">
        <v>119.38</v>
      </c>
      <c r="J2" s="5" t="s">
        <v>921</v>
      </c>
      <c r="K2" s="5" t="n">
        <v>2020</v>
      </c>
      <c r="L2" s="5" t="s">
        <v>872</v>
      </c>
      <c r="M2" s="5"/>
      <c r="N2" s="5" t="s">
        <v>86</v>
      </c>
      <c r="O2" s="5" t="s">
        <v>2062</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2378</v>
      </c>
      <c r="AS2" s="5" t="s">
        <v>2063</v>
      </c>
      <c r="AT2" s="5" t="s">
        <v>2332</v>
      </c>
      <c r="AU2" s="5" t="s">
        <v>2065</v>
      </c>
      <c r="AV2" s="5" t="s">
        <v>2102</v>
      </c>
      <c r="AW2" s="23" t="s">
        <v>2333</v>
      </c>
      <c r="AX2" s="5" t="s">
        <v>998</v>
      </c>
      <c r="AY2" s="5" t="s">
        <v>2379</v>
      </c>
      <c r="BA2" s="33" t="s">
        <v>1285</v>
      </c>
    </row>
    <row r="3" customFormat="false" ht="14.25" hidden="false" customHeight="true" outlineLevel="0" collapsed="false">
      <c r="A3" s="5" t="s">
        <v>982</v>
      </c>
      <c r="B3" s="5" t="s">
        <v>982</v>
      </c>
      <c r="C3" s="5" t="s">
        <v>983</v>
      </c>
      <c r="D3" s="5" t="n">
        <v>2023</v>
      </c>
      <c r="E3" s="5" t="s">
        <v>984</v>
      </c>
      <c r="F3" s="5" t="s">
        <v>987</v>
      </c>
      <c r="G3" s="5" t="s">
        <v>988</v>
      </c>
      <c r="H3" s="5" t="n">
        <v>35.27</v>
      </c>
      <c r="I3" s="5" t="n">
        <v>119.38</v>
      </c>
      <c r="J3" s="5" t="s">
        <v>921</v>
      </c>
      <c r="K3" s="5" t="n">
        <v>2020</v>
      </c>
      <c r="L3" s="5" t="s">
        <v>872</v>
      </c>
      <c r="M3" s="5"/>
      <c r="N3" s="5" t="s">
        <v>2050</v>
      </c>
      <c r="O3" s="5" t="s">
        <v>2071</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2378</v>
      </c>
      <c r="AS3" s="5" t="s">
        <v>2063</v>
      </c>
      <c r="AT3" s="5" t="s">
        <v>2332</v>
      </c>
      <c r="AU3" s="5" t="s">
        <v>2065</v>
      </c>
      <c r="AV3" s="5" t="s">
        <v>2102</v>
      </c>
      <c r="AW3" s="23" t="s">
        <v>2335</v>
      </c>
      <c r="AX3" s="5" t="s">
        <v>998</v>
      </c>
      <c r="AY3" s="5" t="s">
        <v>2379</v>
      </c>
    </row>
    <row r="4" customFormat="false" ht="14.25" hidden="false" customHeight="true" outlineLevel="0" collapsed="false">
      <c r="A4" s="5" t="s">
        <v>982</v>
      </c>
      <c r="B4" s="5" t="s">
        <v>982</v>
      </c>
      <c r="C4" s="5" t="s">
        <v>983</v>
      </c>
      <c r="D4" s="5" t="n">
        <v>2023</v>
      </c>
      <c r="E4" s="5" t="s">
        <v>984</v>
      </c>
      <c r="F4" s="5" t="s">
        <v>987</v>
      </c>
      <c r="G4" s="5" t="s">
        <v>988</v>
      </c>
      <c r="H4" s="5" t="n">
        <v>35.27</v>
      </c>
      <c r="I4" s="5" t="n">
        <v>119.38</v>
      </c>
      <c r="J4" s="5" t="s">
        <v>921</v>
      </c>
      <c r="K4" s="5" t="n">
        <v>2020</v>
      </c>
      <c r="L4" s="5" t="s">
        <v>872</v>
      </c>
      <c r="M4" s="5"/>
      <c r="N4" s="5" t="s">
        <v>2050</v>
      </c>
      <c r="O4" s="5" t="s">
        <v>2073</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2378</v>
      </c>
      <c r="AS4" s="5" t="s">
        <v>2063</v>
      </c>
      <c r="AT4" s="5" t="s">
        <v>2332</v>
      </c>
      <c r="AU4" s="5" t="s">
        <v>2065</v>
      </c>
      <c r="AV4" s="5" t="s">
        <v>2102</v>
      </c>
      <c r="AW4" s="23" t="s">
        <v>2336</v>
      </c>
      <c r="AX4" s="5" t="s">
        <v>998</v>
      </c>
      <c r="AY4" s="5" t="s">
        <v>2379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2380</v>
      </c>
      <c r="Q1" s="27" t="s">
        <v>2381</v>
      </c>
      <c r="R1" s="27" t="s">
        <v>2382</v>
      </c>
      <c r="S1" s="27" t="s">
        <v>2383</v>
      </c>
      <c r="T1" s="27" t="s">
        <v>2384</v>
      </c>
      <c r="U1" s="27" t="s">
        <v>2385</v>
      </c>
      <c r="V1" s="27" t="s">
        <v>2386</v>
      </c>
      <c r="W1" s="27" t="s">
        <v>2387</v>
      </c>
      <c r="X1" s="30" t="s">
        <v>2388</v>
      </c>
      <c r="Y1" s="30" t="s">
        <v>2389</v>
      </c>
      <c r="Z1" s="30" t="s">
        <v>2390</v>
      </c>
      <c r="AA1" s="30" t="s">
        <v>2391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938</v>
      </c>
      <c r="B2" s="18" t="s">
        <v>938</v>
      </c>
      <c r="C2" s="18" t="s">
        <v>939</v>
      </c>
      <c r="D2" s="18" t="n">
        <v>2019</v>
      </c>
      <c r="E2" s="18" t="s">
        <v>884</v>
      </c>
      <c r="F2" s="18" t="s">
        <v>942</v>
      </c>
      <c r="G2" s="18" t="s">
        <v>943</v>
      </c>
      <c r="H2" s="18" t="n">
        <v>29.7</v>
      </c>
      <c r="I2" s="18" t="n">
        <v>76.96</v>
      </c>
      <c r="J2" s="18" t="s">
        <v>83</v>
      </c>
      <c r="K2" s="18" t="n">
        <v>2013</v>
      </c>
      <c r="L2" s="18" t="s">
        <v>84</v>
      </c>
      <c r="M2" s="18" t="s">
        <v>85</v>
      </c>
      <c r="N2" s="18" t="s">
        <v>86</v>
      </c>
      <c r="O2" s="18" t="s">
        <v>2043</v>
      </c>
      <c r="P2" s="18" t="n">
        <v>1.28</v>
      </c>
      <c r="Q2" s="18" t="n">
        <v>0.76</v>
      </c>
      <c r="R2" s="18"/>
      <c r="S2" s="18"/>
      <c r="T2" s="18"/>
      <c r="U2" s="18"/>
      <c r="V2" s="18"/>
      <c r="W2" s="18"/>
      <c r="X2" s="18" t="n">
        <v>0.98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1288</v>
      </c>
      <c r="AS2" s="18" t="s">
        <v>2337</v>
      </c>
      <c r="AT2" s="18" t="s">
        <v>2338</v>
      </c>
      <c r="AU2" s="18" t="s">
        <v>2339</v>
      </c>
      <c r="AV2" s="18" t="s">
        <v>91</v>
      </c>
      <c r="AW2" s="32" t="s">
        <v>2340</v>
      </c>
      <c r="AX2" s="18" t="s">
        <v>952</v>
      </c>
      <c r="AY2" s="18" t="s">
        <v>2341</v>
      </c>
      <c r="BA2" s="33" t="s">
        <v>1288</v>
      </c>
    </row>
    <row r="3" customFormat="false" ht="15" hidden="false" customHeight="true" outlineLevel="0" collapsed="false">
      <c r="A3" s="18" t="s">
        <v>938</v>
      </c>
      <c r="B3" s="18" t="s">
        <v>938</v>
      </c>
      <c r="C3" s="18" t="s">
        <v>939</v>
      </c>
      <c r="D3" s="18" t="n">
        <v>2019</v>
      </c>
      <c r="E3" s="18" t="s">
        <v>884</v>
      </c>
      <c r="F3" s="18" t="s">
        <v>942</v>
      </c>
      <c r="G3" s="18" t="s">
        <v>943</v>
      </c>
      <c r="H3" s="18" t="n">
        <v>29.7</v>
      </c>
      <c r="I3" s="18" t="n">
        <v>76.96</v>
      </c>
      <c r="J3" s="18" t="s">
        <v>83</v>
      </c>
      <c r="K3" s="18" t="n">
        <v>2013</v>
      </c>
      <c r="L3" s="18" t="s">
        <v>84</v>
      </c>
      <c r="M3" s="18" t="s">
        <v>85</v>
      </c>
      <c r="N3" s="18" t="s">
        <v>2050</v>
      </c>
      <c r="O3" s="18" t="s">
        <v>2051</v>
      </c>
      <c r="P3" s="18" t="n">
        <v>0.49</v>
      </c>
      <c r="Q3" s="18" t="n">
        <v>0.62</v>
      </c>
      <c r="R3" s="18"/>
      <c r="S3" s="18"/>
      <c r="T3" s="18"/>
      <c r="U3" s="18"/>
      <c r="V3" s="18"/>
      <c r="W3" s="18"/>
      <c r="X3" s="18" t="n">
        <v>0.56</v>
      </c>
      <c r="Y3" s="18"/>
      <c r="Z3" s="18"/>
      <c r="AA3" s="18"/>
      <c r="AB3" s="18" t="n">
        <v>2</v>
      </c>
      <c r="AC3" s="18" t="n">
        <v>3</v>
      </c>
      <c r="AD3" s="18" t="n">
        <f aca="false">IF(AND(N(AB3)&gt;0,N(AC3)&gt;0),SQRT(2*AB3/AC3),"")</f>
        <v>1.15470053837925</v>
      </c>
      <c r="AE3" s="18"/>
      <c r="AF3" s="18" t="n">
        <v>2</v>
      </c>
      <c r="AG3" s="18" t="n">
        <v>42.5</v>
      </c>
      <c r="AH3" s="18" t="n">
        <v>700</v>
      </c>
      <c r="AI3" s="18" t="n">
        <v>29.7</v>
      </c>
      <c r="AJ3" s="18" t="n">
        <v>4</v>
      </c>
      <c r="AK3" s="18"/>
      <c r="AL3" s="18"/>
      <c r="AM3" s="18"/>
      <c r="AN3" s="18"/>
      <c r="AO3" s="18"/>
      <c r="AP3" s="18"/>
      <c r="AQ3" s="18"/>
      <c r="AR3" s="18" t="s">
        <v>1288</v>
      </c>
      <c r="AS3" s="18" t="s">
        <v>2337</v>
      </c>
      <c r="AT3" s="18" t="s">
        <v>2338</v>
      </c>
      <c r="AU3" s="18" t="s">
        <v>2339</v>
      </c>
      <c r="AV3" s="18" t="s">
        <v>91</v>
      </c>
      <c r="AW3" s="32" t="s">
        <v>2342</v>
      </c>
      <c r="AX3" s="18" t="s">
        <v>952</v>
      </c>
      <c r="AY3" s="18" t="s">
        <v>2341</v>
      </c>
    </row>
    <row r="4" customFormat="false" ht="15" hidden="false" customHeight="true" outlineLevel="0" collapsed="false">
      <c r="A4" s="18" t="s">
        <v>938</v>
      </c>
      <c r="B4" s="18" t="s">
        <v>938</v>
      </c>
      <c r="C4" s="18" t="s">
        <v>939</v>
      </c>
      <c r="D4" s="18" t="n">
        <v>2019</v>
      </c>
      <c r="E4" s="18" t="s">
        <v>884</v>
      </c>
      <c r="F4" s="18" t="s">
        <v>942</v>
      </c>
      <c r="G4" s="18" t="s">
        <v>943</v>
      </c>
      <c r="H4" s="18" t="n">
        <v>29.7</v>
      </c>
      <c r="I4" s="18" t="n">
        <v>76.96</v>
      </c>
      <c r="J4" s="18" t="s">
        <v>83</v>
      </c>
      <c r="K4" s="18" t="n">
        <v>2015</v>
      </c>
      <c r="L4" s="18" t="s">
        <v>84</v>
      </c>
      <c r="M4" s="18" t="s">
        <v>85</v>
      </c>
      <c r="N4" s="18" t="s">
        <v>86</v>
      </c>
      <c r="O4" s="18" t="s">
        <v>2043</v>
      </c>
      <c r="P4" s="18" t="n">
        <v>1.29</v>
      </c>
      <c r="Q4" s="18" t="n">
        <v>0.79</v>
      </c>
      <c r="R4" s="18"/>
      <c r="S4" s="18"/>
      <c r="T4" s="18"/>
      <c r="U4" s="18"/>
      <c r="V4" s="18"/>
      <c r="W4" s="18"/>
      <c r="X4" s="18" t="n">
        <v>1.15</v>
      </c>
      <c r="Y4" s="18"/>
      <c r="Z4" s="18"/>
      <c r="AA4" s="18"/>
      <c r="AB4" s="18" t="n">
        <v>2</v>
      </c>
      <c r="AC4" s="18" t="n">
        <v>3</v>
      </c>
      <c r="AD4" s="18" t="n">
        <f aca="false">IF(AND(N(AB4)&gt;0,N(AC4)&gt;0),SQRT(2*AB4/AC4),"")</f>
        <v>1.15470053837925</v>
      </c>
      <c r="AE4" s="18"/>
      <c r="AF4" s="18" t="n">
        <v>2</v>
      </c>
      <c r="AG4" s="18" t="n">
        <v>42.5</v>
      </c>
      <c r="AH4" s="18" t="n">
        <v>700</v>
      </c>
      <c r="AI4" s="18" t="n">
        <v>29.7</v>
      </c>
      <c r="AJ4" s="18" t="n">
        <v>6</v>
      </c>
      <c r="AK4" s="18"/>
      <c r="AL4" s="18"/>
      <c r="AM4" s="18"/>
      <c r="AN4" s="18"/>
      <c r="AO4" s="18"/>
      <c r="AP4" s="18"/>
      <c r="AQ4" s="18"/>
      <c r="AR4" s="18" t="s">
        <v>1288</v>
      </c>
      <c r="AS4" s="18" t="s">
        <v>2337</v>
      </c>
      <c r="AT4" s="18" t="s">
        <v>2343</v>
      </c>
      <c r="AU4" s="18" t="s">
        <v>2339</v>
      </c>
      <c r="AV4" s="18" t="s">
        <v>91</v>
      </c>
      <c r="AW4" s="32" t="s">
        <v>2344</v>
      </c>
      <c r="AX4" s="18" t="s">
        <v>952</v>
      </c>
      <c r="AY4" s="18" t="s">
        <v>2341</v>
      </c>
    </row>
    <row r="5" customFormat="false" ht="15" hidden="false" customHeight="true" outlineLevel="0" collapsed="false">
      <c r="A5" s="18" t="s">
        <v>938</v>
      </c>
      <c r="B5" s="18" t="s">
        <v>938</v>
      </c>
      <c r="C5" s="18" t="s">
        <v>939</v>
      </c>
      <c r="D5" s="18" t="n">
        <v>2019</v>
      </c>
      <c r="E5" s="18" t="s">
        <v>884</v>
      </c>
      <c r="F5" s="18" t="s">
        <v>942</v>
      </c>
      <c r="G5" s="18" t="s">
        <v>943</v>
      </c>
      <c r="H5" s="18" t="n">
        <v>29.7</v>
      </c>
      <c r="I5" s="18" t="n">
        <v>76.96</v>
      </c>
      <c r="J5" s="18" t="s">
        <v>83</v>
      </c>
      <c r="K5" s="18" t="n">
        <v>2015</v>
      </c>
      <c r="L5" s="18" t="s">
        <v>84</v>
      </c>
      <c r="M5" s="18" t="s">
        <v>85</v>
      </c>
      <c r="N5" s="18" t="s">
        <v>2050</v>
      </c>
      <c r="O5" s="18" t="s">
        <v>2051</v>
      </c>
      <c r="P5" s="18" t="n">
        <v>0.63</v>
      </c>
      <c r="Q5" s="18" t="n">
        <v>0.66</v>
      </c>
      <c r="R5" s="18"/>
      <c r="S5" s="18"/>
      <c r="T5" s="18"/>
      <c r="U5" s="18"/>
      <c r="V5" s="18"/>
      <c r="W5" s="18"/>
      <c r="X5" s="18" t="n">
        <v>0.66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1288</v>
      </c>
      <c r="AS5" s="18" t="s">
        <v>2337</v>
      </c>
      <c r="AT5" s="18" t="s">
        <v>2343</v>
      </c>
      <c r="AU5" s="18" t="s">
        <v>2339</v>
      </c>
      <c r="AV5" s="18" t="s">
        <v>91</v>
      </c>
      <c r="AW5" s="32" t="s">
        <v>2345</v>
      </c>
      <c r="AX5" s="18" t="s">
        <v>952</v>
      </c>
      <c r="AY5" s="18" t="s">
        <v>2341</v>
      </c>
    </row>
    <row r="6" customFormat="false" ht="1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1288</v>
      </c>
      <c r="AS6" s="18" t="s">
        <v>2076</v>
      </c>
      <c r="AT6" s="18" t="s">
        <v>2077</v>
      </c>
      <c r="AU6" s="18" t="s">
        <v>2078</v>
      </c>
      <c r="AV6" s="18" t="s">
        <v>2079</v>
      </c>
      <c r="AW6" s="32" t="s">
        <v>2392</v>
      </c>
      <c r="AX6" s="18" t="s">
        <v>979</v>
      </c>
      <c r="AY6" s="18" t="s">
        <v>2347</v>
      </c>
    </row>
    <row r="7" customFormat="false" ht="1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1288</v>
      </c>
      <c r="AS7" s="18" t="s">
        <v>2082</v>
      </c>
      <c r="AT7" s="18" t="s">
        <v>2077</v>
      </c>
      <c r="AU7" s="18" t="s">
        <v>2078</v>
      </c>
      <c r="AV7" s="18" t="s">
        <v>2079</v>
      </c>
      <c r="AW7" s="32" t="s">
        <v>2393</v>
      </c>
      <c r="AX7" s="18" t="s">
        <v>979</v>
      </c>
      <c r="AY7" s="18" t="s">
        <v>2347</v>
      </c>
    </row>
    <row r="8" customFormat="false" ht="14.2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1288</v>
      </c>
      <c r="AS8" s="18" t="s">
        <v>2084</v>
      </c>
      <c r="AT8" s="18" t="s">
        <v>2077</v>
      </c>
      <c r="AU8" s="18" t="s">
        <v>2078</v>
      </c>
      <c r="AV8" s="18" t="s">
        <v>2079</v>
      </c>
      <c r="AW8" s="32" t="s">
        <v>2394</v>
      </c>
      <c r="AX8" s="18" t="s">
        <v>979</v>
      </c>
      <c r="AY8" s="18" t="s">
        <v>2347</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1288</v>
      </c>
      <c r="AS9" s="18" t="s">
        <v>2086</v>
      </c>
      <c r="AT9" s="18" t="s">
        <v>2077</v>
      </c>
      <c r="AU9" s="18" t="s">
        <v>2078</v>
      </c>
      <c r="AV9" s="18" t="s">
        <v>2079</v>
      </c>
      <c r="AW9" s="32" t="s">
        <v>2395</v>
      </c>
      <c r="AX9" s="18" t="s">
        <v>979</v>
      </c>
      <c r="AY9" s="18" t="s">
        <v>2347</v>
      </c>
    </row>
    <row r="10" customFormat="false" ht="14.25" hidden="false" customHeight="true" outlineLevel="0" collapsed="false">
      <c r="A10" s="18" t="s">
        <v>965</v>
      </c>
      <c r="B10" s="18" t="s">
        <v>965</v>
      </c>
      <c r="C10" s="18" t="s">
        <v>966</v>
      </c>
      <c r="D10" s="18" t="n">
        <v>2020</v>
      </c>
      <c r="E10" s="18" t="s">
        <v>967</v>
      </c>
      <c r="F10" s="18" t="s">
        <v>866</v>
      </c>
      <c r="G10" s="18" t="s">
        <v>970</v>
      </c>
      <c r="H10" s="18" t="n">
        <v>28.4</v>
      </c>
      <c r="I10" s="18" t="n">
        <v>77.1</v>
      </c>
      <c r="J10" s="18" t="s">
        <v>83</v>
      </c>
      <c r="K10" s="18" t="s">
        <v>2075</v>
      </c>
      <c r="L10" s="18" t="s">
        <v>853</v>
      </c>
      <c r="M10" s="18" t="s">
        <v>85</v>
      </c>
      <c r="N10" s="18" t="s">
        <v>86</v>
      </c>
      <c r="O10" s="18" t="s">
        <v>2043</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1288</v>
      </c>
      <c r="AS10" s="18" t="s">
        <v>2088</v>
      </c>
      <c r="AT10" s="18" t="s">
        <v>2077</v>
      </c>
      <c r="AU10" s="18" t="s">
        <v>2078</v>
      </c>
      <c r="AV10" s="18" t="s">
        <v>2079</v>
      </c>
      <c r="AW10" s="32" t="s">
        <v>2396</v>
      </c>
      <c r="AX10" s="18" t="s">
        <v>979</v>
      </c>
      <c r="AY10" s="18" t="s">
        <v>2347</v>
      </c>
    </row>
    <row r="11" customFormat="false" ht="14.25" hidden="false" customHeight="true" outlineLevel="0" collapsed="false">
      <c r="A11" s="18" t="s">
        <v>965</v>
      </c>
      <c r="B11" s="18" t="s">
        <v>965</v>
      </c>
      <c r="C11" s="18" t="s">
        <v>966</v>
      </c>
      <c r="D11" s="18" t="n">
        <v>2020</v>
      </c>
      <c r="E11" s="18" t="s">
        <v>967</v>
      </c>
      <c r="F11" s="18" t="s">
        <v>866</v>
      </c>
      <c r="G11" s="18" t="s">
        <v>970</v>
      </c>
      <c r="H11" s="18" t="n">
        <v>28.4</v>
      </c>
      <c r="I11" s="18" t="n">
        <v>77.1</v>
      </c>
      <c r="J11" s="18" t="s">
        <v>83</v>
      </c>
      <c r="K11" s="18" t="s">
        <v>2075</v>
      </c>
      <c r="L11" s="18" t="s">
        <v>853</v>
      </c>
      <c r="M11" s="18" t="s">
        <v>85</v>
      </c>
      <c r="N11" s="18" t="s">
        <v>86</v>
      </c>
      <c r="O11" s="18" t="s">
        <v>2043</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1288</v>
      </c>
      <c r="AS11" s="18" t="s">
        <v>2090</v>
      </c>
      <c r="AT11" s="18" t="s">
        <v>2077</v>
      </c>
      <c r="AU11" s="18" t="s">
        <v>2078</v>
      </c>
      <c r="AV11" s="18" t="s">
        <v>2079</v>
      </c>
      <c r="AW11" s="32" t="s">
        <v>2397</v>
      </c>
      <c r="AX11" s="18" t="s">
        <v>979</v>
      </c>
      <c r="AY11" s="18" t="s">
        <v>2347</v>
      </c>
    </row>
    <row r="12" customFormat="false" ht="14.25" hidden="false" customHeight="true" outlineLevel="0" collapsed="false">
      <c r="A12" s="18" t="s">
        <v>965</v>
      </c>
      <c r="B12" s="18" t="s">
        <v>965</v>
      </c>
      <c r="C12" s="18" t="s">
        <v>966</v>
      </c>
      <c r="D12" s="18" t="n">
        <v>2020</v>
      </c>
      <c r="E12" s="18" t="s">
        <v>967</v>
      </c>
      <c r="F12" s="18" t="s">
        <v>866</v>
      </c>
      <c r="G12" s="18" t="s">
        <v>970</v>
      </c>
      <c r="H12" s="18" t="n">
        <v>28.4</v>
      </c>
      <c r="I12" s="18" t="n">
        <v>77.1</v>
      </c>
      <c r="J12" s="18" t="s">
        <v>83</v>
      </c>
      <c r="K12" s="18" t="s">
        <v>2075</v>
      </c>
      <c r="L12" s="18" t="s">
        <v>853</v>
      </c>
      <c r="M12" s="18" t="s">
        <v>85</v>
      </c>
      <c r="N12" s="18" t="s">
        <v>86</v>
      </c>
      <c r="O12" s="18" t="s">
        <v>2043</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1288</v>
      </c>
      <c r="AS12" s="18" t="s">
        <v>2092</v>
      </c>
      <c r="AT12" s="18" t="s">
        <v>2077</v>
      </c>
      <c r="AU12" s="18" t="s">
        <v>2078</v>
      </c>
      <c r="AV12" s="18" t="s">
        <v>2079</v>
      </c>
      <c r="AW12" s="32" t="s">
        <v>2398</v>
      </c>
      <c r="AX12" s="18" t="s">
        <v>979</v>
      </c>
      <c r="AY12" s="18" t="s">
        <v>2347</v>
      </c>
    </row>
    <row r="13" customFormat="false" ht="14.25" hidden="false" customHeight="true" outlineLevel="0" collapsed="false">
      <c r="A13" s="18" t="s">
        <v>965</v>
      </c>
      <c r="B13" s="18" t="s">
        <v>965</v>
      </c>
      <c r="C13" s="18" t="s">
        <v>966</v>
      </c>
      <c r="D13" s="18" t="n">
        <v>2020</v>
      </c>
      <c r="E13" s="18" t="s">
        <v>967</v>
      </c>
      <c r="F13" s="18" t="s">
        <v>866</v>
      </c>
      <c r="G13" s="18" t="s">
        <v>970</v>
      </c>
      <c r="H13" s="18" t="n">
        <v>28.4</v>
      </c>
      <c r="I13" s="18" t="n">
        <v>77.1</v>
      </c>
      <c r="J13" s="18" t="s">
        <v>83</v>
      </c>
      <c r="K13" s="18" t="s">
        <v>2075</v>
      </c>
      <c r="L13" s="18" t="s">
        <v>853</v>
      </c>
      <c r="M13" s="18" t="s">
        <v>85</v>
      </c>
      <c r="N13" s="18" t="s">
        <v>86</v>
      </c>
      <c r="O13" s="18" t="s">
        <v>2043</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1288</v>
      </c>
      <c r="AS13" s="18" t="s">
        <v>2094</v>
      </c>
      <c r="AT13" s="18" t="s">
        <v>2077</v>
      </c>
      <c r="AU13" s="18" t="s">
        <v>2078</v>
      </c>
      <c r="AV13" s="18" t="s">
        <v>2079</v>
      </c>
      <c r="AW13" s="32" t="s">
        <v>2399</v>
      </c>
      <c r="AX13" s="18" t="s">
        <v>979</v>
      </c>
      <c r="AY13" s="18" t="s">
        <v>2347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2400</v>
      </c>
      <c r="Q1" s="27" t="s">
        <v>2401</v>
      </c>
      <c r="R1" s="27" t="s">
        <v>2402</v>
      </c>
      <c r="S1" s="27" t="s">
        <v>2403</v>
      </c>
      <c r="T1" s="27" t="s">
        <v>2404</v>
      </c>
      <c r="U1" s="27" t="s">
        <v>2405</v>
      </c>
      <c r="V1" s="27" t="s">
        <v>2406</v>
      </c>
      <c r="W1" s="27" t="s">
        <v>2407</v>
      </c>
      <c r="X1" s="30" t="s">
        <v>2408</v>
      </c>
      <c r="Y1" s="30" t="s">
        <v>2409</v>
      </c>
      <c r="Z1" s="30" t="s">
        <v>2410</v>
      </c>
      <c r="AA1" s="30" t="s">
        <v>2411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2412</v>
      </c>
      <c r="AS2" s="18" t="s">
        <v>2044</v>
      </c>
      <c r="AT2" s="18" t="s">
        <v>2045</v>
      </c>
      <c r="AU2" s="18" t="s">
        <v>2046</v>
      </c>
      <c r="AV2" s="18" t="s">
        <v>2413</v>
      </c>
      <c r="AW2" s="32" t="s">
        <v>2414</v>
      </c>
      <c r="AX2" s="18" t="s">
        <v>928</v>
      </c>
      <c r="AY2" s="18" t="s">
        <v>2415</v>
      </c>
      <c r="BA2" s="33" t="s">
        <v>1291</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2050</v>
      </c>
      <c r="O3" s="18" t="s">
        <v>2051</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2412</v>
      </c>
      <c r="AS3" s="18" t="s">
        <v>2044</v>
      </c>
      <c r="AT3" s="18" t="s">
        <v>2045</v>
      </c>
      <c r="AU3" s="18" t="s">
        <v>2046</v>
      </c>
      <c r="AV3" s="18" t="s">
        <v>2413</v>
      </c>
      <c r="AW3" s="32" t="s">
        <v>2414</v>
      </c>
      <c r="AX3" s="18" t="s">
        <v>928</v>
      </c>
      <c r="AY3" s="18" t="s">
        <v>2415</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2416</v>
      </c>
      <c r="AS4" s="5" t="s">
        <v>2319</v>
      </c>
      <c r="AT4" s="5" t="s">
        <v>2320</v>
      </c>
      <c r="AU4" s="5" t="s">
        <v>2321</v>
      </c>
      <c r="AV4" s="5" t="s">
        <v>2417</v>
      </c>
      <c r="AW4" s="23" t="s">
        <v>2418</v>
      </c>
      <c r="AX4" s="5" t="s">
        <v>899</v>
      </c>
      <c r="AY4" s="5" t="s">
        <v>2419</v>
      </c>
    </row>
    <row r="5" customFormat="false" ht="1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2329</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2416</v>
      </c>
      <c r="AS5" s="5" t="s">
        <v>2319</v>
      </c>
      <c r="AT5" s="5" t="s">
        <v>2320</v>
      </c>
      <c r="AU5" s="5" t="s">
        <v>2321</v>
      </c>
      <c r="AV5" s="5" t="s">
        <v>2417</v>
      </c>
      <c r="AW5" s="23" t="s">
        <v>2418</v>
      </c>
      <c r="AX5" s="5" t="s">
        <v>899</v>
      </c>
      <c r="AY5" s="5" t="s">
        <v>2419</v>
      </c>
    </row>
    <row r="6" customFormat="false" ht="1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2050</v>
      </c>
      <c r="O6" s="5" t="s">
        <v>2051</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2416</v>
      </c>
      <c r="AS6" s="5" t="s">
        <v>2319</v>
      </c>
      <c r="AT6" s="5" t="s">
        <v>2320</v>
      </c>
      <c r="AU6" s="5" t="s">
        <v>2321</v>
      </c>
      <c r="AV6" s="5" t="s">
        <v>2417</v>
      </c>
      <c r="AW6" s="23" t="s">
        <v>2420</v>
      </c>
      <c r="AX6" s="5" t="s">
        <v>899</v>
      </c>
      <c r="AY6" s="5" t="s">
        <v>2419</v>
      </c>
    </row>
    <row r="7" customFormat="false" ht="15" hidden="false" customHeight="true" outlineLevel="0" collapsed="false">
      <c r="A7" s="18" t="s">
        <v>938</v>
      </c>
      <c r="B7" s="18" t="s">
        <v>938</v>
      </c>
      <c r="C7" s="18" t="s">
        <v>939</v>
      </c>
      <c r="D7" s="18" t="n">
        <v>2019</v>
      </c>
      <c r="E7" s="18" t="s">
        <v>884</v>
      </c>
      <c r="F7" s="18" t="s">
        <v>942</v>
      </c>
      <c r="G7" s="18" t="s">
        <v>943</v>
      </c>
      <c r="H7" s="18" t="n">
        <v>29.7</v>
      </c>
      <c r="I7" s="18" t="n">
        <v>76.96</v>
      </c>
      <c r="J7" s="18" t="s">
        <v>83</v>
      </c>
      <c r="K7" s="18" t="n">
        <v>2013</v>
      </c>
      <c r="L7" s="18" t="s">
        <v>84</v>
      </c>
      <c r="M7" s="18" t="s">
        <v>85</v>
      </c>
      <c r="N7" s="18" t="s">
        <v>86</v>
      </c>
      <c r="O7" s="18" t="s">
        <v>2043</v>
      </c>
      <c r="P7" s="18" t="n">
        <f aca="false">ROUND(43.77/100,4)</f>
        <v>0.4377</v>
      </c>
      <c r="Q7" s="18" t="n">
        <f aca="false">ROUND(30.84/100,4)</f>
        <v>0.3084</v>
      </c>
      <c r="R7" s="18"/>
      <c r="S7" s="18"/>
      <c r="T7" s="18"/>
      <c r="U7" s="18"/>
      <c r="V7" s="18"/>
      <c r="W7" s="18"/>
      <c r="X7" s="18" t="n">
        <f aca="false">ROUND(41.44/100,4)</f>
        <v>0.4144</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2421</v>
      </c>
      <c r="AS7" s="18" t="s">
        <v>2337</v>
      </c>
      <c r="AT7" s="18" t="s">
        <v>2338</v>
      </c>
      <c r="AU7" s="18" t="s">
        <v>2339</v>
      </c>
      <c r="AV7" s="18" t="s">
        <v>2422</v>
      </c>
      <c r="AW7" s="32" t="s">
        <v>2340</v>
      </c>
      <c r="AX7" s="18" t="s">
        <v>952</v>
      </c>
      <c r="AY7" s="18" t="s">
        <v>2341</v>
      </c>
    </row>
    <row r="8" customFormat="false" ht="15" hidden="false" customHeight="true" outlineLevel="0" collapsed="false">
      <c r="A8" s="18" t="s">
        <v>938</v>
      </c>
      <c r="B8" s="18" t="s">
        <v>938</v>
      </c>
      <c r="C8" s="18" t="s">
        <v>939</v>
      </c>
      <c r="D8" s="18" t="n">
        <v>2019</v>
      </c>
      <c r="E8" s="18" t="s">
        <v>884</v>
      </c>
      <c r="F8" s="18" t="s">
        <v>942</v>
      </c>
      <c r="G8" s="18" t="s">
        <v>943</v>
      </c>
      <c r="H8" s="18" t="n">
        <v>29.7</v>
      </c>
      <c r="I8" s="18" t="n">
        <v>76.96</v>
      </c>
      <c r="J8" s="18" t="s">
        <v>83</v>
      </c>
      <c r="K8" s="18" t="n">
        <v>2013</v>
      </c>
      <c r="L8" s="18" t="s">
        <v>84</v>
      </c>
      <c r="M8" s="18" t="s">
        <v>85</v>
      </c>
      <c r="N8" s="18" t="s">
        <v>2050</v>
      </c>
      <c r="O8" s="18" t="s">
        <v>2051</v>
      </c>
      <c r="P8" s="18" t="n">
        <f aca="false">ROUND(26.39/100,4)</f>
        <v>0.2639</v>
      </c>
      <c r="Q8" s="18" t="n">
        <f aca="false">ROUND(28.8/100,4)</f>
        <v>0.288</v>
      </c>
      <c r="R8" s="18"/>
      <c r="S8" s="18"/>
      <c r="T8" s="18"/>
      <c r="U8" s="18"/>
      <c r="V8" s="18"/>
      <c r="W8" s="18"/>
      <c r="X8" s="18" t="n">
        <f aca="false">ROUND(30.5/100,4)</f>
        <v>0.305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2421</v>
      </c>
      <c r="AS8" s="18" t="s">
        <v>2337</v>
      </c>
      <c r="AT8" s="18" t="s">
        <v>2338</v>
      </c>
      <c r="AU8" s="18" t="s">
        <v>2339</v>
      </c>
      <c r="AV8" s="18" t="s">
        <v>2422</v>
      </c>
      <c r="AW8" s="32" t="s">
        <v>2342</v>
      </c>
      <c r="AX8" s="18" t="s">
        <v>952</v>
      </c>
      <c r="AY8" s="18" t="s">
        <v>2341</v>
      </c>
    </row>
    <row r="9" customFormat="false" ht="15" hidden="false" customHeight="true" outlineLevel="0" collapsed="false">
      <c r="A9" s="18" t="s">
        <v>938</v>
      </c>
      <c r="B9" s="18" t="s">
        <v>938</v>
      </c>
      <c r="C9" s="18" t="s">
        <v>939</v>
      </c>
      <c r="D9" s="18" t="n">
        <v>2019</v>
      </c>
      <c r="E9" s="18" t="s">
        <v>884</v>
      </c>
      <c r="F9" s="18" t="s">
        <v>942</v>
      </c>
      <c r="G9" s="18" t="s">
        <v>943</v>
      </c>
      <c r="H9" s="18" t="n">
        <v>29.7</v>
      </c>
      <c r="I9" s="18" t="n">
        <v>76.96</v>
      </c>
      <c r="J9" s="18" t="s">
        <v>83</v>
      </c>
      <c r="K9" s="18" t="n">
        <v>2015</v>
      </c>
      <c r="L9" s="18" t="s">
        <v>84</v>
      </c>
      <c r="M9" s="18" t="s">
        <v>85</v>
      </c>
      <c r="N9" s="18" t="s">
        <v>86</v>
      </c>
      <c r="O9" s="18" t="s">
        <v>2043</v>
      </c>
      <c r="P9" s="18" t="n">
        <f aca="false">ROUND(51.32/100,4)</f>
        <v>0.5132</v>
      </c>
      <c r="Q9" s="18" t="n">
        <f aca="false">ROUND(33.29/100,4)</f>
        <v>0.3329</v>
      </c>
      <c r="R9" s="18"/>
      <c r="S9" s="18"/>
      <c r="T9" s="18"/>
      <c r="U9" s="18"/>
      <c r="V9" s="18"/>
      <c r="W9" s="18"/>
      <c r="X9" s="18" t="n">
        <f aca="false">ROUND(49.2/100,4)</f>
        <v>0.492</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2421</v>
      </c>
      <c r="AS9" s="18" t="s">
        <v>2337</v>
      </c>
      <c r="AT9" s="18" t="s">
        <v>2343</v>
      </c>
      <c r="AU9" s="18" t="s">
        <v>2339</v>
      </c>
      <c r="AV9" s="18" t="s">
        <v>2422</v>
      </c>
      <c r="AW9" s="32" t="s">
        <v>2344</v>
      </c>
      <c r="AX9" s="18" t="s">
        <v>952</v>
      </c>
      <c r="AY9" s="18" t="s">
        <v>2341</v>
      </c>
    </row>
    <row r="10" customFormat="false" ht="15" hidden="false" customHeight="true" outlineLevel="0" collapsed="false">
      <c r="A10" s="18" t="s">
        <v>938</v>
      </c>
      <c r="B10" s="18" t="s">
        <v>938</v>
      </c>
      <c r="C10" s="18" t="s">
        <v>939</v>
      </c>
      <c r="D10" s="18" t="n">
        <v>2019</v>
      </c>
      <c r="E10" s="18" t="s">
        <v>884</v>
      </c>
      <c r="F10" s="18" t="s">
        <v>942</v>
      </c>
      <c r="G10" s="18" t="s">
        <v>943</v>
      </c>
      <c r="H10" s="18" t="n">
        <v>29.7</v>
      </c>
      <c r="I10" s="18" t="n">
        <v>76.96</v>
      </c>
      <c r="J10" s="18" t="s">
        <v>83</v>
      </c>
      <c r="K10" s="18" t="n">
        <v>2015</v>
      </c>
      <c r="L10" s="18" t="s">
        <v>84</v>
      </c>
      <c r="M10" s="18" t="s">
        <v>85</v>
      </c>
      <c r="N10" s="18" t="s">
        <v>2050</v>
      </c>
      <c r="O10" s="18" t="s">
        <v>2051</v>
      </c>
      <c r="P10" s="18" t="n">
        <f aca="false">ROUND(31.91/100,4)</f>
        <v>0.3191</v>
      </c>
      <c r="Q10" s="18" t="n">
        <f aca="false">ROUND(29.07/100,4)</f>
        <v>0.2907</v>
      </c>
      <c r="R10" s="18"/>
      <c r="S10" s="18"/>
      <c r="T10" s="18"/>
      <c r="U10" s="18"/>
      <c r="V10" s="18"/>
      <c r="W10" s="18"/>
      <c r="X10" s="18" t="n">
        <f aca="false">ROUND(39.41/100,4)</f>
        <v>0.3941</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2421</v>
      </c>
      <c r="AS10" s="18" t="s">
        <v>2337</v>
      </c>
      <c r="AT10" s="18" t="s">
        <v>2343</v>
      </c>
      <c r="AU10" s="18" t="s">
        <v>2339</v>
      </c>
      <c r="AV10" s="18" t="s">
        <v>2422</v>
      </c>
      <c r="AW10" s="32" t="s">
        <v>2345</v>
      </c>
      <c r="AX10" s="18" t="s">
        <v>952</v>
      </c>
      <c r="AY10" s="18" t="s">
        <v>2341</v>
      </c>
    </row>
    <row r="11" customFormat="false" ht="15" hidden="false" customHeight="true" outlineLevel="0" collapsed="false">
      <c r="A11" s="5" t="s">
        <v>1018</v>
      </c>
      <c r="B11" s="5" t="s">
        <v>1018</v>
      </c>
      <c r="C11" s="5" t="s">
        <v>1019</v>
      </c>
      <c r="D11" s="5" t="n">
        <v>2011</v>
      </c>
      <c r="E11" s="5" t="s">
        <v>1020</v>
      </c>
      <c r="F11" s="5" t="s">
        <v>887</v>
      </c>
      <c r="G11" s="5" t="s">
        <v>1023</v>
      </c>
      <c r="H11" s="5" t="n">
        <v>29.017</v>
      </c>
      <c r="I11" s="5" t="n">
        <v>77.75</v>
      </c>
      <c r="J11" s="5" t="s">
        <v>83</v>
      </c>
      <c r="K11" s="5" t="s">
        <v>2355</v>
      </c>
      <c r="L11" s="5" t="s">
        <v>84</v>
      </c>
      <c r="M11" s="5" t="s">
        <v>85</v>
      </c>
      <c r="N11" s="5" t="s">
        <v>86</v>
      </c>
      <c r="O11" s="5" t="s">
        <v>2043</v>
      </c>
      <c r="P11" s="5"/>
      <c r="Q11" s="5" t="n">
        <f aca="false">ROUND((MACRO!Q24+MICRO!Q11)/100,4)</f>
        <v>0.7713</v>
      </c>
      <c r="R11" s="5" t="n">
        <f aca="false">ROUND((MACRO!R24+MICRO!R11)/100,4)</f>
        <v>0.894</v>
      </c>
      <c r="S11" s="5"/>
      <c r="T11" s="5"/>
      <c r="U11" s="5" t="n">
        <f aca="false">ROUND((MACRO!U24+MICRO!U11)/100,4)</f>
        <v>0.8933</v>
      </c>
      <c r="V11" s="5"/>
      <c r="W11" s="5"/>
      <c r="X11" s="5"/>
      <c r="Y11" s="5" t="n">
        <f aca="false">ROUND((MACRO!Y24+MICRO!Y11)/100,4)</f>
        <v>0.7447</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2423</v>
      </c>
      <c r="AS11" s="5" t="s">
        <v>2099</v>
      </c>
      <c r="AT11" s="5" t="s">
        <v>2424</v>
      </c>
      <c r="AU11" s="5" t="s">
        <v>2101</v>
      </c>
      <c r="AV11" s="5" t="s">
        <v>2425</v>
      </c>
      <c r="AW11" s="23" t="s">
        <v>2426</v>
      </c>
      <c r="AX11" s="5" t="s">
        <v>1038</v>
      </c>
      <c r="AY11" s="5" t="s">
        <v>2427</v>
      </c>
    </row>
    <row r="12" customFormat="false" ht="15" hidden="false" customHeight="true" outlineLevel="0" collapsed="false">
      <c r="A12" s="5" t="s">
        <v>1018</v>
      </c>
      <c r="B12" s="5" t="s">
        <v>1018</v>
      </c>
      <c r="C12" s="5" t="s">
        <v>1019</v>
      </c>
      <c r="D12" s="5" t="n">
        <v>2011</v>
      </c>
      <c r="E12" s="5" t="s">
        <v>1020</v>
      </c>
      <c r="F12" s="5" t="s">
        <v>887</v>
      </c>
      <c r="G12" s="5" t="s">
        <v>1023</v>
      </c>
      <c r="H12" s="5" t="n">
        <v>29.017</v>
      </c>
      <c r="I12" s="5" t="n">
        <v>77.75</v>
      </c>
      <c r="J12" s="5" t="s">
        <v>83</v>
      </c>
      <c r="K12" s="5" t="s">
        <v>2355</v>
      </c>
      <c r="L12" s="5" t="s">
        <v>84</v>
      </c>
      <c r="M12" s="5" t="s">
        <v>85</v>
      </c>
      <c r="N12" s="5" t="s">
        <v>86</v>
      </c>
      <c r="O12" s="5" t="s">
        <v>2043</v>
      </c>
      <c r="P12" s="5"/>
      <c r="Q12" s="5" t="n">
        <f aca="false">ROUND((MACRO!Q25+MICRO!Q12)/100,4)</f>
        <v>0.7713</v>
      </c>
      <c r="R12" s="5" t="n">
        <f aca="false">ROUND((MACRO!R25+MICRO!R12)/100,4)</f>
        <v>0.8757</v>
      </c>
      <c r="S12" s="5"/>
      <c r="T12" s="5"/>
      <c r="U12" s="5" t="n">
        <f aca="false">ROUND((MACRO!U25+MICRO!U12)/100,4)</f>
        <v>0.825</v>
      </c>
      <c r="V12" s="5"/>
      <c r="W12" s="5"/>
      <c r="X12" s="5"/>
      <c r="Y12" s="5" t="n">
        <f aca="false">ROUND((MACRO!Y25+MICRO!Y12)/100,4)</f>
        <v>0.7447</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2423</v>
      </c>
      <c r="AS12" s="5" t="s">
        <v>2099</v>
      </c>
      <c r="AT12" s="5" t="s">
        <v>2424</v>
      </c>
      <c r="AU12" s="5" t="s">
        <v>2101</v>
      </c>
      <c r="AV12" s="5" t="s">
        <v>2425</v>
      </c>
      <c r="AW12" s="23" t="s">
        <v>2428</v>
      </c>
      <c r="AX12" s="5" t="s">
        <v>1038</v>
      </c>
      <c r="AY12" s="5" t="s">
        <v>2427</v>
      </c>
    </row>
    <row r="13" customFormat="false" ht="15" hidden="false" customHeight="true" outlineLevel="0" collapsed="false">
      <c r="A13" s="24" t="n">
        <v>174</v>
      </c>
      <c r="B13" s="24" t="n">
        <v>174</v>
      </c>
      <c r="C13" s="24" t="s">
        <v>1152</v>
      </c>
      <c r="D13" s="24" t="n">
        <v>2017</v>
      </c>
      <c r="E13" s="24" t="s">
        <v>1153</v>
      </c>
      <c r="F13" s="24" t="s">
        <v>887</v>
      </c>
      <c r="G13" s="24" t="s">
        <v>1156</v>
      </c>
      <c r="H13" s="24" t="n">
        <v>29.067</v>
      </c>
      <c r="I13" s="24" t="n">
        <v>77.767</v>
      </c>
      <c r="J13" s="24" t="s">
        <v>83</v>
      </c>
      <c r="K13" s="24" t="s">
        <v>2183</v>
      </c>
      <c r="L13" s="24" t="s">
        <v>872</v>
      </c>
      <c r="M13" s="24" t="s">
        <v>85</v>
      </c>
      <c r="N13" s="24" t="s">
        <v>86</v>
      </c>
      <c r="O13" s="24" t="s">
        <v>2043</v>
      </c>
      <c r="P13" s="24" t="n">
        <f aca="false">ROUND((MACRO!P38+MICRO!P13)/100,4)</f>
        <v>0.7857</v>
      </c>
      <c r="Q13" s="24"/>
      <c r="R13" s="24" t="n">
        <f aca="false">ROUND((MACRO!R38+MICRO!R13)/100,4)</f>
        <v>0.7529</v>
      </c>
      <c r="S13" s="24"/>
      <c r="T13" s="24"/>
      <c r="U13" s="24"/>
      <c r="V13" s="24"/>
      <c r="W13" s="24"/>
      <c r="X13" s="24" t="n">
        <f aca="false">ROUND((MACRO!X38+MICRO!X13)/100,4)</f>
        <v>0.7559</v>
      </c>
      <c r="Y13" s="24" t="n">
        <f aca="false">ROUND((MACRO!Y38+MICRO!Y13)/100,4)</f>
        <v>0.7551</v>
      </c>
      <c r="Z13" s="24"/>
      <c r="AA13" s="24"/>
      <c r="AB13" s="24" t="n">
        <v>2</v>
      </c>
      <c r="AC13" s="24" t="n">
        <v>3</v>
      </c>
      <c r="AD13" s="24" t="n">
        <f aca="false">IF(AND(N(AB13)&gt;0,N(AC13)&gt;0),SQRT(2*AB13/AC13),"")</f>
        <v>1.15470053837925</v>
      </c>
      <c r="AE13" s="24" t="n">
        <v>16.5</v>
      </c>
      <c r="AF13" s="24" t="n">
        <v>5</v>
      </c>
      <c r="AG13" s="24" t="n">
        <v>46</v>
      </c>
      <c r="AH13" s="24" t="n">
        <v>863</v>
      </c>
      <c r="AI13" s="24" t="n">
        <v>29.067</v>
      </c>
      <c r="AJ13" s="24" t="n">
        <v>2</v>
      </c>
      <c r="AK13" s="24"/>
      <c r="AL13" s="24"/>
      <c r="AM13" s="24" t="n">
        <v>8.1</v>
      </c>
      <c r="AN13" s="24" t="n">
        <v>8.3</v>
      </c>
      <c r="AO13" s="24"/>
      <c r="AP13" s="24" t="n">
        <v>62</v>
      </c>
      <c r="AQ13" s="24" t="n">
        <v>20.5</v>
      </c>
      <c r="AR13" s="24" t="s">
        <v>2429</v>
      </c>
      <c r="AS13" s="24" t="s">
        <v>2184</v>
      </c>
      <c r="AT13" s="24" t="s">
        <v>2185</v>
      </c>
      <c r="AU13" s="24" t="s">
        <v>2186</v>
      </c>
      <c r="AV13" s="24" t="s">
        <v>2430</v>
      </c>
      <c r="AW13" s="25" t="s">
        <v>2431</v>
      </c>
      <c r="AX13" s="24" t="s">
        <v>1167</v>
      </c>
      <c r="AY13" s="24" t="s">
        <v>2432</v>
      </c>
    </row>
    <row r="14" customFormat="false" ht="14.25" hidden="false" customHeight="false" outlineLevel="0" collapsed="false">
      <c r="A14" s="24" t="n">
        <v>174</v>
      </c>
      <c r="B14" s="24" t="n">
        <v>174</v>
      </c>
      <c r="C14" s="24" t="s">
        <v>1152</v>
      </c>
      <c r="D14" s="24" t="n">
        <v>2017</v>
      </c>
      <c r="E14" s="24" t="s">
        <v>1153</v>
      </c>
      <c r="F14" s="24" t="s">
        <v>887</v>
      </c>
      <c r="G14" s="24" t="s">
        <v>1156</v>
      </c>
      <c r="H14" s="24" t="n">
        <v>29.067</v>
      </c>
      <c r="I14" s="24" t="n">
        <v>77.767</v>
      </c>
      <c r="J14" s="24" t="s">
        <v>83</v>
      </c>
      <c r="K14" s="24" t="s">
        <v>2183</v>
      </c>
      <c r="L14" s="24" t="s">
        <v>872</v>
      </c>
      <c r="M14" s="24" t="s">
        <v>85</v>
      </c>
      <c r="N14" s="24" t="s">
        <v>86</v>
      </c>
      <c r="O14" s="24" t="s">
        <v>2043</v>
      </c>
      <c r="P14" s="24" t="n">
        <f aca="false">ROUND((MACRO!P39+MICRO!P14)/100,4)</f>
        <v>0.777</v>
      </c>
      <c r="Q14" s="24"/>
      <c r="R14" s="24" t="n">
        <f aca="false">ROUND((MACRO!R39+MICRO!R14)/100,4)</f>
        <v>0.7933</v>
      </c>
      <c r="S14" s="24"/>
      <c r="T14" s="24"/>
      <c r="U14" s="24"/>
      <c r="V14" s="24"/>
      <c r="W14" s="24"/>
      <c r="X14" s="24" t="n">
        <f aca="false">ROUND((MACRO!X39+MICRO!X14)/100,4)</f>
        <v>0.7559</v>
      </c>
      <c r="Y14" s="24" t="n">
        <f aca="false">ROUND((MACRO!Y39+MICRO!Y14)/100,4)</f>
        <v>0.7551</v>
      </c>
      <c r="Z14" s="24"/>
      <c r="AA14" s="24"/>
      <c r="AB14" s="24" t="n">
        <v>2</v>
      </c>
      <c r="AC14" s="24" t="n">
        <v>3</v>
      </c>
      <c r="AD14" s="24" t="n">
        <f aca="false">IF(AND(N(AB14)&gt;0,N(AC14)&gt;0),SQRT(2*AB14/AC14),"")</f>
        <v>1.15470053837925</v>
      </c>
      <c r="AE14" s="24" t="n">
        <v>16.5</v>
      </c>
      <c r="AF14" s="24" t="n">
        <v>5</v>
      </c>
      <c r="AG14" s="24" t="n">
        <v>46</v>
      </c>
      <c r="AH14" s="24" t="n">
        <v>863</v>
      </c>
      <c r="AI14" s="24" t="n">
        <v>29.067</v>
      </c>
      <c r="AJ14" s="24" t="n">
        <v>2</v>
      </c>
      <c r="AK14" s="24"/>
      <c r="AL14" s="24"/>
      <c r="AM14" s="24" t="n">
        <v>8.1</v>
      </c>
      <c r="AN14" s="24" t="n">
        <v>8.3</v>
      </c>
      <c r="AO14" s="24"/>
      <c r="AP14" s="24" t="n">
        <v>62</v>
      </c>
      <c r="AQ14" s="24" t="n">
        <v>20.5</v>
      </c>
      <c r="AR14" s="24" t="s">
        <v>2429</v>
      </c>
      <c r="AS14" s="24" t="s">
        <v>2184</v>
      </c>
      <c r="AT14" s="24" t="s">
        <v>2185</v>
      </c>
      <c r="AU14" s="24" t="s">
        <v>2186</v>
      </c>
      <c r="AV14" s="24" t="s">
        <v>2430</v>
      </c>
      <c r="AW14" s="25" t="s">
        <v>2433</v>
      </c>
      <c r="AX14" s="24" t="s">
        <v>1167</v>
      </c>
      <c r="AY14" s="24" t="s">
        <v>2432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2434</v>
      </c>
      <c r="Q1" s="27" t="s">
        <v>2435</v>
      </c>
      <c r="R1" s="27" t="s">
        <v>2436</v>
      </c>
      <c r="S1" s="27" t="s">
        <v>2437</v>
      </c>
      <c r="T1" s="27" t="s">
        <v>2438</v>
      </c>
      <c r="U1" s="27" t="s">
        <v>2439</v>
      </c>
      <c r="V1" s="27" t="s">
        <v>2440</v>
      </c>
      <c r="W1" s="27" t="s">
        <v>2441</v>
      </c>
      <c r="X1" s="30" t="s">
        <v>2442</v>
      </c>
      <c r="Y1" s="30" t="s">
        <v>2443</v>
      </c>
      <c r="Z1" s="30" t="s">
        <v>2444</v>
      </c>
      <c r="AA1" s="30" t="s">
        <v>2445</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2446</v>
      </c>
      <c r="AS2" s="18" t="s">
        <v>2044</v>
      </c>
      <c r="AT2" s="18" t="s">
        <v>2045</v>
      </c>
      <c r="AU2" s="18" t="s">
        <v>2046</v>
      </c>
      <c r="AV2" s="18" t="s">
        <v>91</v>
      </c>
      <c r="AW2" s="32" t="s">
        <v>2447</v>
      </c>
      <c r="AX2" s="18" t="s">
        <v>928</v>
      </c>
      <c r="AY2" s="18" t="s">
        <v>2415</v>
      </c>
      <c r="BA2" s="33" t="s">
        <v>1294</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2050</v>
      </c>
      <c r="O3" s="18" t="s">
        <v>2051</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2446</v>
      </c>
      <c r="AS3" s="18" t="s">
        <v>2044</v>
      </c>
      <c r="AT3" s="18" t="s">
        <v>2045</v>
      </c>
      <c r="AU3" s="18" t="s">
        <v>2046</v>
      </c>
      <c r="AV3" s="18" t="s">
        <v>91</v>
      </c>
      <c r="AW3" s="32" t="s">
        <v>2447</v>
      </c>
      <c r="AX3" s="18" t="s">
        <v>928</v>
      </c>
      <c r="AY3" s="18" t="s">
        <v>2415</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2448</v>
      </c>
      <c r="AS4" s="5" t="s">
        <v>2319</v>
      </c>
      <c r="AT4" s="5" t="s">
        <v>2320</v>
      </c>
      <c r="AU4" s="5" t="s">
        <v>2321</v>
      </c>
      <c r="AV4" s="5" t="s">
        <v>2449</v>
      </c>
      <c r="AW4" s="23" t="s">
        <v>2450</v>
      </c>
      <c r="AX4" s="5" t="s">
        <v>899</v>
      </c>
      <c r="AY4" s="5" t="s">
        <v>2419</v>
      </c>
    </row>
    <row r="5" customFormat="false" ht="1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2329</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2448</v>
      </c>
      <c r="AS5" s="5" t="s">
        <v>2319</v>
      </c>
      <c r="AT5" s="5" t="s">
        <v>2320</v>
      </c>
      <c r="AU5" s="5" t="s">
        <v>2321</v>
      </c>
      <c r="AV5" s="5" t="s">
        <v>2449</v>
      </c>
      <c r="AW5" s="23" t="s">
        <v>2451</v>
      </c>
      <c r="AX5" s="5" t="s">
        <v>899</v>
      </c>
      <c r="AY5" s="5" t="s">
        <v>2419</v>
      </c>
    </row>
    <row r="6" customFormat="false" ht="1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2050</v>
      </c>
      <c r="O6" s="5" t="s">
        <v>2051</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2448</v>
      </c>
      <c r="AS6" s="5" t="s">
        <v>2319</v>
      </c>
      <c r="AT6" s="5" t="s">
        <v>2320</v>
      </c>
      <c r="AU6" s="5" t="s">
        <v>2321</v>
      </c>
      <c r="AV6" s="5" t="s">
        <v>2449</v>
      </c>
      <c r="AW6" s="23" t="s">
        <v>2452</v>
      </c>
      <c r="AX6" s="5" t="s">
        <v>899</v>
      </c>
      <c r="AY6" s="5" t="s">
        <v>2419</v>
      </c>
    </row>
    <row r="7" customFormat="false" ht="15" hidden="false" customHeight="true" outlineLevel="0" collapsed="false">
      <c r="A7" s="5" t="s">
        <v>982</v>
      </c>
      <c r="B7" s="5" t="s">
        <v>982</v>
      </c>
      <c r="C7" s="5" t="s">
        <v>983</v>
      </c>
      <c r="D7" s="5" t="n">
        <v>2023</v>
      </c>
      <c r="E7" s="5" t="s">
        <v>984</v>
      </c>
      <c r="F7" s="5" t="s">
        <v>987</v>
      </c>
      <c r="G7" s="5" t="s">
        <v>988</v>
      </c>
      <c r="H7" s="5" t="n">
        <v>35.27</v>
      </c>
      <c r="I7" s="5" t="n">
        <v>119.38</v>
      </c>
      <c r="J7" s="5" t="s">
        <v>921</v>
      </c>
      <c r="K7" s="5" t="n">
        <v>2020</v>
      </c>
      <c r="L7" s="5" t="s">
        <v>872</v>
      </c>
      <c r="M7" s="5"/>
      <c r="N7" s="5" t="s">
        <v>86</v>
      </c>
      <c r="O7" s="5" t="s">
        <v>2062</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2453</v>
      </c>
      <c r="AS7" s="5" t="s">
        <v>2063</v>
      </c>
      <c r="AT7" s="5" t="s">
        <v>2332</v>
      </c>
      <c r="AU7" s="5" t="s">
        <v>2065</v>
      </c>
      <c r="AV7" s="5" t="s">
        <v>2102</v>
      </c>
      <c r="AW7" s="23" t="s">
        <v>2454</v>
      </c>
      <c r="AX7" s="5" t="s">
        <v>998</v>
      </c>
      <c r="AY7" s="5" t="s">
        <v>2455</v>
      </c>
    </row>
    <row r="8" customFormat="false" ht="15" hidden="false" customHeight="true" outlineLevel="0" collapsed="false">
      <c r="A8" s="5" t="s">
        <v>982</v>
      </c>
      <c r="B8" s="5" t="s">
        <v>982</v>
      </c>
      <c r="C8" s="5" t="s">
        <v>983</v>
      </c>
      <c r="D8" s="5" t="n">
        <v>2023</v>
      </c>
      <c r="E8" s="5" t="s">
        <v>984</v>
      </c>
      <c r="F8" s="5" t="s">
        <v>987</v>
      </c>
      <c r="G8" s="5" t="s">
        <v>988</v>
      </c>
      <c r="H8" s="5" t="n">
        <v>35.27</v>
      </c>
      <c r="I8" s="5" t="n">
        <v>119.38</v>
      </c>
      <c r="J8" s="5" t="s">
        <v>921</v>
      </c>
      <c r="K8" s="5" t="n">
        <v>2020</v>
      </c>
      <c r="L8" s="5" t="s">
        <v>872</v>
      </c>
      <c r="M8" s="5"/>
      <c r="N8" s="5" t="s">
        <v>2050</v>
      </c>
      <c r="O8" s="5" t="s">
        <v>2071</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2453</v>
      </c>
      <c r="AS8" s="5" t="s">
        <v>2063</v>
      </c>
      <c r="AT8" s="5" t="s">
        <v>2332</v>
      </c>
      <c r="AU8" s="5" t="s">
        <v>2065</v>
      </c>
      <c r="AV8" s="5" t="s">
        <v>2102</v>
      </c>
      <c r="AW8" s="23" t="s">
        <v>2456</v>
      </c>
      <c r="AX8" s="5" t="s">
        <v>998</v>
      </c>
      <c r="AY8" s="5" t="s">
        <v>2455</v>
      </c>
    </row>
    <row r="9" customFormat="false" ht="15" hidden="false" customHeight="true" outlineLevel="0" collapsed="false">
      <c r="A9" s="5" t="s">
        <v>982</v>
      </c>
      <c r="B9" s="5" t="s">
        <v>982</v>
      </c>
      <c r="C9" s="5" t="s">
        <v>983</v>
      </c>
      <c r="D9" s="5" t="n">
        <v>2023</v>
      </c>
      <c r="E9" s="5" t="s">
        <v>984</v>
      </c>
      <c r="F9" s="5" t="s">
        <v>987</v>
      </c>
      <c r="G9" s="5" t="s">
        <v>988</v>
      </c>
      <c r="H9" s="5" t="n">
        <v>35.27</v>
      </c>
      <c r="I9" s="5" t="n">
        <v>119.38</v>
      </c>
      <c r="J9" s="5" t="s">
        <v>921</v>
      </c>
      <c r="K9" s="5" t="n">
        <v>2020</v>
      </c>
      <c r="L9" s="5" t="s">
        <v>872</v>
      </c>
      <c r="M9" s="5"/>
      <c r="N9" s="5" t="s">
        <v>2050</v>
      </c>
      <c r="O9" s="5" t="s">
        <v>2073</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2453</v>
      </c>
      <c r="AS9" s="5" t="s">
        <v>2063</v>
      </c>
      <c r="AT9" s="5" t="s">
        <v>2332</v>
      </c>
      <c r="AU9" s="5" t="s">
        <v>2065</v>
      </c>
      <c r="AV9" s="5" t="s">
        <v>2102</v>
      </c>
      <c r="AW9" s="23" t="s">
        <v>2457</v>
      </c>
      <c r="AX9" s="5" t="s">
        <v>998</v>
      </c>
      <c r="AY9" s="5" t="s">
        <v>2455</v>
      </c>
    </row>
    <row r="10" customFormat="false" ht="14.25" hidden="false" customHeight="true" outlineLevel="0" collapsed="false">
      <c r="A10" s="18" t="s">
        <v>938</v>
      </c>
      <c r="B10" s="18" t="s">
        <v>938</v>
      </c>
      <c r="C10" s="18" t="s">
        <v>939</v>
      </c>
      <c r="D10" s="18" t="n">
        <v>2019</v>
      </c>
      <c r="E10" s="18" t="s">
        <v>884</v>
      </c>
      <c r="F10" s="18" t="s">
        <v>942</v>
      </c>
      <c r="G10" s="18" t="s">
        <v>943</v>
      </c>
      <c r="H10" s="18" t="n">
        <v>29.7</v>
      </c>
      <c r="I10" s="18" t="n">
        <v>76.96</v>
      </c>
      <c r="J10" s="18" t="s">
        <v>83</v>
      </c>
      <c r="K10" s="18" t="n">
        <v>2013</v>
      </c>
      <c r="L10" s="18" t="s">
        <v>84</v>
      </c>
      <c r="M10" s="18" t="s">
        <v>85</v>
      </c>
      <c r="N10" s="18" t="s">
        <v>86</v>
      </c>
      <c r="O10" s="18" t="s">
        <v>2043</v>
      </c>
      <c r="P10" s="18" t="n">
        <v>40.33</v>
      </c>
      <c r="Q10" s="18" t="n">
        <v>21.93</v>
      </c>
      <c r="R10" s="18"/>
      <c r="S10" s="18"/>
      <c r="T10" s="18"/>
      <c r="U10" s="18"/>
      <c r="V10" s="18"/>
      <c r="W10" s="18"/>
      <c r="X10" s="18" t="n">
        <v>32.34</v>
      </c>
      <c r="Y10" s="18"/>
      <c r="Z10" s="18"/>
      <c r="AA10" s="18"/>
      <c r="AB10" s="18" t="n">
        <v>2</v>
      </c>
      <c r="AC10" s="18" t="n">
        <v>3</v>
      </c>
      <c r="AD10" s="18" t="n">
        <f aca="false">IF(AND(N(AB10)&gt;0,N(AC10)&gt;0),SQRT(2*AB10/AC10),"")</f>
        <v>1.15470053837925</v>
      </c>
      <c r="AE10" s="18"/>
      <c r="AF10" s="18" t="n">
        <v>2</v>
      </c>
      <c r="AG10" s="18" t="n">
        <v>42.5</v>
      </c>
      <c r="AH10" s="18" t="n">
        <v>700</v>
      </c>
      <c r="AI10" s="18" t="n">
        <v>29.7</v>
      </c>
      <c r="AJ10" s="18" t="n">
        <v>4</v>
      </c>
      <c r="AK10" s="18"/>
      <c r="AL10" s="18"/>
      <c r="AM10" s="18"/>
      <c r="AN10" s="18"/>
      <c r="AO10" s="18"/>
      <c r="AP10" s="18"/>
      <c r="AQ10" s="18"/>
      <c r="AR10" s="18" t="s">
        <v>2458</v>
      </c>
      <c r="AS10" s="18" t="s">
        <v>2337</v>
      </c>
      <c r="AT10" s="18" t="s">
        <v>2338</v>
      </c>
      <c r="AU10" s="18" t="s">
        <v>2339</v>
      </c>
      <c r="AV10" s="18" t="s">
        <v>91</v>
      </c>
      <c r="AW10" s="32" t="s">
        <v>2340</v>
      </c>
      <c r="AX10" s="18" t="s">
        <v>952</v>
      </c>
      <c r="AY10" s="18" t="s">
        <v>2341</v>
      </c>
    </row>
    <row r="11" customFormat="false" ht="14.25" hidden="false" customHeight="true" outlineLevel="0" collapsed="false">
      <c r="A11" s="18" t="s">
        <v>938</v>
      </c>
      <c r="B11" s="18" t="s">
        <v>938</v>
      </c>
      <c r="C11" s="18" t="s">
        <v>939</v>
      </c>
      <c r="D11" s="18" t="n">
        <v>2019</v>
      </c>
      <c r="E11" s="18" t="s">
        <v>884</v>
      </c>
      <c r="F11" s="18" t="s">
        <v>942</v>
      </c>
      <c r="G11" s="18" t="s">
        <v>943</v>
      </c>
      <c r="H11" s="18" t="n">
        <v>29.7</v>
      </c>
      <c r="I11" s="18" t="n">
        <v>76.96</v>
      </c>
      <c r="J11" s="18" t="s">
        <v>83</v>
      </c>
      <c r="K11" s="18" t="n">
        <v>2013</v>
      </c>
      <c r="L11" s="18" t="s">
        <v>84</v>
      </c>
      <c r="M11" s="18" t="s">
        <v>85</v>
      </c>
      <c r="N11" s="18" t="s">
        <v>2050</v>
      </c>
      <c r="O11" s="18" t="s">
        <v>2051</v>
      </c>
      <c r="P11" s="18" t="n">
        <v>13.9</v>
      </c>
      <c r="Q11" s="18" t="n">
        <v>17.95</v>
      </c>
      <c r="R11" s="18"/>
      <c r="S11" s="18"/>
      <c r="T11" s="18"/>
      <c r="U11" s="18"/>
      <c r="V11" s="18"/>
      <c r="W11" s="18"/>
      <c r="X11" s="18" t="n">
        <v>17.54</v>
      </c>
      <c r="Y11" s="18"/>
      <c r="Z11" s="18"/>
      <c r="AA11" s="18"/>
      <c r="AB11" s="18" t="n">
        <v>2</v>
      </c>
      <c r="AC11" s="18" t="n">
        <v>3</v>
      </c>
      <c r="AD11" s="18" t="n">
        <f aca="false">IF(AND(N(AB11)&gt;0,N(AC11)&gt;0),SQRT(2*AB11/AC11),"")</f>
        <v>1.15470053837925</v>
      </c>
      <c r="AE11" s="18"/>
      <c r="AF11" s="18" t="n">
        <v>2</v>
      </c>
      <c r="AG11" s="18" t="n">
        <v>42.5</v>
      </c>
      <c r="AH11" s="18" t="n">
        <v>700</v>
      </c>
      <c r="AI11" s="18" t="n">
        <v>29.7</v>
      </c>
      <c r="AJ11" s="18" t="n">
        <v>4</v>
      </c>
      <c r="AK11" s="18"/>
      <c r="AL11" s="18"/>
      <c r="AM11" s="18"/>
      <c r="AN11" s="18"/>
      <c r="AO11" s="18"/>
      <c r="AP11" s="18"/>
      <c r="AQ11" s="18"/>
      <c r="AR11" s="18" t="s">
        <v>2458</v>
      </c>
      <c r="AS11" s="18" t="s">
        <v>2337</v>
      </c>
      <c r="AT11" s="18" t="s">
        <v>2338</v>
      </c>
      <c r="AU11" s="18" t="s">
        <v>2339</v>
      </c>
      <c r="AV11" s="18" t="s">
        <v>91</v>
      </c>
      <c r="AW11" s="32" t="s">
        <v>2342</v>
      </c>
      <c r="AX11" s="18" t="s">
        <v>952</v>
      </c>
      <c r="AY11" s="18" t="s">
        <v>2341</v>
      </c>
    </row>
    <row r="12" customFormat="false" ht="14.25" hidden="false" customHeight="true" outlineLevel="0" collapsed="false">
      <c r="A12" s="18" t="s">
        <v>938</v>
      </c>
      <c r="B12" s="18" t="s">
        <v>938</v>
      </c>
      <c r="C12" s="18" t="s">
        <v>939</v>
      </c>
      <c r="D12" s="18" t="n">
        <v>2019</v>
      </c>
      <c r="E12" s="18" t="s">
        <v>884</v>
      </c>
      <c r="F12" s="18" t="s">
        <v>942</v>
      </c>
      <c r="G12" s="18" t="s">
        <v>943</v>
      </c>
      <c r="H12" s="18" t="n">
        <v>29.7</v>
      </c>
      <c r="I12" s="18" t="n">
        <v>76.96</v>
      </c>
      <c r="J12" s="18" t="s">
        <v>83</v>
      </c>
      <c r="K12" s="18" t="n">
        <v>2015</v>
      </c>
      <c r="L12" s="18" t="s">
        <v>84</v>
      </c>
      <c r="M12" s="18" t="s">
        <v>85</v>
      </c>
      <c r="N12" s="18" t="s">
        <v>86</v>
      </c>
      <c r="O12" s="18" t="s">
        <v>2043</v>
      </c>
      <c r="P12" s="18" t="n">
        <v>44.4</v>
      </c>
      <c r="Q12" s="18" t="n">
        <v>23.46</v>
      </c>
      <c r="R12" s="18"/>
      <c r="S12" s="18"/>
      <c r="T12" s="18"/>
      <c r="U12" s="18"/>
      <c r="V12" s="18"/>
      <c r="W12" s="18"/>
      <c r="X12" s="18" t="n">
        <v>42.57</v>
      </c>
      <c r="Y12" s="18"/>
      <c r="Z12" s="18"/>
      <c r="AA12" s="18"/>
      <c r="AB12" s="18" t="n">
        <v>2</v>
      </c>
      <c r="AC12" s="18" t="n">
        <v>3</v>
      </c>
      <c r="AD12" s="18" t="n">
        <f aca="false">IF(AND(N(AB12)&gt;0,N(AC12)&gt;0),SQRT(2*AB12/AC12),"")</f>
        <v>1.15470053837925</v>
      </c>
      <c r="AE12" s="18"/>
      <c r="AF12" s="18" t="n">
        <v>2</v>
      </c>
      <c r="AG12" s="18" t="n">
        <v>42.5</v>
      </c>
      <c r="AH12" s="18" t="n">
        <v>700</v>
      </c>
      <c r="AI12" s="18" t="n">
        <v>29.7</v>
      </c>
      <c r="AJ12" s="18" t="n">
        <v>6</v>
      </c>
      <c r="AK12" s="18"/>
      <c r="AL12" s="18"/>
      <c r="AM12" s="18"/>
      <c r="AN12" s="18"/>
      <c r="AO12" s="18"/>
      <c r="AP12" s="18"/>
      <c r="AQ12" s="18"/>
      <c r="AR12" s="18" t="s">
        <v>2458</v>
      </c>
      <c r="AS12" s="18" t="s">
        <v>2337</v>
      </c>
      <c r="AT12" s="18" t="s">
        <v>2343</v>
      </c>
      <c r="AU12" s="18" t="s">
        <v>2339</v>
      </c>
      <c r="AV12" s="18" t="s">
        <v>91</v>
      </c>
      <c r="AW12" s="32" t="s">
        <v>2344</v>
      </c>
      <c r="AX12" s="18" t="s">
        <v>952</v>
      </c>
      <c r="AY12" s="18" t="s">
        <v>2341</v>
      </c>
    </row>
    <row r="13" customFormat="false" ht="14.25" hidden="false" customHeight="true" outlineLevel="0" collapsed="false">
      <c r="A13" s="18" t="s">
        <v>938</v>
      </c>
      <c r="B13" s="18" t="s">
        <v>938</v>
      </c>
      <c r="C13" s="18" t="s">
        <v>939</v>
      </c>
      <c r="D13" s="18" t="n">
        <v>2019</v>
      </c>
      <c r="E13" s="18" t="s">
        <v>884</v>
      </c>
      <c r="F13" s="18" t="s">
        <v>942</v>
      </c>
      <c r="G13" s="18" t="s">
        <v>943</v>
      </c>
      <c r="H13" s="18" t="n">
        <v>29.7</v>
      </c>
      <c r="I13" s="18" t="n">
        <v>76.96</v>
      </c>
      <c r="J13" s="18" t="s">
        <v>83</v>
      </c>
      <c r="K13" s="18" t="n">
        <v>2015</v>
      </c>
      <c r="L13" s="18" t="s">
        <v>84</v>
      </c>
      <c r="M13" s="18" t="s">
        <v>85</v>
      </c>
      <c r="N13" s="18" t="s">
        <v>2050</v>
      </c>
      <c r="O13" s="18" t="s">
        <v>2051</v>
      </c>
      <c r="P13" s="18" t="n">
        <v>24.8</v>
      </c>
      <c r="Q13" s="18" t="n">
        <v>20.28</v>
      </c>
      <c r="R13" s="18"/>
      <c r="S13" s="18"/>
      <c r="T13" s="18"/>
      <c r="U13" s="18"/>
      <c r="V13" s="18"/>
      <c r="W13" s="18"/>
      <c r="X13" s="18" t="n">
        <v>30.99</v>
      </c>
      <c r="Y13" s="18"/>
      <c r="Z13" s="18"/>
      <c r="AA13" s="18"/>
      <c r="AB13" s="18" t="n">
        <v>2</v>
      </c>
      <c r="AC13" s="18" t="n">
        <v>3</v>
      </c>
      <c r="AD13" s="18" t="n">
        <f aca="false">IF(AND(N(AB13)&gt;0,N(AC13)&gt;0),SQRT(2*AB13/AC13),"")</f>
        <v>1.15470053837925</v>
      </c>
      <c r="AE13" s="18"/>
      <c r="AF13" s="18" t="n">
        <v>2</v>
      </c>
      <c r="AG13" s="18" t="n">
        <v>42.5</v>
      </c>
      <c r="AH13" s="18" t="n">
        <v>700</v>
      </c>
      <c r="AI13" s="18" t="n">
        <v>29.7</v>
      </c>
      <c r="AJ13" s="18" t="n">
        <v>6</v>
      </c>
      <c r="AK13" s="18"/>
      <c r="AL13" s="18"/>
      <c r="AM13" s="18"/>
      <c r="AN13" s="18"/>
      <c r="AO13" s="18"/>
      <c r="AP13" s="18"/>
      <c r="AQ13" s="18"/>
      <c r="AR13" s="18" t="s">
        <v>2458</v>
      </c>
      <c r="AS13" s="18" t="s">
        <v>2337</v>
      </c>
      <c r="AT13" s="18" t="s">
        <v>2343</v>
      </c>
      <c r="AU13" s="18" t="s">
        <v>2339</v>
      </c>
      <c r="AV13" s="18" t="s">
        <v>91</v>
      </c>
      <c r="AW13" s="32" t="s">
        <v>2345</v>
      </c>
      <c r="AX13" s="18" t="s">
        <v>952</v>
      </c>
      <c r="AY13" s="18" t="s">
        <v>2341</v>
      </c>
    </row>
    <row r="14" customFormat="false" ht="14.25" hidden="false" customHeight="true" outlineLevel="0" collapsed="false">
      <c r="A14" s="5" t="s">
        <v>1018</v>
      </c>
      <c r="B14" s="5" t="s">
        <v>1018</v>
      </c>
      <c r="C14" s="5" t="s">
        <v>1019</v>
      </c>
      <c r="D14" s="5" t="n">
        <v>2011</v>
      </c>
      <c r="E14" s="5" t="s">
        <v>1020</v>
      </c>
      <c r="F14" s="5" t="s">
        <v>887</v>
      </c>
      <c r="G14" s="5" t="s">
        <v>1023</v>
      </c>
      <c r="H14" s="5" t="n">
        <v>29.017</v>
      </c>
      <c r="I14" s="5" t="n">
        <v>77.75</v>
      </c>
      <c r="J14" s="5" t="s">
        <v>83</v>
      </c>
      <c r="K14" s="5" t="s">
        <v>2459</v>
      </c>
      <c r="L14" s="5" t="s">
        <v>872</v>
      </c>
      <c r="M14" s="5" t="s">
        <v>85</v>
      </c>
      <c r="N14" s="5" t="s">
        <v>86</v>
      </c>
      <c r="O14" s="5" t="s">
        <v>2043</v>
      </c>
      <c r="P14" s="5"/>
      <c r="Q14" s="5" t="n">
        <v>54.33</v>
      </c>
      <c r="R14" s="5" t="n">
        <v>61.47</v>
      </c>
      <c r="S14" s="5"/>
      <c r="T14" s="5"/>
      <c r="U14" s="5" t="n">
        <v>57.67</v>
      </c>
      <c r="V14" s="5"/>
      <c r="W14" s="5"/>
      <c r="X14" s="5"/>
      <c r="Y14" s="5" t="n">
        <v>54.2</v>
      </c>
      <c r="Z14" s="5"/>
      <c r="AA14" s="5"/>
      <c r="AB14" s="5" t="n">
        <v>8</v>
      </c>
      <c r="AC14" s="5" t="n">
        <v>3</v>
      </c>
      <c r="AD14" s="5" t="n">
        <f aca="false">IF(AND(N(AB14)&gt;0,N(AC14)&gt;0),SQRT(2*AB14/AC14),"")</f>
        <v>2.3094010767585</v>
      </c>
      <c r="AE14" s="5" t="n">
        <v>19</v>
      </c>
      <c r="AF14" s="5" t="n">
        <v>2</v>
      </c>
      <c r="AG14" s="5" t="n">
        <v>43</v>
      </c>
      <c r="AH14" s="5" t="n">
        <v>800</v>
      </c>
      <c r="AI14" s="5" t="n">
        <v>29.017</v>
      </c>
      <c r="AJ14" s="5" t="n">
        <v>2</v>
      </c>
      <c r="AK14" s="5"/>
      <c r="AL14" s="5"/>
      <c r="AM14" s="5" t="n">
        <v>8.1</v>
      </c>
      <c r="AN14" s="5"/>
      <c r="AO14" s="5"/>
      <c r="AP14" s="5" t="n">
        <v>55</v>
      </c>
      <c r="AQ14" s="5" t="n">
        <v>26</v>
      </c>
      <c r="AR14" s="5" t="s">
        <v>2453</v>
      </c>
      <c r="AS14" s="5" t="s">
        <v>2099</v>
      </c>
      <c r="AT14" s="5" t="s">
        <v>2460</v>
      </c>
      <c r="AU14" s="5" t="s">
        <v>2101</v>
      </c>
      <c r="AV14" s="5" t="s">
        <v>91</v>
      </c>
      <c r="AW14" s="23" t="s">
        <v>2461</v>
      </c>
      <c r="AX14" s="5" t="s">
        <v>1038</v>
      </c>
      <c r="AY14" s="5" t="s">
        <v>2462</v>
      </c>
    </row>
    <row r="15" customFormat="false" ht="14.25" hidden="false" customHeight="true" outlineLevel="0" collapsed="false">
      <c r="A15" s="5" t="s">
        <v>1018</v>
      </c>
      <c r="B15" s="5" t="s">
        <v>1018</v>
      </c>
      <c r="C15" s="5" t="s">
        <v>1019</v>
      </c>
      <c r="D15" s="5" t="n">
        <v>2011</v>
      </c>
      <c r="E15" s="5" t="s">
        <v>1020</v>
      </c>
      <c r="F15" s="5" t="s">
        <v>887</v>
      </c>
      <c r="G15" s="5" t="s">
        <v>1023</v>
      </c>
      <c r="H15" s="5" t="n">
        <v>29.017</v>
      </c>
      <c r="I15" s="5" t="n">
        <v>77.75</v>
      </c>
      <c r="J15" s="5" t="s">
        <v>83</v>
      </c>
      <c r="K15" s="5" t="s">
        <v>2459</v>
      </c>
      <c r="L15" s="5" t="s">
        <v>872</v>
      </c>
      <c r="M15" s="5" t="s">
        <v>85</v>
      </c>
      <c r="N15" s="5" t="s">
        <v>86</v>
      </c>
      <c r="O15" s="5" t="s">
        <v>2043</v>
      </c>
      <c r="P15" s="5"/>
      <c r="Q15" s="5" t="n">
        <v>54.33</v>
      </c>
      <c r="R15" s="5" t="n">
        <v>56.27</v>
      </c>
      <c r="S15" s="5"/>
      <c r="T15" s="5"/>
      <c r="U15" s="5" t="n">
        <v>54.93</v>
      </c>
      <c r="V15" s="5"/>
      <c r="W15" s="5"/>
      <c r="X15" s="5"/>
      <c r="Y15" s="5" t="n">
        <v>54.2</v>
      </c>
      <c r="Z15" s="5"/>
      <c r="AA15" s="5"/>
      <c r="AB15" s="5" t="n">
        <v>8</v>
      </c>
      <c r="AC15" s="5" t="n">
        <v>3</v>
      </c>
      <c r="AD15" s="5" t="n">
        <f aca="false">IF(AND(N(AB15)&gt;0,N(AC15)&gt;0),SQRT(2*AB15/AC15),"")</f>
        <v>2.3094010767585</v>
      </c>
      <c r="AE15" s="5" t="n">
        <v>19</v>
      </c>
      <c r="AF15" s="5" t="n">
        <v>2</v>
      </c>
      <c r="AG15" s="5" t="n">
        <v>43</v>
      </c>
      <c r="AH15" s="5" t="n">
        <v>800</v>
      </c>
      <c r="AI15" s="5" t="n">
        <v>29.017</v>
      </c>
      <c r="AJ15" s="5" t="n">
        <v>2</v>
      </c>
      <c r="AK15" s="5"/>
      <c r="AL15" s="5"/>
      <c r="AM15" s="5" t="n">
        <v>8.1</v>
      </c>
      <c r="AN15" s="5"/>
      <c r="AO15" s="5"/>
      <c r="AP15" s="5" t="n">
        <v>55</v>
      </c>
      <c r="AQ15" s="5" t="n">
        <v>26</v>
      </c>
      <c r="AR15" s="5" t="s">
        <v>2453</v>
      </c>
      <c r="AS15" s="5" t="s">
        <v>2099</v>
      </c>
      <c r="AT15" s="5" t="s">
        <v>2460</v>
      </c>
      <c r="AU15" s="5" t="s">
        <v>2101</v>
      </c>
      <c r="AV15" s="5" t="s">
        <v>91</v>
      </c>
      <c r="AW15" s="23" t="s">
        <v>2463</v>
      </c>
      <c r="AX15" s="5" t="s">
        <v>1038</v>
      </c>
      <c r="AY15" s="5" t="s">
        <v>2462</v>
      </c>
    </row>
    <row r="16" customFormat="false" ht="14.25" hidden="false" customHeight="true" outlineLevel="0" collapsed="false">
      <c r="A16" s="5" t="s">
        <v>1018</v>
      </c>
      <c r="B16" s="5" t="s">
        <v>1018</v>
      </c>
      <c r="C16" s="5" t="s">
        <v>1019</v>
      </c>
      <c r="D16" s="5" t="n">
        <v>2011</v>
      </c>
      <c r="E16" s="5" t="s">
        <v>1020</v>
      </c>
      <c r="F16" s="5" t="s">
        <v>887</v>
      </c>
      <c r="G16" s="5" t="s">
        <v>1023</v>
      </c>
      <c r="H16" s="5" t="n">
        <v>29.017</v>
      </c>
      <c r="I16" s="5" t="n">
        <v>77.75</v>
      </c>
      <c r="J16" s="5" t="s">
        <v>83</v>
      </c>
      <c r="K16" s="5" t="s">
        <v>2464</v>
      </c>
      <c r="L16" s="5" t="s">
        <v>872</v>
      </c>
      <c r="M16" s="5" t="s">
        <v>85</v>
      </c>
      <c r="N16" s="5" t="s">
        <v>86</v>
      </c>
      <c r="O16" s="5" t="s">
        <v>2043</v>
      </c>
      <c r="P16" s="5"/>
      <c r="Q16" s="5" t="n">
        <v>53.9</v>
      </c>
      <c r="R16" s="5" t="n">
        <v>55.27</v>
      </c>
      <c r="S16" s="5"/>
      <c r="T16" s="5"/>
      <c r="U16" s="5" t="n">
        <v>56.33</v>
      </c>
      <c r="V16" s="5"/>
      <c r="W16" s="5"/>
      <c r="X16" s="5"/>
      <c r="Y16" s="5" t="n">
        <v>53.1</v>
      </c>
      <c r="Z16" s="5"/>
      <c r="AA16" s="5"/>
      <c r="AB16" s="5" t="n">
        <v>8</v>
      </c>
      <c r="AC16" s="5" t="n">
        <v>3</v>
      </c>
      <c r="AD16" s="5" t="n">
        <f aca="false">IF(AND(N(AB16)&gt;0,N(AC16)&gt;0),SQRT(2*AB16/AC16),"")</f>
        <v>2.3094010767585</v>
      </c>
      <c r="AE16" s="5" t="n">
        <v>19</v>
      </c>
      <c r="AF16" s="5" t="n">
        <v>2</v>
      </c>
      <c r="AG16" s="5" t="n">
        <v>43</v>
      </c>
      <c r="AH16" s="5" t="n">
        <v>800</v>
      </c>
      <c r="AI16" s="5" t="n">
        <v>29.017</v>
      </c>
      <c r="AJ16" s="5" t="n">
        <v>3</v>
      </c>
      <c r="AK16" s="5"/>
      <c r="AL16" s="5"/>
      <c r="AM16" s="5" t="n">
        <v>8.1</v>
      </c>
      <c r="AN16" s="5"/>
      <c r="AO16" s="5"/>
      <c r="AP16" s="5" t="n">
        <v>55</v>
      </c>
      <c r="AQ16" s="5" t="n">
        <v>26</v>
      </c>
      <c r="AR16" s="5" t="s">
        <v>2453</v>
      </c>
      <c r="AS16" s="5" t="s">
        <v>2099</v>
      </c>
      <c r="AT16" s="5" t="s">
        <v>2465</v>
      </c>
      <c r="AU16" s="5" t="s">
        <v>2101</v>
      </c>
      <c r="AV16" s="5" t="s">
        <v>91</v>
      </c>
      <c r="AW16" s="23" t="s">
        <v>2461</v>
      </c>
      <c r="AX16" s="5" t="s">
        <v>1038</v>
      </c>
      <c r="AY16" s="5" t="s">
        <v>2462</v>
      </c>
    </row>
    <row r="17" customFormat="false" ht="14.25" hidden="false" customHeight="true" outlineLevel="0" collapsed="false">
      <c r="A17" s="5" t="s">
        <v>1018</v>
      </c>
      <c r="B17" s="5" t="s">
        <v>1018</v>
      </c>
      <c r="C17" s="5" t="s">
        <v>1019</v>
      </c>
      <c r="D17" s="5" t="n">
        <v>2011</v>
      </c>
      <c r="E17" s="5" t="s">
        <v>1020</v>
      </c>
      <c r="F17" s="5" t="s">
        <v>887</v>
      </c>
      <c r="G17" s="5" t="s">
        <v>1023</v>
      </c>
      <c r="H17" s="5" t="n">
        <v>29.017</v>
      </c>
      <c r="I17" s="5" t="n">
        <v>77.75</v>
      </c>
      <c r="J17" s="5" t="s">
        <v>83</v>
      </c>
      <c r="K17" s="5" t="s">
        <v>2464</v>
      </c>
      <c r="L17" s="5" t="s">
        <v>872</v>
      </c>
      <c r="M17" s="5" t="s">
        <v>85</v>
      </c>
      <c r="N17" s="5" t="s">
        <v>86</v>
      </c>
      <c r="O17" s="5" t="s">
        <v>2043</v>
      </c>
      <c r="P17" s="5"/>
      <c r="Q17" s="5" t="n">
        <v>53.9</v>
      </c>
      <c r="R17" s="5" t="n">
        <v>53.4</v>
      </c>
      <c r="S17" s="5"/>
      <c r="T17" s="5"/>
      <c r="U17" s="5" t="n">
        <v>55.33</v>
      </c>
      <c r="V17" s="5"/>
      <c r="W17" s="5"/>
      <c r="X17" s="5"/>
      <c r="Y17" s="5" t="n">
        <v>53.1</v>
      </c>
      <c r="Z17" s="5"/>
      <c r="AA17" s="5"/>
      <c r="AB17" s="5" t="n">
        <v>8</v>
      </c>
      <c r="AC17" s="5" t="n">
        <v>3</v>
      </c>
      <c r="AD17" s="5" t="n">
        <f aca="false">IF(AND(N(AB17)&gt;0,N(AC17)&gt;0),SQRT(2*AB17/AC17),"")</f>
        <v>2.3094010767585</v>
      </c>
      <c r="AE17" s="5" t="n">
        <v>19</v>
      </c>
      <c r="AF17" s="5" t="n">
        <v>2</v>
      </c>
      <c r="AG17" s="5" t="n">
        <v>43</v>
      </c>
      <c r="AH17" s="5" t="n">
        <v>800</v>
      </c>
      <c r="AI17" s="5" t="n">
        <v>29.017</v>
      </c>
      <c r="AJ17" s="5" t="n">
        <v>3</v>
      </c>
      <c r="AK17" s="5"/>
      <c r="AL17" s="5"/>
      <c r="AM17" s="5" t="n">
        <v>8.1</v>
      </c>
      <c r="AN17" s="5"/>
      <c r="AO17" s="5"/>
      <c r="AP17" s="5" t="n">
        <v>55</v>
      </c>
      <c r="AQ17" s="5" t="n">
        <v>26</v>
      </c>
      <c r="AR17" s="5" t="s">
        <v>2453</v>
      </c>
      <c r="AS17" s="5" t="s">
        <v>2099</v>
      </c>
      <c r="AT17" s="5" t="s">
        <v>2465</v>
      </c>
      <c r="AU17" s="5" t="s">
        <v>2101</v>
      </c>
      <c r="AV17" s="5" t="s">
        <v>91</v>
      </c>
      <c r="AW17" s="23" t="s">
        <v>2463</v>
      </c>
      <c r="AX17" s="5" t="s">
        <v>1038</v>
      </c>
      <c r="AY17" s="5" t="s">
        <v>2462</v>
      </c>
    </row>
    <row r="18" customFormat="false" ht="14.25" hidden="false" customHeight="true" outlineLevel="0" collapsed="false">
      <c r="A18" s="5" t="s">
        <v>1018</v>
      </c>
      <c r="B18" s="5" t="s">
        <v>1018</v>
      </c>
      <c r="C18" s="5" t="s">
        <v>1019</v>
      </c>
      <c r="D18" s="5" t="n">
        <v>2011</v>
      </c>
      <c r="E18" s="5" t="s">
        <v>1020</v>
      </c>
      <c r="F18" s="5" t="s">
        <v>887</v>
      </c>
      <c r="G18" s="5" t="s">
        <v>1023</v>
      </c>
      <c r="H18" s="5" t="n">
        <v>29.017</v>
      </c>
      <c r="I18" s="5" t="n">
        <v>77.75</v>
      </c>
      <c r="J18" s="5" t="s">
        <v>83</v>
      </c>
      <c r="K18" s="5" t="s">
        <v>2466</v>
      </c>
      <c r="L18" s="5" t="s">
        <v>84</v>
      </c>
      <c r="M18" s="5" t="s">
        <v>85</v>
      </c>
      <c r="N18" s="5" t="s">
        <v>86</v>
      </c>
      <c r="O18" s="5" t="s">
        <v>2043</v>
      </c>
      <c r="P18" s="5"/>
      <c r="Q18" s="5" t="n">
        <v>54.07</v>
      </c>
      <c r="R18" s="5" t="n">
        <v>64.2</v>
      </c>
      <c r="S18" s="5"/>
      <c r="T18" s="5"/>
      <c r="U18" s="5" t="n">
        <v>63.87</v>
      </c>
      <c r="V18" s="5"/>
      <c r="W18" s="5"/>
      <c r="X18" s="5"/>
      <c r="Y18" s="5" t="n">
        <v>55.27</v>
      </c>
      <c r="Z18" s="5"/>
      <c r="AA18" s="5"/>
      <c r="AB18" s="5" t="n">
        <v>8</v>
      </c>
      <c r="AC18" s="5" t="n">
        <v>3</v>
      </c>
      <c r="AD18" s="5" t="n">
        <f aca="false">IF(AND(N(AB18)&gt;0,N(AC18)&gt;0),SQRT(2*AB18/AC18),"")</f>
        <v>2.3094010767585</v>
      </c>
      <c r="AE18" s="5" t="n">
        <v>19</v>
      </c>
      <c r="AF18" s="5" t="n">
        <v>2</v>
      </c>
      <c r="AG18" s="5" t="n">
        <v>43</v>
      </c>
      <c r="AH18" s="5" t="n">
        <v>800</v>
      </c>
      <c r="AI18" s="5" t="n">
        <v>29.017</v>
      </c>
      <c r="AJ18" s="5" t="n">
        <v>4</v>
      </c>
      <c r="AK18" s="5"/>
      <c r="AL18" s="5"/>
      <c r="AM18" s="5" t="n">
        <v>8.1</v>
      </c>
      <c r="AN18" s="5"/>
      <c r="AO18" s="5"/>
      <c r="AP18" s="5" t="n">
        <v>55</v>
      </c>
      <c r="AQ18" s="5" t="n">
        <v>26</v>
      </c>
      <c r="AR18" s="5" t="s">
        <v>2453</v>
      </c>
      <c r="AS18" s="5" t="s">
        <v>2099</v>
      </c>
      <c r="AT18" s="5" t="s">
        <v>2467</v>
      </c>
      <c r="AU18" s="5" t="s">
        <v>2101</v>
      </c>
      <c r="AV18" s="5" t="s">
        <v>91</v>
      </c>
      <c r="AW18" s="23" t="s">
        <v>2461</v>
      </c>
      <c r="AX18" s="5" t="s">
        <v>1038</v>
      </c>
      <c r="AY18" s="5" t="s">
        <v>2462</v>
      </c>
    </row>
    <row r="19" customFormat="false" ht="14.25" hidden="false" customHeight="true" outlineLevel="0" collapsed="false">
      <c r="A19" s="5" t="s">
        <v>1018</v>
      </c>
      <c r="B19" s="5" t="s">
        <v>1018</v>
      </c>
      <c r="C19" s="5" t="s">
        <v>1019</v>
      </c>
      <c r="D19" s="5" t="n">
        <v>2011</v>
      </c>
      <c r="E19" s="5" t="s">
        <v>1020</v>
      </c>
      <c r="F19" s="5" t="s">
        <v>887</v>
      </c>
      <c r="G19" s="5" t="s">
        <v>1023</v>
      </c>
      <c r="H19" s="5" t="n">
        <v>29.017</v>
      </c>
      <c r="I19" s="5" t="n">
        <v>77.75</v>
      </c>
      <c r="J19" s="5" t="s">
        <v>83</v>
      </c>
      <c r="K19" s="5" t="s">
        <v>2466</v>
      </c>
      <c r="L19" s="5" t="s">
        <v>84</v>
      </c>
      <c r="M19" s="5" t="s">
        <v>85</v>
      </c>
      <c r="N19" s="5" t="s">
        <v>86</v>
      </c>
      <c r="O19" s="5" t="s">
        <v>2043</v>
      </c>
      <c r="P19" s="5"/>
      <c r="Q19" s="5" t="n">
        <v>54.07</v>
      </c>
      <c r="R19" s="5" t="n">
        <v>63.67</v>
      </c>
      <c r="S19" s="5"/>
      <c r="T19" s="5"/>
      <c r="U19" s="5" t="n">
        <v>60.93</v>
      </c>
      <c r="V19" s="5"/>
      <c r="W19" s="5"/>
      <c r="X19" s="5"/>
      <c r="Y19" s="5" t="n">
        <v>55.27</v>
      </c>
      <c r="Z19" s="5"/>
      <c r="AA19" s="5"/>
      <c r="AB19" s="5" t="n">
        <v>8</v>
      </c>
      <c r="AC19" s="5" t="n">
        <v>3</v>
      </c>
      <c r="AD19" s="5" t="n">
        <f aca="false">IF(AND(N(AB19)&gt;0,N(AC19)&gt;0),SQRT(2*AB19/AC19),"")</f>
        <v>2.3094010767585</v>
      </c>
      <c r="AE19" s="5" t="n">
        <v>19</v>
      </c>
      <c r="AF19" s="5" t="n">
        <v>2</v>
      </c>
      <c r="AG19" s="5" t="n">
        <v>43</v>
      </c>
      <c r="AH19" s="5" t="n">
        <v>800</v>
      </c>
      <c r="AI19" s="5" t="n">
        <v>29.017</v>
      </c>
      <c r="AJ19" s="5" t="n">
        <v>4</v>
      </c>
      <c r="AK19" s="5"/>
      <c r="AL19" s="5"/>
      <c r="AM19" s="5" t="n">
        <v>8.1</v>
      </c>
      <c r="AN19" s="5"/>
      <c r="AO19" s="5"/>
      <c r="AP19" s="5" t="n">
        <v>55</v>
      </c>
      <c r="AQ19" s="5" t="n">
        <v>26</v>
      </c>
      <c r="AR19" s="5" t="s">
        <v>2453</v>
      </c>
      <c r="AS19" s="5" t="s">
        <v>2099</v>
      </c>
      <c r="AT19" s="5" t="s">
        <v>2467</v>
      </c>
      <c r="AU19" s="5" t="s">
        <v>2101</v>
      </c>
      <c r="AV19" s="5" t="s">
        <v>91</v>
      </c>
      <c r="AW19" s="23" t="s">
        <v>2463</v>
      </c>
      <c r="AX19" s="5" t="s">
        <v>1038</v>
      </c>
      <c r="AY19" s="5" t="s">
        <v>2462</v>
      </c>
    </row>
    <row r="20" customFormat="false" ht="14.25" hidden="false" customHeight="true" outlineLevel="0" collapsed="false">
      <c r="A20" s="5" t="s">
        <v>1018</v>
      </c>
      <c r="B20" s="5" t="s">
        <v>1018</v>
      </c>
      <c r="C20" s="5" t="s">
        <v>1019</v>
      </c>
      <c r="D20" s="5" t="n">
        <v>2011</v>
      </c>
      <c r="E20" s="5" t="s">
        <v>1020</v>
      </c>
      <c r="F20" s="5" t="s">
        <v>887</v>
      </c>
      <c r="G20" s="5" t="s">
        <v>1023</v>
      </c>
      <c r="H20" s="5" t="n">
        <v>29.017</v>
      </c>
      <c r="I20" s="5" t="n">
        <v>77.75</v>
      </c>
      <c r="J20" s="5" t="s">
        <v>83</v>
      </c>
      <c r="K20" s="5" t="s">
        <v>2183</v>
      </c>
      <c r="L20" s="5" t="s">
        <v>84</v>
      </c>
      <c r="M20" s="5" t="s">
        <v>85</v>
      </c>
      <c r="N20" s="5" t="s">
        <v>86</v>
      </c>
      <c r="O20" s="5" t="s">
        <v>2043</v>
      </c>
      <c r="P20" s="5"/>
      <c r="Q20" s="5" t="n">
        <v>53.67</v>
      </c>
      <c r="R20" s="5" t="n">
        <v>72.67</v>
      </c>
      <c r="S20" s="5"/>
      <c r="T20" s="5"/>
      <c r="U20" s="5" t="n">
        <v>69.6</v>
      </c>
      <c r="V20" s="5"/>
      <c r="W20" s="5"/>
      <c r="X20" s="5"/>
      <c r="Y20" s="5" t="n">
        <v>55.53</v>
      </c>
      <c r="Z20" s="5"/>
      <c r="AA20" s="5"/>
      <c r="AB20" s="5" t="n">
        <v>8</v>
      </c>
      <c r="AC20" s="5" t="n">
        <v>3</v>
      </c>
      <c r="AD20" s="5" t="n">
        <f aca="false">IF(AND(N(AB20)&gt;0,N(AC20)&gt;0),SQRT(2*AB20/AC20),"")</f>
        <v>2.3094010767585</v>
      </c>
      <c r="AE20" s="5" t="n">
        <v>19</v>
      </c>
      <c r="AF20" s="5" t="n">
        <v>2</v>
      </c>
      <c r="AG20" s="5" t="n">
        <v>43</v>
      </c>
      <c r="AH20" s="5" t="n">
        <v>800</v>
      </c>
      <c r="AI20" s="5" t="n">
        <v>29.017</v>
      </c>
      <c r="AJ20" s="5" t="n">
        <v>5</v>
      </c>
      <c r="AK20" s="5"/>
      <c r="AL20" s="5"/>
      <c r="AM20" s="5" t="n">
        <v>8.1</v>
      </c>
      <c r="AN20" s="5"/>
      <c r="AO20" s="5"/>
      <c r="AP20" s="5" t="n">
        <v>55</v>
      </c>
      <c r="AQ20" s="5" t="n">
        <v>26</v>
      </c>
      <c r="AR20" s="5" t="s">
        <v>2453</v>
      </c>
      <c r="AS20" s="5" t="s">
        <v>2099</v>
      </c>
      <c r="AT20" s="5" t="s">
        <v>2468</v>
      </c>
      <c r="AU20" s="5" t="s">
        <v>2101</v>
      </c>
      <c r="AV20" s="5" t="s">
        <v>91</v>
      </c>
      <c r="AW20" s="23" t="s">
        <v>2461</v>
      </c>
      <c r="AX20" s="5" t="s">
        <v>1038</v>
      </c>
      <c r="AY20" s="5" t="s">
        <v>2462</v>
      </c>
    </row>
    <row r="21" customFormat="false" ht="14.25" hidden="false" customHeight="true" outlineLevel="0" collapsed="false">
      <c r="A21" s="5" t="s">
        <v>1018</v>
      </c>
      <c r="B21" s="5" t="s">
        <v>1018</v>
      </c>
      <c r="C21" s="5" t="s">
        <v>1019</v>
      </c>
      <c r="D21" s="5" t="n">
        <v>2011</v>
      </c>
      <c r="E21" s="5" t="s">
        <v>1020</v>
      </c>
      <c r="F21" s="5" t="s">
        <v>887</v>
      </c>
      <c r="G21" s="5" t="s">
        <v>1023</v>
      </c>
      <c r="H21" s="5" t="n">
        <v>29.017</v>
      </c>
      <c r="I21" s="5" t="n">
        <v>77.75</v>
      </c>
      <c r="J21" s="5" t="s">
        <v>83</v>
      </c>
      <c r="K21" s="5" t="s">
        <v>2183</v>
      </c>
      <c r="L21" s="5" t="s">
        <v>84</v>
      </c>
      <c r="M21" s="5" t="s">
        <v>85</v>
      </c>
      <c r="N21" s="5" t="s">
        <v>86</v>
      </c>
      <c r="O21" s="5" t="s">
        <v>2043</v>
      </c>
      <c r="P21" s="5"/>
      <c r="Q21" s="5" t="n">
        <v>53.67</v>
      </c>
      <c r="R21" s="5" t="n">
        <v>69.4</v>
      </c>
      <c r="S21" s="5"/>
      <c r="T21" s="5"/>
      <c r="U21" s="5" t="n">
        <v>68</v>
      </c>
      <c r="V21" s="5"/>
      <c r="W21" s="5"/>
      <c r="X21" s="5"/>
      <c r="Y21" s="5" t="n">
        <v>55.53</v>
      </c>
      <c r="Z21" s="5"/>
      <c r="AA21" s="5"/>
      <c r="AB21" s="5" t="n">
        <v>8</v>
      </c>
      <c r="AC21" s="5" t="n">
        <v>3</v>
      </c>
      <c r="AD21" s="5" t="n">
        <f aca="false">IF(AND(N(AB21)&gt;0,N(AC21)&gt;0),SQRT(2*AB21/AC21),"")</f>
        <v>2.3094010767585</v>
      </c>
      <c r="AE21" s="5" t="n">
        <v>19</v>
      </c>
      <c r="AF21" s="5" t="n">
        <v>2</v>
      </c>
      <c r="AG21" s="5" t="n">
        <v>43</v>
      </c>
      <c r="AH21" s="5" t="n">
        <v>800</v>
      </c>
      <c r="AI21" s="5" t="n">
        <v>29.017</v>
      </c>
      <c r="AJ21" s="5" t="n">
        <v>5</v>
      </c>
      <c r="AK21" s="5"/>
      <c r="AL21" s="5"/>
      <c r="AM21" s="5" t="n">
        <v>8.1</v>
      </c>
      <c r="AN21" s="5"/>
      <c r="AO21" s="5"/>
      <c r="AP21" s="5" t="n">
        <v>55</v>
      </c>
      <c r="AQ21" s="5" t="n">
        <v>26</v>
      </c>
      <c r="AR21" s="5" t="s">
        <v>2453</v>
      </c>
      <c r="AS21" s="5" t="s">
        <v>2099</v>
      </c>
      <c r="AT21" s="5" t="s">
        <v>2468</v>
      </c>
      <c r="AU21" s="5" t="s">
        <v>2101</v>
      </c>
      <c r="AV21" s="5" t="s">
        <v>91</v>
      </c>
      <c r="AW21" s="23" t="s">
        <v>2463</v>
      </c>
      <c r="AX21" s="5" t="s">
        <v>1038</v>
      </c>
      <c r="AY21" s="5" t="s">
        <v>2462</v>
      </c>
    </row>
    <row r="22" customFormat="false" ht="14.25" hidden="false" customHeight="true" outlineLevel="0" collapsed="false">
      <c r="A22" s="5" t="s">
        <v>1018</v>
      </c>
      <c r="B22" s="5" t="s">
        <v>1018</v>
      </c>
      <c r="C22" s="5" t="s">
        <v>1019</v>
      </c>
      <c r="D22" s="5" t="n">
        <v>2011</v>
      </c>
      <c r="E22" s="5" t="s">
        <v>1020</v>
      </c>
      <c r="F22" s="5" t="s">
        <v>887</v>
      </c>
      <c r="G22" s="5" t="s">
        <v>1023</v>
      </c>
      <c r="H22" s="5" t="n">
        <v>29.017</v>
      </c>
      <c r="I22" s="5" t="n">
        <v>77.75</v>
      </c>
      <c r="J22" s="5" t="s">
        <v>83</v>
      </c>
      <c r="K22" s="5" t="s">
        <v>2052</v>
      </c>
      <c r="L22" s="5" t="s">
        <v>84</v>
      </c>
      <c r="M22" s="5" t="s">
        <v>85</v>
      </c>
      <c r="N22" s="5" t="s">
        <v>86</v>
      </c>
      <c r="O22" s="5" t="s">
        <v>2043</v>
      </c>
      <c r="P22" s="5"/>
      <c r="Q22" s="5" t="n">
        <v>50.07</v>
      </c>
      <c r="R22" s="5" t="n">
        <v>74.67</v>
      </c>
      <c r="S22" s="5"/>
      <c r="T22" s="5"/>
      <c r="U22" s="5" t="n">
        <v>70.07</v>
      </c>
      <c r="V22" s="5"/>
      <c r="W22" s="5"/>
      <c r="X22" s="5"/>
      <c r="Y22" s="5" t="n">
        <v>52.2</v>
      </c>
      <c r="Z22" s="5"/>
      <c r="AA22" s="5"/>
      <c r="AB22" s="5" t="n">
        <v>8</v>
      </c>
      <c r="AC22" s="5" t="n">
        <v>3</v>
      </c>
      <c r="AD22" s="5" t="n">
        <f aca="false">IF(AND(N(AB22)&gt;0,N(AC22)&gt;0),SQRT(2*AB22/AC22),"")</f>
        <v>2.3094010767585</v>
      </c>
      <c r="AE22" s="5" t="n">
        <v>19</v>
      </c>
      <c r="AF22" s="5" t="n">
        <v>2</v>
      </c>
      <c r="AG22" s="5" t="n">
        <v>43</v>
      </c>
      <c r="AH22" s="5" t="n">
        <v>800</v>
      </c>
      <c r="AI22" s="5" t="n">
        <v>29.017</v>
      </c>
      <c r="AJ22" s="5" t="n">
        <v>6</v>
      </c>
      <c r="AK22" s="5"/>
      <c r="AL22" s="5"/>
      <c r="AM22" s="5" t="n">
        <v>8.1</v>
      </c>
      <c r="AN22" s="5"/>
      <c r="AO22" s="5"/>
      <c r="AP22" s="5" t="n">
        <v>55</v>
      </c>
      <c r="AQ22" s="5" t="n">
        <v>26</v>
      </c>
      <c r="AR22" s="5" t="s">
        <v>2453</v>
      </c>
      <c r="AS22" s="5" t="s">
        <v>2099</v>
      </c>
      <c r="AT22" s="5" t="s">
        <v>2469</v>
      </c>
      <c r="AU22" s="5" t="s">
        <v>2101</v>
      </c>
      <c r="AV22" s="5" t="s">
        <v>91</v>
      </c>
      <c r="AW22" s="23" t="s">
        <v>2461</v>
      </c>
      <c r="AX22" s="5" t="s">
        <v>1038</v>
      </c>
      <c r="AY22" s="5" t="s">
        <v>2462</v>
      </c>
    </row>
    <row r="23" customFormat="false" ht="14.25" hidden="false" customHeight="true" outlineLevel="0" collapsed="false">
      <c r="A23" s="5" t="s">
        <v>1018</v>
      </c>
      <c r="B23" s="5" t="s">
        <v>1018</v>
      </c>
      <c r="C23" s="5" t="s">
        <v>1019</v>
      </c>
      <c r="D23" s="5" t="n">
        <v>2011</v>
      </c>
      <c r="E23" s="5" t="s">
        <v>1020</v>
      </c>
      <c r="F23" s="5" t="s">
        <v>887</v>
      </c>
      <c r="G23" s="5" t="s">
        <v>1023</v>
      </c>
      <c r="H23" s="5" t="n">
        <v>29.017</v>
      </c>
      <c r="I23" s="5" t="n">
        <v>77.75</v>
      </c>
      <c r="J23" s="5" t="s">
        <v>83</v>
      </c>
      <c r="K23" s="5" t="s">
        <v>2052</v>
      </c>
      <c r="L23" s="5" t="s">
        <v>84</v>
      </c>
      <c r="M23" s="5" t="s">
        <v>85</v>
      </c>
      <c r="N23" s="5" t="s">
        <v>86</v>
      </c>
      <c r="O23" s="5" t="s">
        <v>2043</v>
      </c>
      <c r="P23" s="5"/>
      <c r="Q23" s="5" t="n">
        <v>50.07</v>
      </c>
      <c r="R23" s="5" t="n">
        <v>71.67</v>
      </c>
      <c r="S23" s="5"/>
      <c r="T23" s="5"/>
      <c r="U23" s="5" t="n">
        <v>69.07</v>
      </c>
      <c r="V23" s="5"/>
      <c r="W23" s="5"/>
      <c r="X23" s="5"/>
      <c r="Y23" s="5" t="n">
        <v>52.2</v>
      </c>
      <c r="Z23" s="5"/>
      <c r="AA23" s="5"/>
      <c r="AB23" s="5" t="n">
        <v>8</v>
      </c>
      <c r="AC23" s="5" t="n">
        <v>3</v>
      </c>
      <c r="AD23" s="5" t="n">
        <f aca="false">IF(AND(N(AB23)&gt;0,N(AC23)&gt;0),SQRT(2*AB23/AC23),"")</f>
        <v>2.3094010767585</v>
      </c>
      <c r="AE23" s="5" t="n">
        <v>19</v>
      </c>
      <c r="AF23" s="5" t="n">
        <v>2</v>
      </c>
      <c r="AG23" s="5" t="n">
        <v>43</v>
      </c>
      <c r="AH23" s="5" t="n">
        <v>800</v>
      </c>
      <c r="AI23" s="5" t="n">
        <v>29.017</v>
      </c>
      <c r="AJ23" s="5" t="n">
        <v>6</v>
      </c>
      <c r="AK23" s="5"/>
      <c r="AL23" s="5"/>
      <c r="AM23" s="5" t="n">
        <v>8.1</v>
      </c>
      <c r="AN23" s="5"/>
      <c r="AO23" s="5"/>
      <c r="AP23" s="5" t="n">
        <v>55</v>
      </c>
      <c r="AQ23" s="5" t="n">
        <v>26</v>
      </c>
      <c r="AR23" s="5" t="s">
        <v>2453</v>
      </c>
      <c r="AS23" s="5" t="s">
        <v>2099</v>
      </c>
      <c r="AT23" s="5" t="s">
        <v>2469</v>
      </c>
      <c r="AU23" s="5" t="s">
        <v>2101</v>
      </c>
      <c r="AV23" s="5" t="s">
        <v>91</v>
      </c>
      <c r="AW23" s="23" t="s">
        <v>2463</v>
      </c>
      <c r="AX23" s="5" t="s">
        <v>1038</v>
      </c>
      <c r="AY23" s="5" t="s">
        <v>2462</v>
      </c>
    </row>
    <row r="24" customFormat="false" ht="14.25" hidden="false" customHeight="true" outlineLevel="0" collapsed="false">
      <c r="A24" s="5" t="s">
        <v>1018</v>
      </c>
      <c r="B24" s="5" t="s">
        <v>1018</v>
      </c>
      <c r="C24" s="5" t="s">
        <v>1019</v>
      </c>
      <c r="D24" s="5" t="n">
        <v>2011</v>
      </c>
      <c r="E24" s="5" t="s">
        <v>1020</v>
      </c>
      <c r="F24" s="5" t="s">
        <v>887</v>
      </c>
      <c r="G24" s="5" t="s">
        <v>1023</v>
      </c>
      <c r="H24" s="5" t="n">
        <v>29.017</v>
      </c>
      <c r="I24" s="5" t="n">
        <v>77.75</v>
      </c>
      <c r="J24" s="5" t="s">
        <v>83</v>
      </c>
      <c r="K24" s="5" t="s">
        <v>2355</v>
      </c>
      <c r="L24" s="5" t="s">
        <v>84</v>
      </c>
      <c r="M24" s="5" t="s">
        <v>85</v>
      </c>
      <c r="N24" s="5" t="s">
        <v>86</v>
      </c>
      <c r="O24" s="5" t="s">
        <v>2043</v>
      </c>
      <c r="P24" s="5"/>
      <c r="Q24" s="5" t="n">
        <v>49.93</v>
      </c>
      <c r="R24" s="5" t="n">
        <v>75.2</v>
      </c>
      <c r="S24" s="5"/>
      <c r="T24" s="5"/>
      <c r="U24" s="5" t="n">
        <v>70.13</v>
      </c>
      <c r="V24" s="5"/>
      <c r="W24" s="5"/>
      <c r="X24" s="5"/>
      <c r="Y24" s="5" t="n">
        <v>51.27</v>
      </c>
      <c r="Z24" s="5"/>
      <c r="AA24" s="5"/>
      <c r="AB24" s="5" t="n">
        <v>8</v>
      </c>
      <c r="AC24" s="5" t="n">
        <v>3</v>
      </c>
      <c r="AD24" s="5" t="n">
        <f aca="false">IF(AND(N(AB24)&gt;0,N(AC24)&gt;0),SQRT(2*AB24/AC24),"")</f>
        <v>2.3094010767585</v>
      </c>
      <c r="AE24" s="5" t="n">
        <v>19</v>
      </c>
      <c r="AF24" s="5" t="n">
        <v>2</v>
      </c>
      <c r="AG24" s="5" t="n">
        <v>43</v>
      </c>
      <c r="AH24" s="5" t="n">
        <v>800</v>
      </c>
      <c r="AI24" s="5" t="n">
        <v>29.017</v>
      </c>
      <c r="AJ24" s="5" t="n">
        <v>7</v>
      </c>
      <c r="AK24" s="5"/>
      <c r="AL24" s="5"/>
      <c r="AM24" s="5" t="n">
        <v>8.1</v>
      </c>
      <c r="AN24" s="5"/>
      <c r="AO24" s="5"/>
      <c r="AP24" s="5" t="n">
        <v>55</v>
      </c>
      <c r="AQ24" s="5" t="n">
        <v>26</v>
      </c>
      <c r="AR24" s="5" t="s">
        <v>2453</v>
      </c>
      <c r="AS24" s="5" t="s">
        <v>2099</v>
      </c>
      <c r="AT24" s="5" t="s">
        <v>2424</v>
      </c>
      <c r="AU24" s="5" t="s">
        <v>2101</v>
      </c>
      <c r="AV24" s="5" t="s">
        <v>91</v>
      </c>
      <c r="AW24" s="23" t="s">
        <v>2461</v>
      </c>
      <c r="AX24" s="5" t="s">
        <v>1038</v>
      </c>
      <c r="AY24" s="5" t="s">
        <v>2462</v>
      </c>
    </row>
    <row r="25" customFormat="false" ht="14.25" hidden="false" customHeight="true" outlineLevel="0" collapsed="false">
      <c r="A25" s="5" t="s">
        <v>1018</v>
      </c>
      <c r="B25" s="5" t="s">
        <v>1018</v>
      </c>
      <c r="C25" s="5" t="s">
        <v>1019</v>
      </c>
      <c r="D25" s="5" t="n">
        <v>2011</v>
      </c>
      <c r="E25" s="5" t="s">
        <v>1020</v>
      </c>
      <c r="F25" s="5" t="s">
        <v>887</v>
      </c>
      <c r="G25" s="5" t="s">
        <v>1023</v>
      </c>
      <c r="H25" s="5" t="n">
        <v>29.017</v>
      </c>
      <c r="I25" s="5" t="n">
        <v>77.75</v>
      </c>
      <c r="J25" s="5" t="s">
        <v>83</v>
      </c>
      <c r="K25" s="5" t="s">
        <v>2355</v>
      </c>
      <c r="L25" s="5" t="s">
        <v>84</v>
      </c>
      <c r="M25" s="5" t="s">
        <v>85</v>
      </c>
      <c r="N25" s="5" t="s">
        <v>86</v>
      </c>
      <c r="O25" s="5" t="s">
        <v>2043</v>
      </c>
      <c r="P25" s="5"/>
      <c r="Q25" s="5" t="n">
        <v>49.93</v>
      </c>
      <c r="R25" s="5" t="n">
        <v>72.27</v>
      </c>
      <c r="S25" s="5"/>
      <c r="T25" s="5"/>
      <c r="U25" s="5" t="n">
        <v>68.6</v>
      </c>
      <c r="V25" s="5"/>
      <c r="W25" s="5"/>
      <c r="X25" s="5"/>
      <c r="Y25" s="5" t="n">
        <v>51.27</v>
      </c>
      <c r="Z25" s="5"/>
      <c r="AA25" s="5"/>
      <c r="AB25" s="5" t="n">
        <v>8</v>
      </c>
      <c r="AC25" s="5" t="n">
        <v>3</v>
      </c>
      <c r="AD25" s="5" t="n">
        <f aca="false">IF(AND(N(AB25)&gt;0,N(AC25)&gt;0),SQRT(2*AB25/AC25),"")</f>
        <v>2.3094010767585</v>
      </c>
      <c r="AE25" s="5" t="n">
        <v>19</v>
      </c>
      <c r="AF25" s="5" t="n">
        <v>2</v>
      </c>
      <c r="AG25" s="5" t="n">
        <v>43</v>
      </c>
      <c r="AH25" s="5" t="n">
        <v>800</v>
      </c>
      <c r="AI25" s="5" t="n">
        <v>29.017</v>
      </c>
      <c r="AJ25" s="5" t="n">
        <v>7</v>
      </c>
      <c r="AK25" s="5"/>
      <c r="AL25" s="5"/>
      <c r="AM25" s="5" t="n">
        <v>8.1</v>
      </c>
      <c r="AN25" s="5"/>
      <c r="AO25" s="5"/>
      <c r="AP25" s="5" t="n">
        <v>55</v>
      </c>
      <c r="AQ25" s="5" t="n">
        <v>26</v>
      </c>
      <c r="AR25" s="5" t="s">
        <v>2453</v>
      </c>
      <c r="AS25" s="5" t="s">
        <v>2099</v>
      </c>
      <c r="AT25" s="5" t="s">
        <v>2424</v>
      </c>
      <c r="AU25" s="5" t="s">
        <v>2101</v>
      </c>
      <c r="AV25" s="5" t="s">
        <v>91</v>
      </c>
      <c r="AW25" s="23" t="s">
        <v>2463</v>
      </c>
      <c r="AX25" s="5" t="s">
        <v>1038</v>
      </c>
      <c r="AY25" s="5" t="s">
        <v>2462</v>
      </c>
    </row>
    <row r="26" customFormat="false" ht="14.25" hidden="false" customHeight="true" outlineLevel="0" collapsed="false">
      <c r="A26" s="18" t="n">
        <v>173</v>
      </c>
      <c r="B26" s="18" t="n">
        <v>173</v>
      </c>
      <c r="C26" s="18" t="s">
        <v>1133</v>
      </c>
      <c r="D26" s="18" t="n">
        <v>2023</v>
      </c>
      <c r="E26" s="18" t="s">
        <v>1134</v>
      </c>
      <c r="F26" s="18" t="s">
        <v>866</v>
      </c>
      <c r="G26" s="18" t="s">
        <v>1137</v>
      </c>
      <c r="H26" s="18" t="n">
        <v>28.633</v>
      </c>
      <c r="I26" s="18" t="n">
        <v>77.15</v>
      </c>
      <c r="J26" s="18" t="s">
        <v>83</v>
      </c>
      <c r="K26" s="18" t="n">
        <v>2020</v>
      </c>
      <c r="L26" s="18" t="s">
        <v>84</v>
      </c>
      <c r="M26" s="18" t="s">
        <v>85</v>
      </c>
      <c r="N26" s="18" t="s">
        <v>86</v>
      </c>
      <c r="O26" s="18" t="s">
        <v>2043</v>
      </c>
      <c r="P26" s="18" t="n">
        <v>51.3</v>
      </c>
      <c r="Q26" s="18" t="n">
        <v>48.9</v>
      </c>
      <c r="R26" s="18"/>
      <c r="S26" s="18" t="n">
        <v>51.1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2470</v>
      </c>
      <c r="AS26" s="18" t="s">
        <v>2165</v>
      </c>
      <c r="AT26" s="18" t="s">
        <v>2166</v>
      </c>
      <c r="AU26" s="18" t="s">
        <v>2167</v>
      </c>
      <c r="AV26" s="18" t="s">
        <v>2079</v>
      </c>
      <c r="AW26" s="32" t="s">
        <v>2471</v>
      </c>
      <c r="AX26" s="18" t="s">
        <v>1148</v>
      </c>
      <c r="AY26" s="18" t="s">
        <v>2472</v>
      </c>
    </row>
    <row r="27" customFormat="false" ht="14.25" hidden="false" customHeight="true" outlineLevel="0" collapsed="false">
      <c r="A27" s="18" t="n">
        <v>173</v>
      </c>
      <c r="B27" s="18" t="n">
        <v>173</v>
      </c>
      <c r="C27" s="18" t="s">
        <v>1133</v>
      </c>
      <c r="D27" s="18" t="n">
        <v>2023</v>
      </c>
      <c r="E27" s="18" t="s">
        <v>1134</v>
      </c>
      <c r="F27" s="18" t="s">
        <v>866</v>
      </c>
      <c r="G27" s="18" t="s">
        <v>1137</v>
      </c>
      <c r="H27" s="18" t="n">
        <v>28.633</v>
      </c>
      <c r="I27" s="18" t="n">
        <v>77.15</v>
      </c>
      <c r="J27" s="18" t="s">
        <v>83</v>
      </c>
      <c r="K27" s="18" t="n">
        <v>2020</v>
      </c>
      <c r="L27" s="18" t="s">
        <v>84</v>
      </c>
      <c r="M27" s="18" t="s">
        <v>85</v>
      </c>
      <c r="N27" s="18" t="s">
        <v>86</v>
      </c>
      <c r="O27" s="18" t="s">
        <v>2043</v>
      </c>
      <c r="P27" s="18" t="n">
        <v>50.5</v>
      </c>
      <c r="Q27" s="18" t="n">
        <v>49.3</v>
      </c>
      <c r="R27" s="18"/>
      <c r="S27" s="18" t="n">
        <v>50.8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2470</v>
      </c>
      <c r="AS27" s="18" t="s">
        <v>2165</v>
      </c>
      <c r="AT27" s="18" t="s">
        <v>2166</v>
      </c>
      <c r="AU27" s="18" t="s">
        <v>2167</v>
      </c>
      <c r="AV27" s="18" t="s">
        <v>2079</v>
      </c>
      <c r="AW27" s="32" t="s">
        <v>2473</v>
      </c>
      <c r="AX27" s="18" t="s">
        <v>1148</v>
      </c>
      <c r="AY27" s="18" t="s">
        <v>2472</v>
      </c>
    </row>
    <row r="28" customFormat="false" ht="14.25" hidden="false" customHeight="true" outlineLevel="0" collapsed="false">
      <c r="A28" s="18" t="n">
        <v>173</v>
      </c>
      <c r="B28" s="18" t="n">
        <v>173</v>
      </c>
      <c r="C28" s="18" t="s">
        <v>1133</v>
      </c>
      <c r="D28" s="18" t="n">
        <v>2023</v>
      </c>
      <c r="E28" s="18" t="s">
        <v>1134</v>
      </c>
      <c r="F28" s="18" t="s">
        <v>866</v>
      </c>
      <c r="G28" s="18" t="s">
        <v>1137</v>
      </c>
      <c r="H28" s="18" t="n">
        <v>28.633</v>
      </c>
      <c r="I28" s="18" t="n">
        <v>77.15</v>
      </c>
      <c r="J28" s="18" t="s">
        <v>83</v>
      </c>
      <c r="K28" s="18" t="n">
        <v>2020</v>
      </c>
      <c r="L28" s="18" t="s">
        <v>84</v>
      </c>
      <c r="M28" s="18" t="s">
        <v>85</v>
      </c>
      <c r="N28" s="18" t="s">
        <v>86</v>
      </c>
      <c r="O28" s="18" t="s">
        <v>2043</v>
      </c>
      <c r="P28" s="18" t="n">
        <v>52.6</v>
      </c>
      <c r="Q28" s="18" t="n">
        <v>48.9</v>
      </c>
      <c r="R28" s="18"/>
      <c r="S28" s="18" t="n">
        <v>51.1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2470</v>
      </c>
      <c r="AS28" s="18" t="s">
        <v>2165</v>
      </c>
      <c r="AT28" s="18" t="s">
        <v>2166</v>
      </c>
      <c r="AU28" s="18" t="s">
        <v>2167</v>
      </c>
      <c r="AV28" s="18" t="s">
        <v>2079</v>
      </c>
      <c r="AW28" s="32" t="s">
        <v>2474</v>
      </c>
      <c r="AX28" s="18" t="s">
        <v>1148</v>
      </c>
      <c r="AY28" s="18" t="s">
        <v>2472</v>
      </c>
    </row>
    <row r="29" customFormat="false" ht="14.25" hidden="false" customHeight="true" outlineLevel="0" collapsed="false">
      <c r="A29" s="18" t="n">
        <v>173</v>
      </c>
      <c r="B29" s="18" t="n">
        <v>173</v>
      </c>
      <c r="C29" s="18" t="s">
        <v>1133</v>
      </c>
      <c r="D29" s="18" t="n">
        <v>2023</v>
      </c>
      <c r="E29" s="18" t="s">
        <v>1134</v>
      </c>
      <c r="F29" s="18" t="s">
        <v>866</v>
      </c>
      <c r="G29" s="18" t="s">
        <v>1137</v>
      </c>
      <c r="H29" s="18" t="n">
        <v>28.633</v>
      </c>
      <c r="I29" s="18" t="n">
        <v>77.15</v>
      </c>
      <c r="J29" s="18" t="s">
        <v>83</v>
      </c>
      <c r="K29" s="18" t="n">
        <v>2020</v>
      </c>
      <c r="L29" s="18" t="s">
        <v>84</v>
      </c>
      <c r="M29" s="18" t="s">
        <v>85</v>
      </c>
      <c r="N29" s="18" t="s">
        <v>86</v>
      </c>
      <c r="O29" s="18" t="s">
        <v>2043</v>
      </c>
      <c r="P29" s="18" t="n">
        <v>53.5</v>
      </c>
      <c r="Q29" s="18" t="n">
        <v>49.3</v>
      </c>
      <c r="R29" s="18"/>
      <c r="S29" s="18" t="n">
        <v>50.8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2470</v>
      </c>
      <c r="AS29" s="18" t="s">
        <v>2165</v>
      </c>
      <c r="AT29" s="18" t="s">
        <v>2166</v>
      </c>
      <c r="AU29" s="18" t="s">
        <v>2167</v>
      </c>
      <c r="AV29" s="18" t="s">
        <v>2079</v>
      </c>
      <c r="AW29" s="32" t="s">
        <v>2475</v>
      </c>
      <c r="AX29" s="18" t="s">
        <v>1148</v>
      </c>
      <c r="AY29" s="18" t="s">
        <v>2472</v>
      </c>
    </row>
    <row r="30" customFormat="false" ht="14.25" hidden="false" customHeight="true" outlineLevel="0" collapsed="false">
      <c r="A30" s="18" t="n">
        <v>173</v>
      </c>
      <c r="B30" s="18" t="n">
        <v>173</v>
      </c>
      <c r="C30" s="18" t="s">
        <v>1133</v>
      </c>
      <c r="D30" s="18" t="n">
        <v>2023</v>
      </c>
      <c r="E30" s="18" t="s">
        <v>1134</v>
      </c>
      <c r="F30" s="18" t="s">
        <v>866</v>
      </c>
      <c r="G30" s="18" t="s">
        <v>1137</v>
      </c>
      <c r="H30" s="18" t="n">
        <v>28.633</v>
      </c>
      <c r="I30" s="18" t="n">
        <v>77.15</v>
      </c>
      <c r="J30" s="18" t="s">
        <v>83</v>
      </c>
      <c r="K30" s="18" t="n">
        <v>2020</v>
      </c>
      <c r="L30" s="18" t="s">
        <v>84</v>
      </c>
      <c r="M30" s="18" t="s">
        <v>85</v>
      </c>
      <c r="N30" s="18" t="s">
        <v>2050</v>
      </c>
      <c r="O30" s="18" t="s">
        <v>2051</v>
      </c>
      <c r="P30" s="18" t="n">
        <v>48.6</v>
      </c>
      <c r="Q30" s="18" t="n">
        <v>47.4</v>
      </c>
      <c r="R30" s="18"/>
      <c r="S30" s="18" t="n">
        <v>49.5</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2470</v>
      </c>
      <c r="AS30" s="18" t="s">
        <v>2165</v>
      </c>
      <c r="AT30" s="18" t="s">
        <v>2166</v>
      </c>
      <c r="AU30" s="18" t="s">
        <v>2167</v>
      </c>
      <c r="AV30" s="18" t="s">
        <v>2079</v>
      </c>
      <c r="AW30" s="32" t="s">
        <v>2476</v>
      </c>
      <c r="AX30" s="18" t="s">
        <v>1148</v>
      </c>
      <c r="AY30" s="18" t="s">
        <v>2472</v>
      </c>
    </row>
    <row r="31" customFormat="false" ht="14.25" hidden="false" customHeight="true" outlineLevel="0" collapsed="false">
      <c r="A31" s="18" t="n">
        <v>173</v>
      </c>
      <c r="B31" s="18" t="n">
        <v>173</v>
      </c>
      <c r="C31" s="18" t="s">
        <v>1133</v>
      </c>
      <c r="D31" s="18" t="n">
        <v>2023</v>
      </c>
      <c r="E31" s="18" t="s">
        <v>1134</v>
      </c>
      <c r="F31" s="18" t="s">
        <v>866</v>
      </c>
      <c r="G31" s="18" t="s">
        <v>1137</v>
      </c>
      <c r="H31" s="18" t="n">
        <v>28.633</v>
      </c>
      <c r="I31" s="18" t="n">
        <v>77.15</v>
      </c>
      <c r="J31" s="18" t="s">
        <v>83</v>
      </c>
      <c r="K31" s="18" t="n">
        <v>2020</v>
      </c>
      <c r="L31" s="18" t="s">
        <v>84</v>
      </c>
      <c r="M31" s="18" t="s">
        <v>85</v>
      </c>
      <c r="N31" s="18" t="s">
        <v>2050</v>
      </c>
      <c r="O31" s="18" t="s">
        <v>2051</v>
      </c>
      <c r="P31" s="18" t="n">
        <v>47.7</v>
      </c>
      <c r="Q31" s="18" t="n">
        <v>47.1</v>
      </c>
      <c r="R31" s="18"/>
      <c r="S31" s="18" t="n">
        <v>48.7</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2470</v>
      </c>
      <c r="AS31" s="18" t="s">
        <v>2165</v>
      </c>
      <c r="AT31" s="18" t="s">
        <v>2166</v>
      </c>
      <c r="AU31" s="18" t="s">
        <v>2167</v>
      </c>
      <c r="AV31" s="18" t="s">
        <v>2079</v>
      </c>
      <c r="AW31" s="32" t="s">
        <v>2477</v>
      </c>
      <c r="AX31" s="18" t="s">
        <v>1148</v>
      </c>
      <c r="AY31" s="18" t="s">
        <v>2472</v>
      </c>
    </row>
    <row r="32" customFormat="false" ht="14.25" hidden="false" customHeight="true" outlineLevel="0" collapsed="false">
      <c r="A32" s="18" t="n">
        <v>173</v>
      </c>
      <c r="B32" s="18" t="n">
        <v>173</v>
      </c>
      <c r="C32" s="18" t="s">
        <v>1133</v>
      </c>
      <c r="D32" s="18" t="n">
        <v>2023</v>
      </c>
      <c r="E32" s="18" t="s">
        <v>1134</v>
      </c>
      <c r="F32" s="18" t="s">
        <v>866</v>
      </c>
      <c r="G32" s="18" t="s">
        <v>1137</v>
      </c>
      <c r="H32" s="18" t="n">
        <v>28.633</v>
      </c>
      <c r="I32" s="18" t="n">
        <v>77.15</v>
      </c>
      <c r="J32" s="18" t="s">
        <v>83</v>
      </c>
      <c r="K32" s="18" t="n">
        <v>2020</v>
      </c>
      <c r="L32" s="18" t="s">
        <v>84</v>
      </c>
      <c r="M32" s="18" t="s">
        <v>85</v>
      </c>
      <c r="N32" s="18" t="s">
        <v>2050</v>
      </c>
      <c r="O32" s="18" t="s">
        <v>2051</v>
      </c>
      <c r="P32" s="18" t="n">
        <v>51.2</v>
      </c>
      <c r="Q32" s="18" t="n">
        <v>47.4</v>
      </c>
      <c r="R32" s="18"/>
      <c r="S32" s="18" t="n">
        <v>49.5</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2470</v>
      </c>
      <c r="AS32" s="18" t="s">
        <v>2165</v>
      </c>
      <c r="AT32" s="18" t="s">
        <v>2166</v>
      </c>
      <c r="AU32" s="18" t="s">
        <v>2167</v>
      </c>
      <c r="AV32" s="18" t="s">
        <v>2079</v>
      </c>
      <c r="AW32" s="32" t="s">
        <v>2478</v>
      </c>
      <c r="AX32" s="18" t="s">
        <v>1148</v>
      </c>
      <c r="AY32" s="18" t="s">
        <v>2472</v>
      </c>
    </row>
    <row r="33" customFormat="false" ht="14.25" hidden="false" customHeight="true" outlineLevel="0" collapsed="false">
      <c r="A33" s="18" t="n">
        <v>173</v>
      </c>
      <c r="B33" s="18" t="n">
        <v>173</v>
      </c>
      <c r="C33" s="18" t="s">
        <v>1133</v>
      </c>
      <c r="D33" s="18" t="n">
        <v>2023</v>
      </c>
      <c r="E33" s="18" t="s">
        <v>1134</v>
      </c>
      <c r="F33" s="18" t="s">
        <v>866</v>
      </c>
      <c r="G33" s="18" t="s">
        <v>1137</v>
      </c>
      <c r="H33" s="18" t="n">
        <v>28.633</v>
      </c>
      <c r="I33" s="18" t="n">
        <v>77.15</v>
      </c>
      <c r="J33" s="18" t="s">
        <v>83</v>
      </c>
      <c r="K33" s="18" t="n">
        <v>2020</v>
      </c>
      <c r="L33" s="18" t="s">
        <v>84</v>
      </c>
      <c r="M33" s="18" t="s">
        <v>85</v>
      </c>
      <c r="N33" s="18" t="s">
        <v>2050</v>
      </c>
      <c r="O33" s="18" t="s">
        <v>2051</v>
      </c>
      <c r="P33" s="18" t="n">
        <v>50.2</v>
      </c>
      <c r="Q33" s="18" t="n">
        <v>47.1</v>
      </c>
      <c r="R33" s="18"/>
      <c r="S33" s="18" t="n">
        <v>48.7</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2470</v>
      </c>
      <c r="AS33" s="18" t="s">
        <v>2165</v>
      </c>
      <c r="AT33" s="18" t="s">
        <v>2166</v>
      </c>
      <c r="AU33" s="18" t="s">
        <v>2167</v>
      </c>
      <c r="AV33" s="18" t="s">
        <v>2079</v>
      </c>
      <c r="AW33" s="32" t="s">
        <v>2479</v>
      </c>
      <c r="AX33" s="18" t="s">
        <v>1148</v>
      </c>
      <c r="AY33" s="18" t="s">
        <v>2472</v>
      </c>
    </row>
    <row r="34" customFormat="false" ht="14.25" hidden="false" customHeight="true" outlineLevel="0" collapsed="false">
      <c r="A34" s="18" t="n">
        <v>173</v>
      </c>
      <c r="B34" s="18" t="n">
        <v>173</v>
      </c>
      <c r="C34" s="18" t="s">
        <v>1133</v>
      </c>
      <c r="D34" s="18" t="n">
        <v>2023</v>
      </c>
      <c r="E34" s="18" t="s">
        <v>1134</v>
      </c>
      <c r="F34" s="18" t="s">
        <v>866</v>
      </c>
      <c r="G34" s="18" t="s">
        <v>1137</v>
      </c>
      <c r="H34" s="18" t="n">
        <v>28.633</v>
      </c>
      <c r="I34" s="18" t="n">
        <v>77.15</v>
      </c>
      <c r="J34" s="18" t="s">
        <v>83</v>
      </c>
      <c r="K34" s="18" t="n">
        <v>2020</v>
      </c>
      <c r="L34" s="18" t="s">
        <v>84</v>
      </c>
      <c r="M34" s="18" t="s">
        <v>85</v>
      </c>
      <c r="N34" s="18" t="s">
        <v>2177</v>
      </c>
      <c r="O34" s="18" t="s">
        <v>2178</v>
      </c>
      <c r="P34" s="18" t="n">
        <v>47.7</v>
      </c>
      <c r="Q34" s="18" t="n">
        <v>46.3</v>
      </c>
      <c r="R34" s="18"/>
      <c r="S34" s="18" t="n">
        <v>48.7</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2470</v>
      </c>
      <c r="AS34" s="18" t="s">
        <v>2165</v>
      </c>
      <c r="AT34" s="18" t="s">
        <v>2166</v>
      </c>
      <c r="AU34" s="18" t="s">
        <v>2167</v>
      </c>
      <c r="AV34" s="18" t="s">
        <v>2079</v>
      </c>
      <c r="AW34" s="32" t="s">
        <v>2480</v>
      </c>
      <c r="AX34" s="18" t="s">
        <v>1148</v>
      </c>
      <c r="AY34" s="18" t="s">
        <v>2472</v>
      </c>
    </row>
    <row r="35" customFormat="false" ht="14.25" hidden="false" customHeight="true" outlineLevel="0" collapsed="false">
      <c r="A35" s="18" t="n">
        <v>173</v>
      </c>
      <c r="B35" s="18" t="n">
        <v>173</v>
      </c>
      <c r="C35" s="18" t="s">
        <v>1133</v>
      </c>
      <c r="D35" s="18" t="n">
        <v>2023</v>
      </c>
      <c r="E35" s="18" t="s">
        <v>1134</v>
      </c>
      <c r="F35" s="18" t="s">
        <v>866</v>
      </c>
      <c r="G35" s="18" t="s">
        <v>1137</v>
      </c>
      <c r="H35" s="18" t="n">
        <v>28.633</v>
      </c>
      <c r="I35" s="18" t="n">
        <v>77.15</v>
      </c>
      <c r="J35" s="18" t="s">
        <v>83</v>
      </c>
      <c r="K35" s="18" t="n">
        <v>2020</v>
      </c>
      <c r="L35" s="18" t="s">
        <v>84</v>
      </c>
      <c r="M35" s="18" t="s">
        <v>85</v>
      </c>
      <c r="N35" s="18" t="s">
        <v>2177</v>
      </c>
      <c r="O35" s="18" t="s">
        <v>2178</v>
      </c>
      <c r="P35" s="18" t="n">
        <v>46.2</v>
      </c>
      <c r="Q35" s="18" t="n">
        <v>47.2</v>
      </c>
      <c r="R35" s="18"/>
      <c r="S35" s="18" t="n">
        <v>48</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2470</v>
      </c>
      <c r="AS35" s="18" t="s">
        <v>2165</v>
      </c>
      <c r="AT35" s="18" t="s">
        <v>2166</v>
      </c>
      <c r="AU35" s="18" t="s">
        <v>2167</v>
      </c>
      <c r="AV35" s="18" t="s">
        <v>2079</v>
      </c>
      <c r="AW35" s="32" t="s">
        <v>2481</v>
      </c>
      <c r="AX35" s="18" t="s">
        <v>1148</v>
      </c>
      <c r="AY35" s="18" t="s">
        <v>2472</v>
      </c>
    </row>
    <row r="36" customFormat="false" ht="14.25" hidden="false" customHeight="true" outlineLevel="0" collapsed="false">
      <c r="A36" s="18" t="n">
        <v>173</v>
      </c>
      <c r="B36" s="18" t="n">
        <v>173</v>
      </c>
      <c r="C36" s="18" t="s">
        <v>1133</v>
      </c>
      <c r="D36" s="18" t="n">
        <v>2023</v>
      </c>
      <c r="E36" s="18" t="s">
        <v>1134</v>
      </c>
      <c r="F36" s="18" t="s">
        <v>866</v>
      </c>
      <c r="G36" s="18" t="s">
        <v>1137</v>
      </c>
      <c r="H36" s="18" t="n">
        <v>28.633</v>
      </c>
      <c r="I36" s="18" t="n">
        <v>77.15</v>
      </c>
      <c r="J36" s="18" t="s">
        <v>83</v>
      </c>
      <c r="K36" s="18" t="n">
        <v>2020</v>
      </c>
      <c r="L36" s="18" t="s">
        <v>84</v>
      </c>
      <c r="M36" s="18" t="s">
        <v>85</v>
      </c>
      <c r="N36" s="18" t="s">
        <v>2177</v>
      </c>
      <c r="O36" s="18" t="s">
        <v>2178</v>
      </c>
      <c r="P36" s="18" t="n">
        <v>49.7</v>
      </c>
      <c r="Q36" s="18" t="n">
        <v>46.3</v>
      </c>
      <c r="R36" s="18"/>
      <c r="S36" s="18" t="n">
        <v>48.7</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2470</v>
      </c>
      <c r="AS36" s="18" t="s">
        <v>2165</v>
      </c>
      <c r="AT36" s="18" t="s">
        <v>2166</v>
      </c>
      <c r="AU36" s="18" t="s">
        <v>2167</v>
      </c>
      <c r="AV36" s="18" t="s">
        <v>2079</v>
      </c>
      <c r="AW36" s="32" t="s">
        <v>2482</v>
      </c>
      <c r="AX36" s="18" t="s">
        <v>1148</v>
      </c>
      <c r="AY36" s="18" t="s">
        <v>2472</v>
      </c>
    </row>
    <row r="37" customFormat="false" ht="14.25" hidden="false" customHeight="true" outlineLevel="0" collapsed="false">
      <c r="A37" s="18" t="n">
        <v>173</v>
      </c>
      <c r="B37" s="18" t="n">
        <v>173</v>
      </c>
      <c r="C37" s="18" t="s">
        <v>1133</v>
      </c>
      <c r="D37" s="18" t="n">
        <v>2023</v>
      </c>
      <c r="E37" s="18" t="s">
        <v>1134</v>
      </c>
      <c r="F37" s="18" t="s">
        <v>866</v>
      </c>
      <c r="G37" s="18" t="s">
        <v>1137</v>
      </c>
      <c r="H37" s="18" t="n">
        <v>28.633</v>
      </c>
      <c r="I37" s="18" t="n">
        <v>77.15</v>
      </c>
      <c r="J37" s="18" t="s">
        <v>83</v>
      </c>
      <c r="K37" s="18" t="n">
        <v>2020</v>
      </c>
      <c r="L37" s="18" t="s">
        <v>84</v>
      </c>
      <c r="M37" s="18" t="s">
        <v>85</v>
      </c>
      <c r="N37" s="18" t="s">
        <v>2177</v>
      </c>
      <c r="O37" s="18" t="s">
        <v>2178</v>
      </c>
      <c r="P37" s="18" t="n">
        <v>49.6</v>
      </c>
      <c r="Q37" s="18" t="n">
        <v>47.2</v>
      </c>
      <c r="R37" s="18"/>
      <c r="S37" s="18" t="n">
        <v>48</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2470</v>
      </c>
      <c r="AS37" s="18" t="s">
        <v>2165</v>
      </c>
      <c r="AT37" s="18" t="s">
        <v>2166</v>
      </c>
      <c r="AU37" s="18" t="s">
        <v>2167</v>
      </c>
      <c r="AV37" s="18" t="s">
        <v>2079</v>
      </c>
      <c r="AW37" s="32" t="s">
        <v>2483</v>
      </c>
      <c r="AX37" s="18" t="s">
        <v>1148</v>
      </c>
      <c r="AY37" s="18" t="s">
        <v>2472</v>
      </c>
    </row>
    <row r="38" customFormat="false" ht="14.25" hidden="false" customHeight="false" outlineLevel="0" collapsed="false">
      <c r="A38" s="24" t="n">
        <v>174</v>
      </c>
      <c r="B38" s="24" t="n">
        <v>174</v>
      </c>
      <c r="C38" s="24" t="s">
        <v>1152</v>
      </c>
      <c r="D38" s="24" t="n">
        <v>2017</v>
      </c>
      <c r="E38" s="24" t="s">
        <v>1153</v>
      </c>
      <c r="F38" s="24" t="s">
        <v>887</v>
      </c>
      <c r="G38" s="24" t="s">
        <v>1156</v>
      </c>
      <c r="H38" s="24" t="n">
        <v>29.067</v>
      </c>
      <c r="I38" s="24" t="n">
        <v>77.767</v>
      </c>
      <c r="J38" s="24" t="s">
        <v>83</v>
      </c>
      <c r="K38" s="24" t="s">
        <v>2183</v>
      </c>
      <c r="L38" s="24" t="s">
        <v>872</v>
      </c>
      <c r="M38" s="24" t="s">
        <v>85</v>
      </c>
      <c r="N38" s="24" t="s">
        <v>86</v>
      </c>
      <c r="O38" s="24" t="s">
        <v>2043</v>
      </c>
      <c r="P38" s="24" t="n">
        <v>58.44</v>
      </c>
      <c r="Q38" s="24"/>
      <c r="R38" s="24" t="n">
        <v>54.82</v>
      </c>
      <c r="S38" s="24"/>
      <c r="T38" s="24"/>
      <c r="U38" s="24"/>
      <c r="V38" s="24"/>
      <c r="W38" s="24"/>
      <c r="X38" s="24" t="n">
        <v>58.66</v>
      </c>
      <c r="Y38" s="24" t="n">
        <v>53.38</v>
      </c>
      <c r="Z38" s="24"/>
      <c r="AA38" s="24"/>
      <c r="AB38" s="24" t="n">
        <v>2</v>
      </c>
      <c r="AC38" s="24" t="n">
        <v>3</v>
      </c>
      <c r="AD38" s="24" t="n">
        <f aca="false">IF(AND(N(AB38)&gt;0,N(AC38)&gt;0),SQRT(2*AB38/AC38),"")</f>
        <v>1.15470053837925</v>
      </c>
      <c r="AE38" s="24" t="n">
        <v>16.5</v>
      </c>
      <c r="AF38" s="24" t="n">
        <v>5</v>
      </c>
      <c r="AG38" s="24" t="n">
        <v>46</v>
      </c>
      <c r="AH38" s="24" t="n">
        <v>863</v>
      </c>
      <c r="AI38" s="24" t="n">
        <v>29.067</v>
      </c>
      <c r="AJ38" s="24" t="n">
        <v>2</v>
      </c>
      <c r="AK38" s="24"/>
      <c r="AL38" s="24"/>
      <c r="AM38" s="24" t="n">
        <v>8.1</v>
      </c>
      <c r="AN38" s="24" t="n">
        <v>8.3</v>
      </c>
      <c r="AO38" s="24"/>
      <c r="AP38" s="24" t="n">
        <v>62</v>
      </c>
      <c r="AQ38" s="24" t="n">
        <v>20.5</v>
      </c>
      <c r="AR38" s="24" t="s">
        <v>2453</v>
      </c>
      <c r="AS38" s="24" t="s">
        <v>2184</v>
      </c>
      <c r="AT38" s="24" t="s">
        <v>2185</v>
      </c>
      <c r="AU38" s="24" t="s">
        <v>2186</v>
      </c>
      <c r="AV38" s="24" t="s">
        <v>2362</v>
      </c>
      <c r="AW38" s="25" t="s">
        <v>2484</v>
      </c>
      <c r="AX38" s="24" t="s">
        <v>1167</v>
      </c>
      <c r="AY38" s="24" t="s">
        <v>2364</v>
      </c>
    </row>
    <row r="39" customFormat="false" ht="14.25" hidden="false" customHeight="false" outlineLevel="0" collapsed="false">
      <c r="A39" s="24" t="n">
        <v>174</v>
      </c>
      <c r="B39" s="24" t="n">
        <v>174</v>
      </c>
      <c r="C39" s="24" t="s">
        <v>1152</v>
      </c>
      <c r="D39" s="24" t="n">
        <v>2017</v>
      </c>
      <c r="E39" s="24" t="s">
        <v>1153</v>
      </c>
      <c r="F39" s="24" t="s">
        <v>887</v>
      </c>
      <c r="G39" s="24" t="s">
        <v>1156</v>
      </c>
      <c r="H39" s="24" t="n">
        <v>29.067</v>
      </c>
      <c r="I39" s="24" t="n">
        <v>77.767</v>
      </c>
      <c r="J39" s="24" t="s">
        <v>83</v>
      </c>
      <c r="K39" s="24" t="s">
        <v>2183</v>
      </c>
      <c r="L39" s="24" t="s">
        <v>872</v>
      </c>
      <c r="M39" s="24" t="s">
        <v>85</v>
      </c>
      <c r="N39" s="24" t="s">
        <v>86</v>
      </c>
      <c r="O39" s="24" t="s">
        <v>2043</v>
      </c>
      <c r="P39" s="24" t="n">
        <v>61.5</v>
      </c>
      <c r="Q39" s="24"/>
      <c r="R39" s="24" t="n">
        <v>58.66</v>
      </c>
      <c r="S39" s="24"/>
      <c r="T39" s="24"/>
      <c r="U39" s="24"/>
      <c r="V39" s="24"/>
      <c r="W39" s="24"/>
      <c r="X39" s="24" t="n">
        <v>58.66</v>
      </c>
      <c r="Y39" s="24" t="n">
        <v>53.38</v>
      </c>
      <c r="Z39" s="24"/>
      <c r="AA39" s="24"/>
      <c r="AB39" s="24" t="n">
        <v>2</v>
      </c>
      <c r="AC39" s="24" t="n">
        <v>3</v>
      </c>
      <c r="AD39" s="24" t="n">
        <f aca="false">IF(AND(N(AB39)&gt;0,N(AC39)&gt;0),SQRT(2*AB39/AC39),"")</f>
        <v>1.15470053837925</v>
      </c>
      <c r="AE39" s="24" t="n">
        <v>16.5</v>
      </c>
      <c r="AF39" s="24" t="n">
        <v>5</v>
      </c>
      <c r="AG39" s="24" t="n">
        <v>46</v>
      </c>
      <c r="AH39" s="24" t="n">
        <v>863</v>
      </c>
      <c r="AI39" s="24" t="n">
        <v>29.067</v>
      </c>
      <c r="AJ39" s="24" t="n">
        <v>2</v>
      </c>
      <c r="AK39" s="24"/>
      <c r="AL39" s="24"/>
      <c r="AM39" s="24" t="n">
        <v>8.1</v>
      </c>
      <c r="AN39" s="24" t="n">
        <v>8.3</v>
      </c>
      <c r="AO39" s="24"/>
      <c r="AP39" s="24" t="n">
        <v>62</v>
      </c>
      <c r="AQ39" s="24" t="n">
        <v>20.5</v>
      </c>
      <c r="AR39" s="24" t="s">
        <v>2453</v>
      </c>
      <c r="AS39" s="24" t="s">
        <v>2184</v>
      </c>
      <c r="AT39" s="24" t="s">
        <v>2185</v>
      </c>
      <c r="AU39" s="24" t="s">
        <v>2186</v>
      </c>
      <c r="AV39" s="24" t="s">
        <v>2362</v>
      </c>
      <c r="AW39" s="25" t="s">
        <v>2485</v>
      </c>
      <c r="AX39" s="24" t="s">
        <v>1167</v>
      </c>
      <c r="AY39" s="24" t="s">
        <v>2364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2486</v>
      </c>
      <c r="Q1" s="27" t="s">
        <v>2487</v>
      </c>
      <c r="R1" s="27" t="s">
        <v>2488</v>
      </c>
      <c r="S1" s="27" t="s">
        <v>2489</v>
      </c>
      <c r="T1" s="27" t="s">
        <v>2490</v>
      </c>
      <c r="U1" s="27" t="s">
        <v>2491</v>
      </c>
      <c r="V1" s="27" t="s">
        <v>2492</v>
      </c>
      <c r="W1" s="27" t="s">
        <v>2493</v>
      </c>
      <c r="X1" s="30" t="s">
        <v>2494</v>
      </c>
      <c r="Y1" s="30" t="s">
        <v>2495</v>
      </c>
      <c r="Z1" s="30" t="s">
        <v>2496</v>
      </c>
      <c r="AA1" s="30" t="s">
        <v>2497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2498</v>
      </c>
      <c r="AS2" s="18" t="s">
        <v>2044</v>
      </c>
      <c r="AT2" s="18" t="s">
        <v>2045</v>
      </c>
      <c r="AU2" s="18" t="s">
        <v>2046</v>
      </c>
      <c r="AV2" s="18" t="s">
        <v>91</v>
      </c>
      <c r="AW2" s="32" t="s">
        <v>2499</v>
      </c>
      <c r="AX2" s="18" t="s">
        <v>928</v>
      </c>
      <c r="AY2" s="18" t="s">
        <v>2415</v>
      </c>
      <c r="BA2" s="33" t="s">
        <v>1297</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2050</v>
      </c>
      <c r="O3" s="18" t="s">
        <v>2051</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2498</v>
      </c>
      <c r="AS3" s="18" t="s">
        <v>2044</v>
      </c>
      <c r="AT3" s="18" t="s">
        <v>2045</v>
      </c>
      <c r="AU3" s="18" t="s">
        <v>2046</v>
      </c>
      <c r="AV3" s="18" t="s">
        <v>91</v>
      </c>
      <c r="AW3" s="32" t="s">
        <v>2499</v>
      </c>
      <c r="AX3" s="18" t="s">
        <v>928</v>
      </c>
      <c r="AY3" s="18" t="s">
        <v>2415</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2500</v>
      </c>
      <c r="AS4" s="5" t="s">
        <v>2319</v>
      </c>
      <c r="AT4" s="5" t="s">
        <v>2320</v>
      </c>
      <c r="AU4" s="5" t="s">
        <v>2321</v>
      </c>
      <c r="AV4" s="5" t="s">
        <v>2079</v>
      </c>
      <c r="AW4" s="23" t="s">
        <v>2501</v>
      </c>
      <c r="AX4" s="5" t="s">
        <v>899</v>
      </c>
      <c r="AY4" s="5" t="s">
        <v>2419</v>
      </c>
    </row>
    <row r="5" customFormat="false" ht="1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2329</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2500</v>
      </c>
      <c r="AS5" s="5" t="s">
        <v>2319</v>
      </c>
      <c r="AT5" s="5" t="s">
        <v>2320</v>
      </c>
      <c r="AU5" s="5" t="s">
        <v>2321</v>
      </c>
      <c r="AV5" s="5" t="s">
        <v>2079</v>
      </c>
      <c r="AW5" s="23" t="s">
        <v>2501</v>
      </c>
      <c r="AX5" s="5" t="s">
        <v>899</v>
      </c>
      <c r="AY5" s="5" t="s">
        <v>2419</v>
      </c>
    </row>
    <row r="6" customFormat="false" ht="1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2050</v>
      </c>
      <c r="O6" s="5" t="s">
        <v>2051</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2500</v>
      </c>
      <c r="AS6" s="5" t="s">
        <v>2319</v>
      </c>
      <c r="AT6" s="5" t="s">
        <v>2320</v>
      </c>
      <c r="AU6" s="5" t="s">
        <v>2321</v>
      </c>
      <c r="AV6" s="5" t="s">
        <v>2079</v>
      </c>
      <c r="AW6" s="23" t="s">
        <v>2502</v>
      </c>
      <c r="AX6" s="5" t="s">
        <v>899</v>
      </c>
      <c r="AY6" s="5" t="s">
        <v>2419</v>
      </c>
    </row>
    <row r="7" customFormat="false" ht="15" hidden="false" customHeight="true" outlineLevel="0" collapsed="false">
      <c r="A7" s="18" t="s">
        <v>938</v>
      </c>
      <c r="B7" s="18" t="s">
        <v>938</v>
      </c>
      <c r="C7" s="18" t="s">
        <v>939</v>
      </c>
      <c r="D7" s="18" t="n">
        <v>2019</v>
      </c>
      <c r="E7" s="18" t="s">
        <v>884</v>
      </c>
      <c r="F7" s="18" t="s">
        <v>942</v>
      </c>
      <c r="G7" s="18" t="s">
        <v>943</v>
      </c>
      <c r="H7" s="18" t="n">
        <v>29.7</v>
      </c>
      <c r="I7" s="18" t="n">
        <v>76.96</v>
      </c>
      <c r="J7" s="18" t="s">
        <v>83</v>
      </c>
      <c r="K7" s="18" t="n">
        <v>2013</v>
      </c>
      <c r="L7" s="18" t="s">
        <v>84</v>
      </c>
      <c r="M7" s="18" t="s">
        <v>85</v>
      </c>
      <c r="N7" s="18" t="s">
        <v>86</v>
      </c>
      <c r="O7" s="18" t="s">
        <v>2043</v>
      </c>
      <c r="P7" s="18" t="n">
        <v>3.44</v>
      </c>
      <c r="Q7" s="18" t="n">
        <v>8.91</v>
      </c>
      <c r="R7" s="18"/>
      <c r="S7" s="18"/>
      <c r="T7" s="18"/>
      <c r="U7" s="18"/>
      <c r="V7" s="18"/>
      <c r="W7" s="18"/>
      <c r="X7" s="18" t="n">
        <v>9.1</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2503</v>
      </c>
      <c r="AS7" s="18" t="s">
        <v>2337</v>
      </c>
      <c r="AT7" s="18" t="s">
        <v>2338</v>
      </c>
      <c r="AU7" s="18" t="s">
        <v>2339</v>
      </c>
      <c r="AV7" s="18" t="s">
        <v>91</v>
      </c>
      <c r="AW7" s="32" t="s">
        <v>2340</v>
      </c>
      <c r="AX7" s="18" t="s">
        <v>952</v>
      </c>
      <c r="AY7" s="18" t="s">
        <v>2341</v>
      </c>
    </row>
    <row r="8" customFormat="false" ht="15" hidden="false" customHeight="true" outlineLevel="0" collapsed="false">
      <c r="A8" s="18" t="s">
        <v>938</v>
      </c>
      <c r="B8" s="18" t="s">
        <v>938</v>
      </c>
      <c r="C8" s="18" t="s">
        <v>939</v>
      </c>
      <c r="D8" s="18" t="n">
        <v>2019</v>
      </c>
      <c r="E8" s="18" t="s">
        <v>884</v>
      </c>
      <c r="F8" s="18" t="s">
        <v>942</v>
      </c>
      <c r="G8" s="18" t="s">
        <v>943</v>
      </c>
      <c r="H8" s="18" t="n">
        <v>29.7</v>
      </c>
      <c r="I8" s="18" t="n">
        <v>76.96</v>
      </c>
      <c r="J8" s="18" t="s">
        <v>83</v>
      </c>
      <c r="K8" s="18" t="n">
        <v>2013</v>
      </c>
      <c r="L8" s="18" t="s">
        <v>84</v>
      </c>
      <c r="M8" s="18" t="s">
        <v>85</v>
      </c>
      <c r="N8" s="18" t="s">
        <v>2050</v>
      </c>
      <c r="O8" s="18" t="s">
        <v>2051</v>
      </c>
      <c r="P8" s="18" t="n">
        <v>12.49</v>
      </c>
      <c r="Q8" s="18" t="n">
        <v>10.85</v>
      </c>
      <c r="R8" s="18"/>
      <c r="S8" s="18"/>
      <c r="T8" s="18"/>
      <c r="U8" s="18"/>
      <c r="V8" s="18"/>
      <c r="W8" s="18"/>
      <c r="X8" s="18" t="n">
        <v>12.95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2503</v>
      </c>
      <c r="AS8" s="18" t="s">
        <v>2337</v>
      </c>
      <c r="AT8" s="18" t="s">
        <v>2338</v>
      </c>
      <c r="AU8" s="18" t="s">
        <v>2339</v>
      </c>
      <c r="AV8" s="18" t="s">
        <v>91</v>
      </c>
      <c r="AW8" s="32" t="s">
        <v>2342</v>
      </c>
      <c r="AX8" s="18" t="s">
        <v>952</v>
      </c>
      <c r="AY8" s="18" t="s">
        <v>2341</v>
      </c>
    </row>
    <row r="9" customFormat="false" ht="15" hidden="false" customHeight="true" outlineLevel="0" collapsed="false">
      <c r="A9" s="18" t="s">
        <v>938</v>
      </c>
      <c r="B9" s="18" t="s">
        <v>938</v>
      </c>
      <c r="C9" s="18" t="s">
        <v>939</v>
      </c>
      <c r="D9" s="18" t="n">
        <v>2019</v>
      </c>
      <c r="E9" s="18" t="s">
        <v>884</v>
      </c>
      <c r="F9" s="18" t="s">
        <v>942</v>
      </c>
      <c r="G9" s="18" t="s">
        <v>943</v>
      </c>
      <c r="H9" s="18" t="n">
        <v>29.7</v>
      </c>
      <c r="I9" s="18" t="n">
        <v>76.96</v>
      </c>
      <c r="J9" s="18" t="s">
        <v>83</v>
      </c>
      <c r="K9" s="18" t="n">
        <v>2015</v>
      </c>
      <c r="L9" s="18" t="s">
        <v>84</v>
      </c>
      <c r="M9" s="18" t="s">
        <v>85</v>
      </c>
      <c r="N9" s="18" t="s">
        <v>86</v>
      </c>
      <c r="O9" s="18" t="s">
        <v>2043</v>
      </c>
      <c r="P9" s="18" t="n">
        <v>6.91</v>
      </c>
      <c r="Q9" s="18" t="n">
        <v>9.82</v>
      </c>
      <c r="R9" s="18"/>
      <c r="S9" s="18"/>
      <c r="T9" s="18"/>
      <c r="U9" s="18"/>
      <c r="V9" s="18"/>
      <c r="W9" s="18"/>
      <c r="X9" s="18" t="n">
        <v>6.63</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2503</v>
      </c>
      <c r="AS9" s="18" t="s">
        <v>2337</v>
      </c>
      <c r="AT9" s="18" t="s">
        <v>2343</v>
      </c>
      <c r="AU9" s="18" t="s">
        <v>2339</v>
      </c>
      <c r="AV9" s="18" t="s">
        <v>91</v>
      </c>
      <c r="AW9" s="32" t="s">
        <v>2344</v>
      </c>
      <c r="AX9" s="18" t="s">
        <v>952</v>
      </c>
      <c r="AY9" s="18" t="s">
        <v>2341</v>
      </c>
    </row>
    <row r="10" customFormat="false" ht="14.25" hidden="false" customHeight="true" outlineLevel="0" collapsed="false">
      <c r="A10" s="18" t="s">
        <v>938</v>
      </c>
      <c r="B10" s="18" t="s">
        <v>938</v>
      </c>
      <c r="C10" s="18" t="s">
        <v>939</v>
      </c>
      <c r="D10" s="18" t="n">
        <v>2019</v>
      </c>
      <c r="E10" s="18" t="s">
        <v>884</v>
      </c>
      <c r="F10" s="18" t="s">
        <v>942</v>
      </c>
      <c r="G10" s="18" t="s">
        <v>943</v>
      </c>
      <c r="H10" s="18" t="n">
        <v>29.7</v>
      </c>
      <c r="I10" s="18" t="n">
        <v>76.96</v>
      </c>
      <c r="J10" s="18" t="s">
        <v>83</v>
      </c>
      <c r="K10" s="18" t="n">
        <v>2015</v>
      </c>
      <c r="L10" s="18" t="s">
        <v>84</v>
      </c>
      <c r="M10" s="18" t="s">
        <v>85</v>
      </c>
      <c r="N10" s="18" t="s">
        <v>2050</v>
      </c>
      <c r="O10" s="18" t="s">
        <v>2051</v>
      </c>
      <c r="P10" s="18" t="n">
        <v>7.11</v>
      </c>
      <c r="Q10" s="18" t="n">
        <v>8.79</v>
      </c>
      <c r="R10" s="18"/>
      <c r="S10" s="18"/>
      <c r="T10" s="18"/>
      <c r="U10" s="18"/>
      <c r="V10" s="18"/>
      <c r="W10" s="18"/>
      <c r="X10" s="18" t="n">
        <v>8.43</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2503</v>
      </c>
      <c r="AS10" s="18" t="s">
        <v>2337</v>
      </c>
      <c r="AT10" s="18" t="s">
        <v>2343</v>
      </c>
      <c r="AU10" s="18" t="s">
        <v>2339</v>
      </c>
      <c r="AV10" s="18" t="s">
        <v>91</v>
      </c>
      <c r="AW10" s="32" t="s">
        <v>2345</v>
      </c>
      <c r="AX10" s="18" t="s">
        <v>952</v>
      </c>
      <c r="AY10" s="18" t="s">
        <v>2341</v>
      </c>
    </row>
    <row r="11" customFormat="false" ht="14.25" hidden="false" customHeight="true" outlineLevel="0" collapsed="false">
      <c r="A11" s="5" t="s">
        <v>1018</v>
      </c>
      <c r="B11" s="5" t="s">
        <v>1018</v>
      </c>
      <c r="C11" s="5" t="s">
        <v>1019</v>
      </c>
      <c r="D11" s="5" t="n">
        <v>2011</v>
      </c>
      <c r="E11" s="5" t="s">
        <v>1020</v>
      </c>
      <c r="F11" s="5" t="s">
        <v>887</v>
      </c>
      <c r="G11" s="5" t="s">
        <v>1023</v>
      </c>
      <c r="H11" s="5" t="n">
        <v>29.017</v>
      </c>
      <c r="I11" s="5" t="n">
        <v>77.75</v>
      </c>
      <c r="J11" s="5" t="s">
        <v>83</v>
      </c>
      <c r="K11" s="5" t="s">
        <v>2355</v>
      </c>
      <c r="L11" s="5" t="s">
        <v>84</v>
      </c>
      <c r="M11" s="5" t="s">
        <v>85</v>
      </c>
      <c r="N11" s="5" t="s">
        <v>86</v>
      </c>
      <c r="O11" s="5" t="s">
        <v>2043</v>
      </c>
      <c r="P11" s="5"/>
      <c r="Q11" s="5" t="n">
        <v>27.2</v>
      </c>
      <c r="R11" s="5" t="n">
        <v>14.2</v>
      </c>
      <c r="S11" s="5"/>
      <c r="T11" s="5"/>
      <c r="U11" s="5" t="n">
        <v>19.2</v>
      </c>
      <c r="V11" s="5"/>
      <c r="W11" s="5"/>
      <c r="X11" s="5"/>
      <c r="Y11" s="5" t="n">
        <v>23.2</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2504</v>
      </c>
      <c r="AS11" s="5" t="s">
        <v>2099</v>
      </c>
      <c r="AT11" s="5" t="s">
        <v>2424</v>
      </c>
      <c r="AU11" s="5" t="s">
        <v>2101</v>
      </c>
      <c r="AV11" s="5" t="s">
        <v>2505</v>
      </c>
      <c r="AW11" s="23" t="s">
        <v>2506</v>
      </c>
      <c r="AX11" s="5" t="s">
        <v>1038</v>
      </c>
      <c r="AY11" s="5" t="s">
        <v>2507</v>
      </c>
    </row>
    <row r="12" customFormat="false" ht="14.25" hidden="false" customHeight="true" outlineLevel="0" collapsed="false">
      <c r="A12" s="5" t="s">
        <v>1018</v>
      </c>
      <c r="B12" s="5" t="s">
        <v>1018</v>
      </c>
      <c r="C12" s="5" t="s">
        <v>1019</v>
      </c>
      <c r="D12" s="5" t="n">
        <v>2011</v>
      </c>
      <c r="E12" s="5" t="s">
        <v>1020</v>
      </c>
      <c r="F12" s="5" t="s">
        <v>887</v>
      </c>
      <c r="G12" s="5" t="s">
        <v>1023</v>
      </c>
      <c r="H12" s="5" t="n">
        <v>29.017</v>
      </c>
      <c r="I12" s="5" t="n">
        <v>77.75</v>
      </c>
      <c r="J12" s="5" t="s">
        <v>83</v>
      </c>
      <c r="K12" s="5" t="s">
        <v>2355</v>
      </c>
      <c r="L12" s="5" t="s">
        <v>84</v>
      </c>
      <c r="M12" s="5" t="s">
        <v>85</v>
      </c>
      <c r="N12" s="5" t="s">
        <v>86</v>
      </c>
      <c r="O12" s="5" t="s">
        <v>2043</v>
      </c>
      <c r="P12" s="5"/>
      <c r="Q12" s="5" t="n">
        <v>27.2</v>
      </c>
      <c r="R12" s="5" t="n">
        <v>15.3</v>
      </c>
      <c r="S12" s="5"/>
      <c r="T12" s="5"/>
      <c r="U12" s="5" t="n">
        <v>13.9</v>
      </c>
      <c r="V12" s="5"/>
      <c r="W12" s="5"/>
      <c r="X12" s="5"/>
      <c r="Y12" s="5" t="n">
        <v>23.2</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2504</v>
      </c>
      <c r="AS12" s="5" t="s">
        <v>2099</v>
      </c>
      <c r="AT12" s="5" t="s">
        <v>2424</v>
      </c>
      <c r="AU12" s="5" t="s">
        <v>2101</v>
      </c>
      <c r="AV12" s="5" t="s">
        <v>2505</v>
      </c>
      <c r="AW12" s="23" t="s">
        <v>2508</v>
      </c>
      <c r="AX12" s="5" t="s">
        <v>1038</v>
      </c>
      <c r="AY12" s="5" t="s">
        <v>2507</v>
      </c>
    </row>
    <row r="13" customFormat="false" ht="14.25" hidden="false" customHeight="false" outlineLevel="0" collapsed="false">
      <c r="A13" s="24" t="n">
        <v>174</v>
      </c>
      <c r="B13" s="24" t="n">
        <v>174</v>
      </c>
      <c r="C13" s="24" t="s">
        <v>1152</v>
      </c>
      <c r="D13" s="24" t="n">
        <v>2017</v>
      </c>
      <c r="E13" s="24" t="s">
        <v>1153</v>
      </c>
      <c r="F13" s="24" t="s">
        <v>887</v>
      </c>
      <c r="G13" s="24" t="s">
        <v>1156</v>
      </c>
      <c r="H13" s="24" t="n">
        <v>29.067</v>
      </c>
      <c r="I13" s="24" t="n">
        <v>77.767</v>
      </c>
      <c r="J13" s="24" t="s">
        <v>83</v>
      </c>
      <c r="K13" s="24" t="s">
        <v>2183</v>
      </c>
      <c r="L13" s="24" t="s">
        <v>872</v>
      </c>
      <c r="M13" s="24" t="s">
        <v>85</v>
      </c>
      <c r="N13" s="24" t="s">
        <v>86</v>
      </c>
      <c r="O13" s="24" t="s">
        <v>2043</v>
      </c>
      <c r="P13" s="24" t="n">
        <v>20.13</v>
      </c>
      <c r="Q13" s="24"/>
      <c r="R13" s="24" t="n">
        <v>20.47</v>
      </c>
      <c r="S13" s="24"/>
      <c r="T13" s="24"/>
      <c r="U13" s="24"/>
      <c r="V13" s="24"/>
      <c r="W13" s="24"/>
      <c r="X13" s="24" t="n">
        <v>16.93</v>
      </c>
      <c r="Y13" s="24" t="n">
        <v>22.13</v>
      </c>
      <c r="Z13" s="24"/>
      <c r="AA13" s="24"/>
      <c r="AB13" s="24" t="n">
        <v>2</v>
      </c>
      <c r="AC13" s="24" t="n">
        <v>3</v>
      </c>
      <c r="AD13" s="24" t="n">
        <f aca="false">IF(AND(N(AB13)&gt;0,N(AC13)&gt;0),SQRT(2*AB13/AC13),"")</f>
        <v>1.15470053837925</v>
      </c>
      <c r="AE13" s="24" t="n">
        <v>16.5</v>
      </c>
      <c r="AF13" s="24" t="n">
        <v>5</v>
      </c>
      <c r="AG13" s="24" t="n">
        <v>46</v>
      </c>
      <c r="AH13" s="24" t="n">
        <v>863</v>
      </c>
      <c r="AI13" s="24" t="n">
        <v>29.067</v>
      </c>
      <c r="AJ13" s="24" t="n">
        <v>2</v>
      </c>
      <c r="AK13" s="24"/>
      <c r="AL13" s="24"/>
      <c r="AM13" s="24" t="n">
        <v>8.1</v>
      </c>
      <c r="AN13" s="24" t="n">
        <v>8.3</v>
      </c>
      <c r="AO13" s="24"/>
      <c r="AP13" s="24" t="n">
        <v>62</v>
      </c>
      <c r="AQ13" s="24" t="n">
        <v>20.5</v>
      </c>
      <c r="AR13" s="24" t="s">
        <v>2509</v>
      </c>
      <c r="AS13" s="24" t="s">
        <v>2184</v>
      </c>
      <c r="AT13" s="24" t="s">
        <v>2185</v>
      </c>
      <c r="AU13" s="24" t="s">
        <v>2186</v>
      </c>
      <c r="AV13" s="24" t="s">
        <v>2102</v>
      </c>
      <c r="AW13" s="25" t="s">
        <v>2510</v>
      </c>
      <c r="AX13" s="24" t="s">
        <v>1167</v>
      </c>
      <c r="AY13" s="24" t="s">
        <v>2364</v>
      </c>
    </row>
    <row r="14" customFormat="false" ht="14.25" hidden="false" customHeight="false" outlineLevel="0" collapsed="false">
      <c r="A14" s="24" t="n">
        <v>174</v>
      </c>
      <c r="B14" s="24" t="n">
        <v>174</v>
      </c>
      <c r="C14" s="24" t="s">
        <v>1152</v>
      </c>
      <c r="D14" s="24" t="n">
        <v>2017</v>
      </c>
      <c r="E14" s="24" t="s">
        <v>1153</v>
      </c>
      <c r="F14" s="24" t="s">
        <v>887</v>
      </c>
      <c r="G14" s="24" t="s">
        <v>1156</v>
      </c>
      <c r="H14" s="24" t="n">
        <v>29.067</v>
      </c>
      <c r="I14" s="24" t="n">
        <v>77.767</v>
      </c>
      <c r="J14" s="24" t="s">
        <v>83</v>
      </c>
      <c r="K14" s="24" t="s">
        <v>2183</v>
      </c>
      <c r="L14" s="24" t="s">
        <v>872</v>
      </c>
      <c r="M14" s="24" t="s">
        <v>85</v>
      </c>
      <c r="N14" s="24" t="s">
        <v>86</v>
      </c>
      <c r="O14" s="24" t="s">
        <v>2043</v>
      </c>
      <c r="P14" s="24" t="n">
        <v>16.2</v>
      </c>
      <c r="Q14" s="24"/>
      <c r="R14" s="24" t="n">
        <v>20.67</v>
      </c>
      <c r="S14" s="24"/>
      <c r="T14" s="24"/>
      <c r="U14" s="24"/>
      <c r="V14" s="24"/>
      <c r="W14" s="24"/>
      <c r="X14" s="24" t="n">
        <v>16.93</v>
      </c>
      <c r="Y14" s="24" t="n">
        <v>22.13</v>
      </c>
      <c r="Z14" s="24"/>
      <c r="AA14" s="24"/>
      <c r="AB14" s="24" t="n">
        <v>2</v>
      </c>
      <c r="AC14" s="24" t="n">
        <v>3</v>
      </c>
      <c r="AD14" s="24" t="n">
        <f aca="false">IF(AND(N(AB14)&gt;0,N(AC14)&gt;0),SQRT(2*AB14/AC14),"")</f>
        <v>1.15470053837925</v>
      </c>
      <c r="AE14" s="24" t="n">
        <v>16.5</v>
      </c>
      <c r="AF14" s="24" t="n">
        <v>5</v>
      </c>
      <c r="AG14" s="24" t="n">
        <v>46</v>
      </c>
      <c r="AH14" s="24" t="n">
        <v>863</v>
      </c>
      <c r="AI14" s="24" t="n">
        <v>29.067</v>
      </c>
      <c r="AJ14" s="24" t="n">
        <v>2</v>
      </c>
      <c r="AK14" s="24"/>
      <c r="AL14" s="24"/>
      <c r="AM14" s="24" t="n">
        <v>8.1</v>
      </c>
      <c r="AN14" s="24" t="n">
        <v>8.3</v>
      </c>
      <c r="AO14" s="24"/>
      <c r="AP14" s="24" t="n">
        <v>62</v>
      </c>
      <c r="AQ14" s="24" t="n">
        <v>20.5</v>
      </c>
      <c r="AR14" s="24" t="s">
        <v>2509</v>
      </c>
      <c r="AS14" s="24" t="s">
        <v>2184</v>
      </c>
      <c r="AT14" s="24" t="s">
        <v>2185</v>
      </c>
      <c r="AU14" s="24" t="s">
        <v>2186</v>
      </c>
      <c r="AV14" s="24" t="s">
        <v>2102</v>
      </c>
      <c r="AW14" s="25" t="s">
        <v>2511</v>
      </c>
      <c r="AX14" s="24" t="s">
        <v>1167</v>
      </c>
      <c r="AY14" s="24" t="s">
        <v>2364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2512</v>
      </c>
      <c r="Q1" s="27" t="s">
        <v>2513</v>
      </c>
      <c r="R1" s="27" t="s">
        <v>2514</v>
      </c>
      <c r="S1" s="27" t="s">
        <v>2515</v>
      </c>
      <c r="T1" s="27" t="s">
        <v>2516</v>
      </c>
      <c r="U1" s="27" t="s">
        <v>2517</v>
      </c>
      <c r="V1" s="27" t="s">
        <v>2518</v>
      </c>
      <c r="W1" s="27" t="s">
        <v>2519</v>
      </c>
      <c r="X1" s="30" t="s">
        <v>2520</v>
      </c>
      <c r="Y1" s="30" t="s">
        <v>2521</v>
      </c>
      <c r="Z1" s="30" t="s">
        <v>2522</v>
      </c>
      <c r="AA1" s="30" t="s">
        <v>2523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166</v>
      </c>
      <c r="B2" s="5" t="n">
        <v>166</v>
      </c>
      <c r="C2" s="5" t="s">
        <v>883</v>
      </c>
      <c r="D2" s="5" t="n">
        <v>2014</v>
      </c>
      <c r="E2" s="5" t="s">
        <v>884</v>
      </c>
      <c r="F2" s="5" t="s">
        <v>887</v>
      </c>
      <c r="G2" s="5" t="s">
        <v>888</v>
      </c>
      <c r="H2" s="5" t="n">
        <v>29.067</v>
      </c>
      <c r="I2" s="5" t="n">
        <v>77.767</v>
      </c>
      <c r="J2" s="5" t="s">
        <v>83</v>
      </c>
      <c r="K2" s="5" t="n">
        <v>2011</v>
      </c>
      <c r="L2" s="5" t="s">
        <v>853</v>
      </c>
      <c r="M2" s="5" t="s">
        <v>85</v>
      </c>
      <c r="N2" s="5" t="s">
        <v>86</v>
      </c>
      <c r="O2" s="5" t="s">
        <v>2317</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2524</v>
      </c>
      <c r="AS2" s="5" t="s">
        <v>2319</v>
      </c>
      <c r="AT2" s="5" t="s">
        <v>2320</v>
      </c>
      <c r="AU2" s="5" t="s">
        <v>2321</v>
      </c>
      <c r="AV2" s="5" t="s">
        <v>2525</v>
      </c>
      <c r="AW2" s="23" t="s">
        <v>2526</v>
      </c>
      <c r="AX2" s="5" t="s">
        <v>899</v>
      </c>
      <c r="AY2" s="5" t="s">
        <v>2527</v>
      </c>
      <c r="BA2" s="33" t="s">
        <v>1299</v>
      </c>
    </row>
    <row r="3" customFormat="false" ht="1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2329</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2524</v>
      </c>
      <c r="AS3" s="5" t="s">
        <v>2319</v>
      </c>
      <c r="AT3" s="5" t="s">
        <v>2320</v>
      </c>
      <c r="AU3" s="5" t="s">
        <v>2321</v>
      </c>
      <c r="AV3" s="5" t="s">
        <v>2525</v>
      </c>
      <c r="AW3" s="23" t="s">
        <v>2528</v>
      </c>
      <c r="AX3" s="5" t="s">
        <v>899</v>
      </c>
      <c r="AY3" s="5" t="s">
        <v>2527</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2050</v>
      </c>
      <c r="O4" s="5" t="s">
        <v>2051</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2524</v>
      </c>
      <c r="AS4" s="5" t="s">
        <v>2319</v>
      </c>
      <c r="AT4" s="5" t="s">
        <v>2320</v>
      </c>
      <c r="AU4" s="5" t="s">
        <v>2321</v>
      </c>
      <c r="AV4" s="5" t="s">
        <v>2525</v>
      </c>
      <c r="AW4" s="23" t="s">
        <v>2529</v>
      </c>
      <c r="AX4" s="5" t="s">
        <v>899</v>
      </c>
      <c r="AY4" s="5" t="s">
        <v>2527</v>
      </c>
    </row>
    <row r="5" customFormat="false" ht="15" hidden="false" customHeight="true" outlineLevel="0" collapsed="false">
      <c r="A5" s="18" t="s">
        <v>938</v>
      </c>
      <c r="B5" s="18" t="s">
        <v>938</v>
      </c>
      <c r="C5" s="18" t="s">
        <v>939</v>
      </c>
      <c r="D5" s="18" t="n">
        <v>2019</v>
      </c>
      <c r="E5" s="18" t="s">
        <v>884</v>
      </c>
      <c r="F5" s="18" t="s">
        <v>942</v>
      </c>
      <c r="G5" s="18" t="s">
        <v>943</v>
      </c>
      <c r="H5" s="18" t="n">
        <v>29.7</v>
      </c>
      <c r="I5" s="18" t="n">
        <v>76.96</v>
      </c>
      <c r="J5" s="18" t="s">
        <v>83</v>
      </c>
      <c r="K5" s="18" t="n">
        <v>2013</v>
      </c>
      <c r="L5" s="18" t="s">
        <v>84</v>
      </c>
      <c r="M5" s="18" t="s">
        <v>85</v>
      </c>
      <c r="N5" s="18" t="s">
        <v>86</v>
      </c>
      <c r="O5" s="18" t="s">
        <v>2043</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2530</v>
      </c>
      <c r="AS5" s="18" t="s">
        <v>2337</v>
      </c>
      <c r="AT5" s="18" t="s">
        <v>2531</v>
      </c>
      <c r="AU5" s="18" t="s">
        <v>2339</v>
      </c>
      <c r="AV5" s="18" t="s">
        <v>2532</v>
      </c>
      <c r="AW5" s="32" t="s">
        <v>2533</v>
      </c>
      <c r="AX5" s="18" t="s">
        <v>952</v>
      </c>
      <c r="AY5" s="18" t="s">
        <v>2534</v>
      </c>
    </row>
    <row r="6" customFormat="false" ht="15" hidden="false" customHeight="true" outlineLevel="0" collapsed="false">
      <c r="A6" s="18" t="s">
        <v>938</v>
      </c>
      <c r="B6" s="18" t="s">
        <v>938</v>
      </c>
      <c r="C6" s="18" t="s">
        <v>939</v>
      </c>
      <c r="D6" s="18" t="n">
        <v>2019</v>
      </c>
      <c r="E6" s="18" t="s">
        <v>884</v>
      </c>
      <c r="F6" s="18" t="s">
        <v>942</v>
      </c>
      <c r="G6" s="18" t="s">
        <v>943</v>
      </c>
      <c r="H6" s="18" t="n">
        <v>29.7</v>
      </c>
      <c r="I6" s="18" t="n">
        <v>76.96</v>
      </c>
      <c r="J6" s="18" t="s">
        <v>83</v>
      </c>
      <c r="K6" s="18" t="n">
        <v>2015</v>
      </c>
      <c r="L6" s="18" t="s">
        <v>84</v>
      </c>
      <c r="M6" s="18" t="s">
        <v>85</v>
      </c>
      <c r="N6" s="18" t="s">
        <v>86</v>
      </c>
      <c r="O6" s="18" t="s">
        <v>2043</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2530</v>
      </c>
      <c r="AS6" s="18" t="s">
        <v>2337</v>
      </c>
      <c r="AT6" s="18" t="s">
        <v>2535</v>
      </c>
      <c r="AU6" s="18" t="s">
        <v>2339</v>
      </c>
      <c r="AV6" s="18" t="s">
        <v>2536</v>
      </c>
      <c r="AW6" s="32" t="s">
        <v>2537</v>
      </c>
      <c r="AX6" s="18" t="s">
        <v>952</v>
      </c>
      <c r="AY6" s="18" t="s">
        <v>2534</v>
      </c>
    </row>
    <row r="7" customFormat="false" ht="15" hidden="false" customHeight="true" outlineLevel="0" collapsed="false">
      <c r="A7" s="18" t="s">
        <v>938</v>
      </c>
      <c r="B7" s="18" t="s">
        <v>938</v>
      </c>
      <c r="C7" s="18" t="s">
        <v>939</v>
      </c>
      <c r="D7" s="18" t="n">
        <v>2019</v>
      </c>
      <c r="E7" s="18" t="s">
        <v>884</v>
      </c>
      <c r="F7" s="18" t="s">
        <v>942</v>
      </c>
      <c r="G7" s="18" t="s">
        <v>943</v>
      </c>
      <c r="H7" s="18" t="n">
        <v>29.7</v>
      </c>
      <c r="I7" s="18" t="n">
        <v>76.96</v>
      </c>
      <c r="J7" s="18" t="s">
        <v>83</v>
      </c>
      <c r="K7" s="18" t="n">
        <v>2013</v>
      </c>
      <c r="L7" s="18" t="s">
        <v>84</v>
      </c>
      <c r="M7" s="18" t="s">
        <v>85</v>
      </c>
      <c r="N7" s="18" t="s">
        <v>2050</v>
      </c>
      <c r="O7" s="18" t="s">
        <v>2051</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2530</v>
      </c>
      <c r="AS7" s="18" t="s">
        <v>2337</v>
      </c>
      <c r="AT7" s="18" t="s">
        <v>2531</v>
      </c>
      <c r="AU7" s="18" t="s">
        <v>2339</v>
      </c>
      <c r="AV7" s="18" t="s">
        <v>2538</v>
      </c>
      <c r="AW7" s="32" t="s">
        <v>2539</v>
      </c>
      <c r="AX7" s="18" t="s">
        <v>952</v>
      </c>
      <c r="AY7" s="18" t="s">
        <v>2534</v>
      </c>
    </row>
    <row r="8" customFormat="false" ht="15" hidden="false" customHeight="true" outlineLevel="0" collapsed="false">
      <c r="A8" s="18" t="s">
        <v>938</v>
      </c>
      <c r="B8" s="18" t="s">
        <v>938</v>
      </c>
      <c r="C8" s="18" t="s">
        <v>939</v>
      </c>
      <c r="D8" s="18" t="n">
        <v>2019</v>
      </c>
      <c r="E8" s="18" t="s">
        <v>884</v>
      </c>
      <c r="F8" s="18" t="s">
        <v>942</v>
      </c>
      <c r="G8" s="18" t="s">
        <v>943</v>
      </c>
      <c r="H8" s="18" t="n">
        <v>29.7</v>
      </c>
      <c r="I8" s="18" t="n">
        <v>76.96</v>
      </c>
      <c r="J8" s="18" t="s">
        <v>83</v>
      </c>
      <c r="K8" s="18" t="n">
        <v>2015</v>
      </c>
      <c r="L8" s="18" t="s">
        <v>84</v>
      </c>
      <c r="M8" s="18" t="s">
        <v>85</v>
      </c>
      <c r="N8" s="18" t="s">
        <v>2050</v>
      </c>
      <c r="O8" s="18" t="s">
        <v>2051</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2530</v>
      </c>
      <c r="AS8" s="18" t="s">
        <v>2337</v>
      </c>
      <c r="AT8" s="18" t="s">
        <v>2535</v>
      </c>
      <c r="AU8" s="18" t="s">
        <v>2339</v>
      </c>
      <c r="AV8" s="18" t="s">
        <v>2540</v>
      </c>
      <c r="AW8" s="32" t="s">
        <v>2541</v>
      </c>
      <c r="AX8" s="18" t="s">
        <v>952</v>
      </c>
      <c r="AY8" s="18" t="s">
        <v>2534</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2542</v>
      </c>
      <c r="Q1" s="27" t="s">
        <v>2543</v>
      </c>
      <c r="R1" s="27" t="s">
        <v>2544</v>
      </c>
      <c r="S1" s="27" t="s">
        <v>2545</v>
      </c>
      <c r="T1" s="27" t="s">
        <v>2546</v>
      </c>
      <c r="U1" s="27" t="s">
        <v>2547</v>
      </c>
      <c r="V1" s="27" t="s">
        <v>2548</v>
      </c>
      <c r="W1" s="27" t="s">
        <v>2549</v>
      </c>
      <c r="X1" s="30" t="s">
        <v>2550</v>
      </c>
      <c r="Y1" s="30" t="s">
        <v>2551</v>
      </c>
      <c r="Z1" s="30" t="s">
        <v>2552</v>
      </c>
      <c r="AA1" s="30" t="s">
        <v>2553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166</v>
      </c>
      <c r="B2" s="5" t="n">
        <v>166</v>
      </c>
      <c r="C2" s="5" t="s">
        <v>883</v>
      </c>
      <c r="D2" s="5" t="n">
        <v>2014</v>
      </c>
      <c r="E2" s="5" t="s">
        <v>884</v>
      </c>
      <c r="F2" s="5" t="s">
        <v>887</v>
      </c>
      <c r="G2" s="5" t="s">
        <v>888</v>
      </c>
      <c r="H2" s="5" t="n">
        <v>29.067</v>
      </c>
      <c r="I2" s="5" t="n">
        <v>77.767</v>
      </c>
      <c r="J2" s="5" t="s">
        <v>83</v>
      </c>
      <c r="K2" s="5" t="n">
        <v>2011</v>
      </c>
      <c r="L2" s="5" t="s">
        <v>853</v>
      </c>
      <c r="M2" s="5" t="s">
        <v>85</v>
      </c>
      <c r="N2" s="5" t="s">
        <v>86</v>
      </c>
      <c r="O2" s="5" t="s">
        <v>2317</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2554</v>
      </c>
      <c r="AS2" s="5" t="s">
        <v>2319</v>
      </c>
      <c r="AT2" s="5" t="s">
        <v>2320</v>
      </c>
      <c r="AU2" s="5" t="s">
        <v>2321</v>
      </c>
      <c r="AV2" s="5" t="s">
        <v>2047</v>
      </c>
      <c r="AW2" s="23" t="s">
        <v>2501</v>
      </c>
      <c r="AX2" s="5" t="s">
        <v>899</v>
      </c>
      <c r="AY2" s="5" t="s">
        <v>2555</v>
      </c>
      <c r="BA2" s="33" t="s">
        <v>1302</v>
      </c>
    </row>
    <row r="3" customFormat="false" ht="1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2329</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2554</v>
      </c>
      <c r="AS3" s="5" t="s">
        <v>2319</v>
      </c>
      <c r="AT3" s="5" t="s">
        <v>2320</v>
      </c>
      <c r="AU3" s="5" t="s">
        <v>2321</v>
      </c>
      <c r="AV3" s="5" t="s">
        <v>2047</v>
      </c>
      <c r="AW3" s="23" t="s">
        <v>2501</v>
      </c>
      <c r="AX3" s="5" t="s">
        <v>899</v>
      </c>
      <c r="AY3" s="5" t="s">
        <v>2555</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2050</v>
      </c>
      <c r="O4" s="5" t="s">
        <v>2051</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2554</v>
      </c>
      <c r="AS4" s="5" t="s">
        <v>2319</v>
      </c>
      <c r="AT4" s="5" t="s">
        <v>2320</v>
      </c>
      <c r="AU4" s="5" t="s">
        <v>2321</v>
      </c>
      <c r="AV4" s="5" t="s">
        <v>2047</v>
      </c>
      <c r="AW4" s="23" t="s">
        <v>2502</v>
      </c>
      <c r="AX4" s="5" t="s">
        <v>899</v>
      </c>
      <c r="AY4" s="5" t="s">
        <v>2555</v>
      </c>
    </row>
    <row r="5" customFormat="false" ht="15" hidden="false" customHeight="true" outlineLevel="0" collapsed="false">
      <c r="A5" s="18" t="s">
        <v>938</v>
      </c>
      <c r="B5" s="18" t="s">
        <v>938</v>
      </c>
      <c r="C5" s="18" t="s">
        <v>939</v>
      </c>
      <c r="D5" s="18" t="n">
        <v>2019</v>
      </c>
      <c r="E5" s="18" t="s">
        <v>884</v>
      </c>
      <c r="F5" s="18" t="s">
        <v>942</v>
      </c>
      <c r="G5" s="18" t="s">
        <v>943</v>
      </c>
      <c r="H5" s="18" t="n">
        <v>29.7</v>
      </c>
      <c r="I5" s="18" t="n">
        <v>76.96</v>
      </c>
      <c r="J5" s="18" t="s">
        <v>83</v>
      </c>
      <c r="K5" s="18" t="n">
        <v>2013</v>
      </c>
      <c r="L5" s="18" t="s">
        <v>84</v>
      </c>
      <c r="M5" s="18" t="s">
        <v>85</v>
      </c>
      <c r="N5" s="18" t="s">
        <v>86</v>
      </c>
      <c r="O5" s="18" t="s">
        <v>2043</v>
      </c>
      <c r="P5" s="18" t="n">
        <f aca="false">ROUND(AVERAGE(5.6,3.3),2)</f>
        <v>4.45</v>
      </c>
      <c r="Q5" s="18" t="n">
        <f aca="false">ROUND(AVERAGE(2.53,2.87),2)</f>
        <v>2.7</v>
      </c>
      <c r="R5" s="18"/>
      <c r="S5" s="18"/>
      <c r="T5" s="18"/>
      <c r="U5" s="18"/>
      <c r="V5" s="18"/>
      <c r="W5" s="18"/>
      <c r="X5" s="18" t="n">
        <f aca="false">ROUND(AVERAGE(5.37,3.9),2)</f>
        <v>4.64</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2556</v>
      </c>
      <c r="AS5" s="18" t="s">
        <v>2337</v>
      </c>
      <c r="AT5" s="18" t="s">
        <v>2531</v>
      </c>
      <c r="AU5" s="18" t="s">
        <v>2339</v>
      </c>
      <c r="AV5" s="18" t="s">
        <v>2532</v>
      </c>
      <c r="AW5" s="32" t="s">
        <v>2557</v>
      </c>
      <c r="AX5" s="18" t="s">
        <v>952</v>
      </c>
      <c r="AY5" s="18" t="s">
        <v>2534</v>
      </c>
    </row>
    <row r="6" customFormat="false" ht="15" hidden="false" customHeight="true" outlineLevel="0" collapsed="false">
      <c r="A6" s="18" t="s">
        <v>938</v>
      </c>
      <c r="B6" s="18" t="s">
        <v>938</v>
      </c>
      <c r="C6" s="18" t="s">
        <v>939</v>
      </c>
      <c r="D6" s="18" t="n">
        <v>2019</v>
      </c>
      <c r="E6" s="18" t="s">
        <v>884</v>
      </c>
      <c r="F6" s="18" t="s">
        <v>942</v>
      </c>
      <c r="G6" s="18" t="s">
        <v>943</v>
      </c>
      <c r="H6" s="18" t="n">
        <v>29.7</v>
      </c>
      <c r="I6" s="18" t="n">
        <v>76.96</v>
      </c>
      <c r="J6" s="18" t="s">
        <v>83</v>
      </c>
      <c r="K6" s="18" t="n">
        <v>2015</v>
      </c>
      <c r="L6" s="18" t="s">
        <v>84</v>
      </c>
      <c r="M6" s="18" t="s">
        <v>85</v>
      </c>
      <c r="N6" s="18" t="s">
        <v>86</v>
      </c>
      <c r="O6" s="18" t="s">
        <v>2043</v>
      </c>
      <c r="P6" s="18" t="n">
        <f aca="false">ROUND(AVERAGE(8.25,6.83),2)</f>
        <v>7.54</v>
      </c>
      <c r="Q6" s="18" t="n">
        <f aca="false">ROUND(AVERAGE(6,5.34),2)</f>
        <v>5.67</v>
      </c>
      <c r="R6" s="18"/>
      <c r="S6" s="18"/>
      <c r="T6" s="18"/>
      <c r="U6" s="18"/>
      <c r="V6" s="18"/>
      <c r="W6" s="18"/>
      <c r="X6" s="18" t="n">
        <f aca="false">ROUND(AVERAGE(7.7,5.97),2)</f>
        <v>6.84</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2556</v>
      </c>
      <c r="AS6" s="18" t="s">
        <v>2337</v>
      </c>
      <c r="AT6" s="18" t="s">
        <v>2535</v>
      </c>
      <c r="AU6" s="18" t="s">
        <v>2339</v>
      </c>
      <c r="AV6" s="18" t="s">
        <v>2536</v>
      </c>
      <c r="AW6" s="32" t="s">
        <v>2558</v>
      </c>
      <c r="AX6" s="18" t="s">
        <v>952</v>
      </c>
      <c r="AY6" s="18" t="s">
        <v>2534</v>
      </c>
    </row>
    <row r="7" customFormat="false" ht="15" hidden="false" customHeight="true" outlineLevel="0" collapsed="false">
      <c r="A7" s="18" t="s">
        <v>938</v>
      </c>
      <c r="B7" s="18" t="s">
        <v>938</v>
      </c>
      <c r="C7" s="18" t="s">
        <v>939</v>
      </c>
      <c r="D7" s="18" t="n">
        <v>2019</v>
      </c>
      <c r="E7" s="18" t="s">
        <v>884</v>
      </c>
      <c r="F7" s="18" t="s">
        <v>942</v>
      </c>
      <c r="G7" s="18" t="s">
        <v>943</v>
      </c>
      <c r="H7" s="18" t="n">
        <v>29.7</v>
      </c>
      <c r="I7" s="18" t="n">
        <v>76.96</v>
      </c>
      <c r="J7" s="18" t="s">
        <v>83</v>
      </c>
      <c r="K7" s="18" t="n">
        <v>2013</v>
      </c>
      <c r="L7" s="18" t="s">
        <v>84</v>
      </c>
      <c r="M7" s="18" t="s">
        <v>85</v>
      </c>
      <c r="N7" s="18" t="s">
        <v>2050</v>
      </c>
      <c r="O7" s="18" t="s">
        <v>2051</v>
      </c>
      <c r="P7" s="18" t="n">
        <f aca="false">ROUND(AVERAGE(2.4,2.97),2)</f>
        <v>2.69</v>
      </c>
      <c r="Q7" s="18" t="n">
        <f aca="false">ROUND(AVERAGE(2.17,2.67),2)</f>
        <v>2.42</v>
      </c>
      <c r="R7" s="18"/>
      <c r="S7" s="18"/>
      <c r="T7" s="18"/>
      <c r="U7" s="18"/>
      <c r="V7" s="18"/>
      <c r="W7" s="18"/>
      <c r="X7" s="18" t="n">
        <f aca="false">ROUND(AVERAGE(2.2,2.8),2)</f>
        <v>2.5</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2556</v>
      </c>
      <c r="AS7" s="18" t="s">
        <v>2337</v>
      </c>
      <c r="AT7" s="18" t="s">
        <v>2531</v>
      </c>
      <c r="AU7" s="18" t="s">
        <v>2339</v>
      </c>
      <c r="AV7" s="18" t="s">
        <v>2538</v>
      </c>
      <c r="AW7" s="32" t="s">
        <v>2559</v>
      </c>
      <c r="AX7" s="18" t="s">
        <v>952</v>
      </c>
      <c r="AY7" s="18" t="s">
        <v>2534</v>
      </c>
    </row>
    <row r="8" customFormat="false" ht="15" hidden="false" customHeight="true" outlineLevel="0" collapsed="false">
      <c r="A8" s="18" t="s">
        <v>938</v>
      </c>
      <c r="B8" s="18" t="s">
        <v>938</v>
      </c>
      <c r="C8" s="18" t="s">
        <v>939</v>
      </c>
      <c r="D8" s="18" t="n">
        <v>2019</v>
      </c>
      <c r="E8" s="18" t="s">
        <v>884</v>
      </c>
      <c r="F8" s="18" t="s">
        <v>942</v>
      </c>
      <c r="G8" s="18" t="s">
        <v>943</v>
      </c>
      <c r="H8" s="18" t="n">
        <v>29.7</v>
      </c>
      <c r="I8" s="18" t="n">
        <v>76.96</v>
      </c>
      <c r="J8" s="18" t="s">
        <v>83</v>
      </c>
      <c r="K8" s="18" t="n">
        <v>2015</v>
      </c>
      <c r="L8" s="18" t="s">
        <v>84</v>
      </c>
      <c r="M8" s="18" t="s">
        <v>85</v>
      </c>
      <c r="N8" s="18" t="s">
        <v>2050</v>
      </c>
      <c r="O8" s="18" t="s">
        <v>2051</v>
      </c>
      <c r="P8" s="18" t="n">
        <f aca="false">ROUND(AVERAGE(4.33,4.33),2)</f>
        <v>4.33</v>
      </c>
      <c r="Q8" s="18" t="n">
        <f aca="false">ROUND(AVERAGE(5.34,4.7),2)</f>
        <v>5.02</v>
      </c>
      <c r="R8" s="18"/>
      <c r="S8" s="18"/>
      <c r="T8" s="18"/>
      <c r="U8" s="18"/>
      <c r="V8" s="18"/>
      <c r="W8" s="18"/>
      <c r="X8" s="18" t="n">
        <f aca="false">ROUND(AVERAGE(5.62,4.17),2)</f>
        <v>4.9</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2556</v>
      </c>
      <c r="AS8" s="18" t="s">
        <v>2337</v>
      </c>
      <c r="AT8" s="18" t="s">
        <v>2535</v>
      </c>
      <c r="AU8" s="18" t="s">
        <v>2339</v>
      </c>
      <c r="AV8" s="18" t="s">
        <v>2540</v>
      </c>
      <c r="AW8" s="32" t="s">
        <v>2560</v>
      </c>
      <c r="AX8" s="18" t="s">
        <v>952</v>
      </c>
      <c r="AY8" s="18" t="s">
        <v>2534</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2561</v>
      </c>
      <c r="Q1" s="27" t="s">
        <v>2562</v>
      </c>
      <c r="R1" s="27" t="s">
        <v>2563</v>
      </c>
      <c r="S1" s="27" t="s">
        <v>2564</v>
      </c>
      <c r="T1" s="27" t="s">
        <v>2565</v>
      </c>
      <c r="U1" s="27" t="s">
        <v>2566</v>
      </c>
      <c r="V1" s="27" t="s">
        <v>2567</v>
      </c>
      <c r="W1" s="27" t="s">
        <v>2568</v>
      </c>
      <c r="X1" s="30" t="s">
        <v>2569</v>
      </c>
      <c r="Y1" s="30" t="s">
        <v>2570</v>
      </c>
      <c r="Z1" s="30" t="s">
        <v>2571</v>
      </c>
      <c r="AA1" s="30" t="s">
        <v>2572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1018</v>
      </c>
      <c r="B2" s="5" t="s">
        <v>1018</v>
      </c>
      <c r="C2" s="5" t="s">
        <v>1019</v>
      </c>
      <c r="D2" s="5" t="n">
        <v>2011</v>
      </c>
      <c r="E2" s="5" t="s">
        <v>1020</v>
      </c>
      <c r="F2" s="5" t="s">
        <v>887</v>
      </c>
      <c r="G2" s="5" t="s">
        <v>1023</v>
      </c>
      <c r="H2" s="5" t="n">
        <v>29.017</v>
      </c>
      <c r="I2" s="5" t="n">
        <v>77.75</v>
      </c>
      <c r="J2" s="5" t="s">
        <v>83</v>
      </c>
      <c r="K2" s="5" t="s">
        <v>2096</v>
      </c>
      <c r="L2" s="5" t="s">
        <v>84</v>
      </c>
      <c r="M2" s="5" t="s">
        <v>85</v>
      </c>
      <c r="N2" s="5" t="s">
        <v>2573</v>
      </c>
      <c r="O2" s="5" t="s">
        <v>2574</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2098</v>
      </c>
      <c r="AK2" s="5"/>
      <c r="AL2" s="5"/>
      <c r="AM2" s="5" t="n">
        <v>8.1</v>
      </c>
      <c r="AN2" s="5"/>
      <c r="AO2" s="5"/>
      <c r="AP2" s="5" t="n">
        <v>55</v>
      </c>
      <c r="AQ2" s="5" t="n">
        <v>26</v>
      </c>
      <c r="AR2" s="5" t="s">
        <v>2575</v>
      </c>
      <c r="AS2" s="5" t="s">
        <v>2099</v>
      </c>
      <c r="AT2" s="5" t="s">
        <v>2576</v>
      </c>
      <c r="AU2" s="5" t="s">
        <v>2101</v>
      </c>
      <c r="AV2" s="5" t="s">
        <v>2577</v>
      </c>
      <c r="AW2" s="23" t="s">
        <v>2578</v>
      </c>
      <c r="AX2" s="5" t="s">
        <v>1038</v>
      </c>
      <c r="AY2" s="5" t="s">
        <v>2579</v>
      </c>
      <c r="BA2" s="34" t="s">
        <v>1304</v>
      </c>
    </row>
    <row r="3" customFormat="false" ht="15" hidden="false" customHeight="true" outlineLevel="0" collapsed="false">
      <c r="A3" s="5" t="s">
        <v>1018</v>
      </c>
      <c r="B3" s="5" t="s">
        <v>1018</v>
      </c>
      <c r="C3" s="5" t="s">
        <v>1019</v>
      </c>
      <c r="D3" s="5" t="n">
        <v>2011</v>
      </c>
      <c r="E3" s="5" t="s">
        <v>1020</v>
      </c>
      <c r="F3" s="5" t="s">
        <v>887</v>
      </c>
      <c r="G3" s="5" t="s">
        <v>1023</v>
      </c>
      <c r="H3" s="5" t="n">
        <v>29.017</v>
      </c>
      <c r="I3" s="5" t="n">
        <v>77.75</v>
      </c>
      <c r="J3" s="5" t="s">
        <v>83</v>
      </c>
      <c r="K3" s="5" t="s">
        <v>2096</v>
      </c>
      <c r="L3" s="5" t="s">
        <v>84</v>
      </c>
      <c r="M3" s="5" t="s">
        <v>85</v>
      </c>
      <c r="N3" s="5" t="s">
        <v>2573</v>
      </c>
      <c r="O3" s="5" t="s">
        <v>2574</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2098</v>
      </c>
      <c r="AK3" s="5"/>
      <c r="AL3" s="5"/>
      <c r="AM3" s="5" t="n">
        <v>8.1</v>
      </c>
      <c r="AN3" s="5"/>
      <c r="AO3" s="5"/>
      <c r="AP3" s="5" t="n">
        <v>55</v>
      </c>
      <c r="AQ3" s="5" t="n">
        <v>26</v>
      </c>
      <c r="AR3" s="5" t="s">
        <v>2575</v>
      </c>
      <c r="AS3" s="5" t="s">
        <v>2099</v>
      </c>
      <c r="AT3" s="5" t="s">
        <v>2576</v>
      </c>
      <c r="AU3" s="5" t="s">
        <v>2101</v>
      </c>
      <c r="AV3" s="5" t="s">
        <v>2577</v>
      </c>
      <c r="AW3" s="23" t="s">
        <v>2580</v>
      </c>
      <c r="AX3" s="5" t="s">
        <v>1038</v>
      </c>
      <c r="AY3" s="5" t="s">
        <v>2579</v>
      </c>
    </row>
    <row r="4" customFormat="false" ht="15" hidden="false" customHeight="true" outlineLevel="0" collapsed="false">
      <c r="A4" s="5" t="s">
        <v>1018</v>
      </c>
      <c r="B4" s="5" t="s">
        <v>1018</v>
      </c>
      <c r="C4" s="5" t="s">
        <v>1019</v>
      </c>
      <c r="D4" s="5" t="n">
        <v>2011</v>
      </c>
      <c r="E4" s="5" t="s">
        <v>1020</v>
      </c>
      <c r="F4" s="5" t="s">
        <v>887</v>
      </c>
      <c r="G4" s="5" t="s">
        <v>1023</v>
      </c>
      <c r="H4" s="5" t="n">
        <v>29.017</v>
      </c>
      <c r="I4" s="5" t="n">
        <v>77.75</v>
      </c>
      <c r="J4" s="5" t="s">
        <v>83</v>
      </c>
      <c r="K4" s="5" t="s">
        <v>2096</v>
      </c>
      <c r="L4" s="5" t="s">
        <v>84</v>
      </c>
      <c r="M4" s="5" t="s">
        <v>85</v>
      </c>
      <c r="N4" s="5" t="s">
        <v>2573</v>
      </c>
      <c r="O4" s="5" t="s">
        <v>2581</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2098</v>
      </c>
      <c r="AK4" s="5"/>
      <c r="AL4" s="5"/>
      <c r="AM4" s="5" t="n">
        <v>8.1</v>
      </c>
      <c r="AN4" s="5"/>
      <c r="AO4" s="5"/>
      <c r="AP4" s="5" t="n">
        <v>55</v>
      </c>
      <c r="AQ4" s="5" t="n">
        <v>26</v>
      </c>
      <c r="AR4" s="5" t="s">
        <v>2575</v>
      </c>
      <c r="AS4" s="5" t="s">
        <v>2099</v>
      </c>
      <c r="AT4" s="5" t="s">
        <v>2576</v>
      </c>
      <c r="AU4" s="5" t="s">
        <v>2101</v>
      </c>
      <c r="AV4" s="5" t="s">
        <v>2577</v>
      </c>
      <c r="AW4" s="23" t="s">
        <v>2578</v>
      </c>
      <c r="AX4" s="5" t="s">
        <v>1038</v>
      </c>
      <c r="AY4" s="5" t="s">
        <v>2579</v>
      </c>
    </row>
    <row r="5" customFormat="false" ht="15" hidden="false" customHeight="true" outlineLevel="0" collapsed="false">
      <c r="A5" s="5" t="s">
        <v>1018</v>
      </c>
      <c r="B5" s="5" t="s">
        <v>1018</v>
      </c>
      <c r="C5" s="5" t="s">
        <v>1019</v>
      </c>
      <c r="D5" s="5" t="n">
        <v>2011</v>
      </c>
      <c r="E5" s="5" t="s">
        <v>1020</v>
      </c>
      <c r="F5" s="5" t="s">
        <v>887</v>
      </c>
      <c r="G5" s="5" t="s">
        <v>1023</v>
      </c>
      <c r="H5" s="5" t="n">
        <v>29.017</v>
      </c>
      <c r="I5" s="5" t="n">
        <v>77.75</v>
      </c>
      <c r="J5" s="5" t="s">
        <v>83</v>
      </c>
      <c r="K5" s="5" t="s">
        <v>2096</v>
      </c>
      <c r="L5" s="5" t="s">
        <v>84</v>
      </c>
      <c r="M5" s="5" t="s">
        <v>85</v>
      </c>
      <c r="N5" s="5" t="s">
        <v>2573</v>
      </c>
      <c r="O5" s="5" t="s">
        <v>2581</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2098</v>
      </c>
      <c r="AK5" s="5"/>
      <c r="AL5" s="5"/>
      <c r="AM5" s="5" t="n">
        <v>8.1</v>
      </c>
      <c r="AN5" s="5"/>
      <c r="AO5" s="5"/>
      <c r="AP5" s="5" t="n">
        <v>55</v>
      </c>
      <c r="AQ5" s="5" t="n">
        <v>26</v>
      </c>
      <c r="AR5" s="5" t="s">
        <v>2575</v>
      </c>
      <c r="AS5" s="5" t="s">
        <v>2099</v>
      </c>
      <c r="AT5" s="5" t="s">
        <v>2576</v>
      </c>
      <c r="AU5" s="5" t="s">
        <v>2101</v>
      </c>
      <c r="AV5" s="5" t="s">
        <v>2577</v>
      </c>
      <c r="AW5" s="23" t="s">
        <v>2580</v>
      </c>
      <c r="AX5" s="5" t="s">
        <v>1038</v>
      </c>
      <c r="AY5" s="5" t="s">
        <v>2579</v>
      </c>
    </row>
    <row r="6" customFormat="false" ht="15" hidden="false" customHeight="true" outlineLevel="0" collapsed="false">
      <c r="A6" s="5" t="s">
        <v>1018</v>
      </c>
      <c r="B6" s="5" t="s">
        <v>1018</v>
      </c>
      <c r="C6" s="5" t="s">
        <v>1019</v>
      </c>
      <c r="D6" s="5" t="n">
        <v>2011</v>
      </c>
      <c r="E6" s="5" t="s">
        <v>1020</v>
      </c>
      <c r="F6" s="5" t="s">
        <v>887</v>
      </c>
      <c r="G6" s="5" t="s">
        <v>1023</v>
      </c>
      <c r="H6" s="5" t="n">
        <v>29.017</v>
      </c>
      <c r="I6" s="5" t="n">
        <v>77.75</v>
      </c>
      <c r="J6" s="5" t="s">
        <v>83</v>
      </c>
      <c r="K6" s="5" t="s">
        <v>2096</v>
      </c>
      <c r="L6" s="5" t="s">
        <v>84</v>
      </c>
      <c r="M6" s="5" t="s">
        <v>85</v>
      </c>
      <c r="N6" s="5" t="s">
        <v>2582</v>
      </c>
      <c r="O6" s="5" t="s">
        <v>2583</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2098</v>
      </c>
      <c r="AK6" s="5"/>
      <c r="AL6" s="5"/>
      <c r="AM6" s="5" t="n">
        <v>8.1</v>
      </c>
      <c r="AN6" s="5"/>
      <c r="AO6" s="5"/>
      <c r="AP6" s="5" t="n">
        <v>55</v>
      </c>
      <c r="AQ6" s="5" t="n">
        <v>26</v>
      </c>
      <c r="AR6" s="5" t="s">
        <v>2575</v>
      </c>
      <c r="AS6" s="5" t="s">
        <v>2099</v>
      </c>
      <c r="AT6" s="5" t="s">
        <v>2576</v>
      </c>
      <c r="AU6" s="5" t="s">
        <v>2101</v>
      </c>
      <c r="AV6" s="5" t="s">
        <v>2577</v>
      </c>
      <c r="AW6" s="23" t="s">
        <v>2578</v>
      </c>
      <c r="AX6" s="5" t="s">
        <v>1038</v>
      </c>
      <c r="AY6" s="5" t="s">
        <v>2579</v>
      </c>
    </row>
    <row r="7" customFormat="false" ht="15" hidden="false" customHeight="true" outlineLevel="0" collapsed="false">
      <c r="A7" s="5" t="s">
        <v>1018</v>
      </c>
      <c r="B7" s="5" t="s">
        <v>1018</v>
      </c>
      <c r="C7" s="5" t="s">
        <v>1019</v>
      </c>
      <c r="D7" s="5" t="n">
        <v>2011</v>
      </c>
      <c r="E7" s="5" t="s">
        <v>1020</v>
      </c>
      <c r="F7" s="5" t="s">
        <v>887</v>
      </c>
      <c r="G7" s="5" t="s">
        <v>1023</v>
      </c>
      <c r="H7" s="5" t="n">
        <v>29.017</v>
      </c>
      <c r="I7" s="5" t="n">
        <v>77.75</v>
      </c>
      <c r="J7" s="5" t="s">
        <v>83</v>
      </c>
      <c r="K7" s="5" t="s">
        <v>2096</v>
      </c>
      <c r="L7" s="5" t="s">
        <v>84</v>
      </c>
      <c r="M7" s="5" t="s">
        <v>85</v>
      </c>
      <c r="N7" s="5" t="s">
        <v>2582</v>
      </c>
      <c r="O7" s="5" t="s">
        <v>2583</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2098</v>
      </c>
      <c r="AK7" s="5"/>
      <c r="AL7" s="5"/>
      <c r="AM7" s="5" t="n">
        <v>8.1</v>
      </c>
      <c r="AN7" s="5"/>
      <c r="AO7" s="5"/>
      <c r="AP7" s="5" t="n">
        <v>55</v>
      </c>
      <c r="AQ7" s="5" t="n">
        <v>26</v>
      </c>
      <c r="AR7" s="5" t="s">
        <v>2575</v>
      </c>
      <c r="AS7" s="5" t="s">
        <v>2099</v>
      </c>
      <c r="AT7" s="5" t="s">
        <v>2576</v>
      </c>
      <c r="AU7" s="5" t="s">
        <v>2101</v>
      </c>
      <c r="AV7" s="5" t="s">
        <v>2577</v>
      </c>
      <c r="AW7" s="23" t="s">
        <v>2580</v>
      </c>
      <c r="AX7" s="5" t="s">
        <v>1038</v>
      </c>
      <c r="AY7" s="5" t="s">
        <v>2579</v>
      </c>
    </row>
    <row r="8" customFormat="false" ht="15" hidden="false" customHeight="true" outlineLevel="0" collapsed="false">
      <c r="A8" s="5" t="s">
        <v>1018</v>
      </c>
      <c r="B8" s="5" t="s">
        <v>1018</v>
      </c>
      <c r="C8" s="5" t="s">
        <v>1019</v>
      </c>
      <c r="D8" s="5" t="n">
        <v>2011</v>
      </c>
      <c r="E8" s="5" t="s">
        <v>1020</v>
      </c>
      <c r="F8" s="5" t="s">
        <v>887</v>
      </c>
      <c r="G8" s="5" t="s">
        <v>1023</v>
      </c>
      <c r="H8" s="5" t="n">
        <v>29.017</v>
      </c>
      <c r="I8" s="5" t="n">
        <v>77.75</v>
      </c>
      <c r="J8" s="5" t="s">
        <v>83</v>
      </c>
      <c r="K8" s="5" t="s">
        <v>2096</v>
      </c>
      <c r="L8" s="5" t="s">
        <v>84</v>
      </c>
      <c r="M8" s="5" t="s">
        <v>85</v>
      </c>
      <c r="N8" s="5" t="s">
        <v>2582</v>
      </c>
      <c r="O8" s="5" t="s">
        <v>2584</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2098</v>
      </c>
      <c r="AK8" s="5"/>
      <c r="AL8" s="5"/>
      <c r="AM8" s="5" t="n">
        <v>8.1</v>
      </c>
      <c r="AN8" s="5"/>
      <c r="AO8" s="5"/>
      <c r="AP8" s="5" t="n">
        <v>55</v>
      </c>
      <c r="AQ8" s="5" t="n">
        <v>26</v>
      </c>
      <c r="AR8" s="5" t="s">
        <v>2575</v>
      </c>
      <c r="AS8" s="5" t="s">
        <v>2099</v>
      </c>
      <c r="AT8" s="5" t="s">
        <v>2576</v>
      </c>
      <c r="AU8" s="5" t="s">
        <v>2101</v>
      </c>
      <c r="AV8" s="5" t="s">
        <v>2577</v>
      </c>
      <c r="AW8" s="23" t="s">
        <v>2578</v>
      </c>
      <c r="AX8" s="5" t="s">
        <v>1038</v>
      </c>
      <c r="AY8" s="5" t="s">
        <v>2579</v>
      </c>
    </row>
    <row r="9" customFormat="false" ht="15" hidden="false" customHeight="true" outlineLevel="0" collapsed="false">
      <c r="A9" s="5" t="s">
        <v>1018</v>
      </c>
      <c r="B9" s="5" t="s">
        <v>1018</v>
      </c>
      <c r="C9" s="5" t="s">
        <v>1019</v>
      </c>
      <c r="D9" s="5" t="n">
        <v>2011</v>
      </c>
      <c r="E9" s="5" t="s">
        <v>1020</v>
      </c>
      <c r="F9" s="5" t="s">
        <v>887</v>
      </c>
      <c r="G9" s="5" t="s">
        <v>1023</v>
      </c>
      <c r="H9" s="5" t="n">
        <v>29.017</v>
      </c>
      <c r="I9" s="5" t="n">
        <v>77.75</v>
      </c>
      <c r="J9" s="5" t="s">
        <v>83</v>
      </c>
      <c r="K9" s="5" t="s">
        <v>2096</v>
      </c>
      <c r="L9" s="5" t="s">
        <v>84</v>
      </c>
      <c r="M9" s="5" t="s">
        <v>85</v>
      </c>
      <c r="N9" s="5" t="s">
        <v>2582</v>
      </c>
      <c r="O9" s="5" t="s">
        <v>2584</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2098</v>
      </c>
      <c r="AK9" s="5"/>
      <c r="AL9" s="5"/>
      <c r="AM9" s="5" t="n">
        <v>8.1</v>
      </c>
      <c r="AN9" s="5"/>
      <c r="AO9" s="5"/>
      <c r="AP9" s="5" t="n">
        <v>55</v>
      </c>
      <c r="AQ9" s="5" t="n">
        <v>26</v>
      </c>
      <c r="AR9" s="5" t="s">
        <v>2575</v>
      </c>
      <c r="AS9" s="5" t="s">
        <v>2099</v>
      </c>
      <c r="AT9" s="5" t="s">
        <v>2576</v>
      </c>
      <c r="AU9" s="5" t="s">
        <v>2101</v>
      </c>
      <c r="AV9" s="5" t="s">
        <v>2577</v>
      </c>
      <c r="AW9" s="23" t="s">
        <v>2580</v>
      </c>
      <c r="AX9" s="5" t="s">
        <v>1038</v>
      </c>
      <c r="AY9" s="5" t="s">
        <v>2579</v>
      </c>
    </row>
    <row r="10" customFormat="false" ht="15" hidden="false" customHeight="true" outlineLevel="0" collapsed="false">
      <c r="A10" s="5" t="s">
        <v>1018</v>
      </c>
      <c r="B10" s="5" t="s">
        <v>1018</v>
      </c>
      <c r="C10" s="5" t="s">
        <v>1019</v>
      </c>
      <c r="D10" s="5" t="n">
        <v>2011</v>
      </c>
      <c r="E10" s="5" t="s">
        <v>1020</v>
      </c>
      <c r="F10" s="5" t="s">
        <v>887</v>
      </c>
      <c r="G10" s="5" t="s">
        <v>1023</v>
      </c>
      <c r="H10" s="5" t="n">
        <v>29.017</v>
      </c>
      <c r="I10" s="5" t="n">
        <v>77.75</v>
      </c>
      <c r="J10" s="5" t="s">
        <v>83</v>
      </c>
      <c r="K10" s="5" t="s">
        <v>2096</v>
      </c>
      <c r="L10" s="5" t="s">
        <v>84</v>
      </c>
      <c r="M10" s="5" t="s">
        <v>85</v>
      </c>
      <c r="N10" s="5" t="s">
        <v>2585</v>
      </c>
      <c r="O10" s="5" t="s">
        <v>2586</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2098</v>
      </c>
      <c r="AK10" s="5"/>
      <c r="AL10" s="5"/>
      <c r="AM10" s="5" t="n">
        <v>8.1</v>
      </c>
      <c r="AN10" s="5"/>
      <c r="AO10" s="5"/>
      <c r="AP10" s="5" t="n">
        <v>55</v>
      </c>
      <c r="AQ10" s="5" t="n">
        <v>26</v>
      </c>
      <c r="AR10" s="5" t="s">
        <v>2575</v>
      </c>
      <c r="AS10" s="5" t="s">
        <v>2099</v>
      </c>
      <c r="AT10" s="5" t="s">
        <v>2576</v>
      </c>
      <c r="AU10" s="5" t="s">
        <v>2101</v>
      </c>
      <c r="AV10" s="5" t="s">
        <v>2577</v>
      </c>
      <c r="AW10" s="23" t="s">
        <v>2578</v>
      </c>
      <c r="AX10" s="5" t="s">
        <v>1038</v>
      </c>
      <c r="AY10" s="5" t="s">
        <v>2579</v>
      </c>
    </row>
    <row r="11" customFormat="false" ht="15" hidden="false" customHeight="true" outlineLevel="0" collapsed="false">
      <c r="A11" s="5" t="s">
        <v>1018</v>
      </c>
      <c r="B11" s="5" t="s">
        <v>1018</v>
      </c>
      <c r="C11" s="5" t="s">
        <v>1019</v>
      </c>
      <c r="D11" s="5" t="n">
        <v>2011</v>
      </c>
      <c r="E11" s="5" t="s">
        <v>1020</v>
      </c>
      <c r="F11" s="5" t="s">
        <v>887</v>
      </c>
      <c r="G11" s="5" t="s">
        <v>1023</v>
      </c>
      <c r="H11" s="5" t="n">
        <v>29.017</v>
      </c>
      <c r="I11" s="5" t="n">
        <v>77.75</v>
      </c>
      <c r="J11" s="5" t="s">
        <v>83</v>
      </c>
      <c r="K11" s="5" t="s">
        <v>2096</v>
      </c>
      <c r="L11" s="5" t="s">
        <v>84</v>
      </c>
      <c r="M11" s="5" t="s">
        <v>85</v>
      </c>
      <c r="N11" s="5" t="s">
        <v>2585</v>
      </c>
      <c r="O11" s="5" t="s">
        <v>2586</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2098</v>
      </c>
      <c r="AK11" s="5"/>
      <c r="AL11" s="5"/>
      <c r="AM11" s="5" t="n">
        <v>8.1</v>
      </c>
      <c r="AN11" s="5"/>
      <c r="AO11" s="5"/>
      <c r="AP11" s="5" t="n">
        <v>55</v>
      </c>
      <c r="AQ11" s="5" t="n">
        <v>26</v>
      </c>
      <c r="AR11" s="5" t="s">
        <v>2575</v>
      </c>
      <c r="AS11" s="5" t="s">
        <v>2099</v>
      </c>
      <c r="AT11" s="5" t="s">
        <v>2576</v>
      </c>
      <c r="AU11" s="5" t="s">
        <v>2101</v>
      </c>
      <c r="AV11" s="5" t="s">
        <v>2577</v>
      </c>
      <c r="AW11" s="23" t="s">
        <v>2587</v>
      </c>
      <c r="AX11" s="5" t="s">
        <v>1038</v>
      </c>
      <c r="AY11" s="5" t="s">
        <v>2579</v>
      </c>
    </row>
    <row r="12" customFormat="false" ht="14.25" hidden="false" customHeight="true" outlineLevel="0" collapsed="false">
      <c r="A12" s="5" t="s">
        <v>1018</v>
      </c>
      <c r="B12" s="5" t="s">
        <v>1018</v>
      </c>
      <c r="C12" s="5" t="s">
        <v>1019</v>
      </c>
      <c r="D12" s="5" t="n">
        <v>2011</v>
      </c>
      <c r="E12" s="5" t="s">
        <v>1020</v>
      </c>
      <c r="F12" s="5" t="s">
        <v>887</v>
      </c>
      <c r="G12" s="5" t="s">
        <v>1023</v>
      </c>
      <c r="H12" s="5" t="n">
        <v>29.017</v>
      </c>
      <c r="I12" s="5" t="n">
        <v>77.75</v>
      </c>
      <c r="J12" s="5" t="s">
        <v>83</v>
      </c>
      <c r="K12" s="5" t="s">
        <v>2096</v>
      </c>
      <c r="L12" s="5" t="s">
        <v>84</v>
      </c>
      <c r="M12" s="5" t="s">
        <v>85</v>
      </c>
      <c r="N12" s="5" t="s">
        <v>2585</v>
      </c>
      <c r="O12" s="5" t="s">
        <v>2588</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2098</v>
      </c>
      <c r="AK12" s="5"/>
      <c r="AL12" s="5"/>
      <c r="AM12" s="5" t="n">
        <v>8.1</v>
      </c>
      <c r="AN12" s="5"/>
      <c r="AO12" s="5"/>
      <c r="AP12" s="5" t="n">
        <v>55</v>
      </c>
      <c r="AQ12" s="5" t="n">
        <v>26</v>
      </c>
      <c r="AR12" s="5" t="s">
        <v>2575</v>
      </c>
      <c r="AS12" s="5" t="s">
        <v>2099</v>
      </c>
      <c r="AT12" s="5" t="s">
        <v>2576</v>
      </c>
      <c r="AU12" s="5" t="s">
        <v>2101</v>
      </c>
      <c r="AV12" s="5" t="s">
        <v>2577</v>
      </c>
      <c r="AW12" s="23" t="s">
        <v>2578</v>
      </c>
      <c r="AX12" s="5" t="s">
        <v>1038</v>
      </c>
      <c r="AY12" s="5" t="s">
        <v>2579</v>
      </c>
    </row>
    <row r="13" customFormat="false" ht="14.25" hidden="false" customHeight="true" outlineLevel="0" collapsed="false">
      <c r="A13" s="5" t="s">
        <v>1018</v>
      </c>
      <c r="B13" s="5" t="s">
        <v>1018</v>
      </c>
      <c r="C13" s="5" t="s">
        <v>1019</v>
      </c>
      <c r="D13" s="5" t="n">
        <v>2011</v>
      </c>
      <c r="E13" s="5" t="s">
        <v>1020</v>
      </c>
      <c r="F13" s="5" t="s">
        <v>887</v>
      </c>
      <c r="G13" s="5" t="s">
        <v>1023</v>
      </c>
      <c r="H13" s="5" t="n">
        <v>29.017</v>
      </c>
      <c r="I13" s="5" t="n">
        <v>77.75</v>
      </c>
      <c r="J13" s="5" t="s">
        <v>83</v>
      </c>
      <c r="K13" s="5" t="s">
        <v>2096</v>
      </c>
      <c r="L13" s="5" t="s">
        <v>84</v>
      </c>
      <c r="M13" s="5" t="s">
        <v>85</v>
      </c>
      <c r="N13" s="5" t="s">
        <v>2585</v>
      </c>
      <c r="O13" s="5" t="s">
        <v>2588</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2098</v>
      </c>
      <c r="AK13" s="5"/>
      <c r="AL13" s="5"/>
      <c r="AM13" s="5" t="n">
        <v>8.1</v>
      </c>
      <c r="AN13" s="5"/>
      <c r="AO13" s="5"/>
      <c r="AP13" s="5" t="n">
        <v>55</v>
      </c>
      <c r="AQ13" s="5" t="n">
        <v>26</v>
      </c>
      <c r="AR13" s="5" t="s">
        <v>2575</v>
      </c>
      <c r="AS13" s="5" t="s">
        <v>2099</v>
      </c>
      <c r="AT13" s="5" t="s">
        <v>2576</v>
      </c>
      <c r="AU13" s="5" t="s">
        <v>2101</v>
      </c>
      <c r="AV13" s="5" t="s">
        <v>2577</v>
      </c>
      <c r="AW13" s="23" t="s">
        <v>2589</v>
      </c>
      <c r="AX13" s="5" t="s">
        <v>1038</v>
      </c>
      <c r="AY13" s="5" t="s">
        <v>2579</v>
      </c>
    </row>
    <row r="14" customFormat="false" ht="14.25" hidden="false" customHeight="true" outlineLevel="0" collapsed="false">
      <c r="A14" s="5" t="s">
        <v>1018</v>
      </c>
      <c r="B14" s="5" t="s">
        <v>1018</v>
      </c>
      <c r="C14" s="5" t="s">
        <v>1019</v>
      </c>
      <c r="D14" s="5" t="n">
        <v>2011</v>
      </c>
      <c r="E14" s="5" t="s">
        <v>1020</v>
      </c>
      <c r="F14" s="5" t="s">
        <v>887</v>
      </c>
      <c r="G14" s="5" t="s">
        <v>1023</v>
      </c>
      <c r="H14" s="5" t="n">
        <v>29.017</v>
      </c>
      <c r="I14" s="5" t="n">
        <v>77.75</v>
      </c>
      <c r="J14" s="5" t="s">
        <v>83</v>
      </c>
      <c r="K14" s="5" t="s">
        <v>2096</v>
      </c>
      <c r="L14" s="5" t="s">
        <v>84</v>
      </c>
      <c r="M14" s="5" t="s">
        <v>85</v>
      </c>
      <c r="N14" s="5" t="s">
        <v>2590</v>
      </c>
      <c r="O14" s="5" t="s">
        <v>2591</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2098</v>
      </c>
      <c r="AK14" s="5"/>
      <c r="AL14" s="5"/>
      <c r="AM14" s="5" t="n">
        <v>8.1</v>
      </c>
      <c r="AN14" s="5"/>
      <c r="AO14" s="5"/>
      <c r="AP14" s="5" t="n">
        <v>55</v>
      </c>
      <c r="AQ14" s="5" t="n">
        <v>26</v>
      </c>
      <c r="AR14" s="5" t="s">
        <v>2575</v>
      </c>
      <c r="AS14" s="5" t="s">
        <v>2099</v>
      </c>
      <c r="AT14" s="5" t="s">
        <v>2576</v>
      </c>
      <c r="AU14" s="5" t="s">
        <v>2101</v>
      </c>
      <c r="AV14" s="5" t="s">
        <v>2577</v>
      </c>
      <c r="AW14" s="23" t="s">
        <v>2592</v>
      </c>
      <c r="AX14" s="5" t="s">
        <v>1038</v>
      </c>
      <c r="AY14" s="5" t="s">
        <v>2579</v>
      </c>
    </row>
    <row r="15" customFormat="false" ht="14.25" hidden="false" customHeight="true" outlineLevel="0" collapsed="false">
      <c r="A15" s="5" t="s">
        <v>1018</v>
      </c>
      <c r="B15" s="5" t="s">
        <v>1018</v>
      </c>
      <c r="C15" s="5" t="s">
        <v>1019</v>
      </c>
      <c r="D15" s="5" t="n">
        <v>2011</v>
      </c>
      <c r="E15" s="5" t="s">
        <v>1020</v>
      </c>
      <c r="F15" s="5" t="s">
        <v>887</v>
      </c>
      <c r="G15" s="5" t="s">
        <v>1023</v>
      </c>
      <c r="H15" s="5" t="n">
        <v>29.017</v>
      </c>
      <c r="I15" s="5" t="n">
        <v>77.75</v>
      </c>
      <c r="J15" s="5" t="s">
        <v>83</v>
      </c>
      <c r="K15" s="5" t="s">
        <v>2096</v>
      </c>
      <c r="L15" s="5" t="s">
        <v>84</v>
      </c>
      <c r="M15" s="5" t="s">
        <v>85</v>
      </c>
      <c r="N15" s="5" t="s">
        <v>2590</v>
      </c>
      <c r="O15" s="5" t="s">
        <v>2591</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2098</v>
      </c>
      <c r="AK15" s="5"/>
      <c r="AL15" s="5"/>
      <c r="AM15" s="5" t="n">
        <v>8.1</v>
      </c>
      <c r="AN15" s="5"/>
      <c r="AO15" s="5"/>
      <c r="AP15" s="5" t="n">
        <v>55</v>
      </c>
      <c r="AQ15" s="5" t="n">
        <v>26</v>
      </c>
      <c r="AR15" s="5" t="s">
        <v>2575</v>
      </c>
      <c r="AS15" s="5" t="s">
        <v>2099</v>
      </c>
      <c r="AT15" s="5" t="s">
        <v>2576</v>
      </c>
      <c r="AU15" s="5" t="s">
        <v>2101</v>
      </c>
      <c r="AV15" s="5" t="s">
        <v>2577</v>
      </c>
      <c r="AW15" s="23" t="s">
        <v>2593</v>
      </c>
      <c r="AX15" s="5" t="s">
        <v>1038</v>
      </c>
      <c r="AY15" s="5" t="s">
        <v>2579</v>
      </c>
    </row>
    <row r="16" customFormat="false" ht="14.25" hidden="false" customHeight="true" outlineLevel="0" collapsed="false">
      <c r="A16" s="5" t="s">
        <v>1018</v>
      </c>
      <c r="B16" s="5" t="s">
        <v>1018</v>
      </c>
      <c r="C16" s="5" t="s">
        <v>1019</v>
      </c>
      <c r="D16" s="5" t="n">
        <v>2011</v>
      </c>
      <c r="E16" s="5" t="s">
        <v>1020</v>
      </c>
      <c r="F16" s="5" t="s">
        <v>887</v>
      </c>
      <c r="G16" s="5" t="s">
        <v>1023</v>
      </c>
      <c r="H16" s="5" t="n">
        <v>29.017</v>
      </c>
      <c r="I16" s="5" t="n">
        <v>77.75</v>
      </c>
      <c r="J16" s="5" t="s">
        <v>83</v>
      </c>
      <c r="K16" s="5" t="s">
        <v>2096</v>
      </c>
      <c r="L16" s="5" t="s">
        <v>84</v>
      </c>
      <c r="M16" s="5" t="s">
        <v>85</v>
      </c>
      <c r="N16" s="5" t="s">
        <v>2590</v>
      </c>
      <c r="O16" s="5" t="s">
        <v>2594</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2098</v>
      </c>
      <c r="AK16" s="5"/>
      <c r="AL16" s="5"/>
      <c r="AM16" s="5" t="n">
        <v>8.1</v>
      </c>
      <c r="AN16" s="5"/>
      <c r="AO16" s="5"/>
      <c r="AP16" s="5" t="n">
        <v>55</v>
      </c>
      <c r="AQ16" s="5" t="n">
        <v>26</v>
      </c>
      <c r="AR16" s="5" t="s">
        <v>2575</v>
      </c>
      <c r="AS16" s="5" t="s">
        <v>2099</v>
      </c>
      <c r="AT16" s="5" t="s">
        <v>2576</v>
      </c>
      <c r="AU16" s="5" t="s">
        <v>2101</v>
      </c>
      <c r="AV16" s="5" t="s">
        <v>2577</v>
      </c>
      <c r="AW16" s="23" t="s">
        <v>2595</v>
      </c>
      <c r="AX16" s="5" t="s">
        <v>1038</v>
      </c>
      <c r="AY16" s="5" t="s">
        <v>2579</v>
      </c>
    </row>
    <row r="17" customFormat="false" ht="14.25" hidden="false" customHeight="true" outlineLevel="0" collapsed="false">
      <c r="A17" s="5" t="s">
        <v>1018</v>
      </c>
      <c r="B17" s="5" t="s">
        <v>1018</v>
      </c>
      <c r="C17" s="5" t="s">
        <v>1019</v>
      </c>
      <c r="D17" s="5" t="n">
        <v>2011</v>
      </c>
      <c r="E17" s="5" t="s">
        <v>1020</v>
      </c>
      <c r="F17" s="5" t="s">
        <v>887</v>
      </c>
      <c r="G17" s="5" t="s">
        <v>1023</v>
      </c>
      <c r="H17" s="5" t="n">
        <v>29.017</v>
      </c>
      <c r="I17" s="5" t="n">
        <v>77.75</v>
      </c>
      <c r="J17" s="5" t="s">
        <v>83</v>
      </c>
      <c r="K17" s="5" t="s">
        <v>2096</v>
      </c>
      <c r="L17" s="5" t="s">
        <v>84</v>
      </c>
      <c r="M17" s="5" t="s">
        <v>85</v>
      </c>
      <c r="N17" s="5" t="s">
        <v>2590</v>
      </c>
      <c r="O17" s="5" t="s">
        <v>2594</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2098</v>
      </c>
      <c r="AK17" s="5"/>
      <c r="AL17" s="5"/>
      <c r="AM17" s="5" t="n">
        <v>8.1</v>
      </c>
      <c r="AN17" s="5"/>
      <c r="AO17" s="5"/>
      <c r="AP17" s="5" t="n">
        <v>55</v>
      </c>
      <c r="AQ17" s="5" t="n">
        <v>26</v>
      </c>
      <c r="AR17" s="5" t="s">
        <v>2575</v>
      </c>
      <c r="AS17" s="5" t="s">
        <v>2099</v>
      </c>
      <c r="AT17" s="5" t="s">
        <v>2576</v>
      </c>
      <c r="AU17" s="5" t="s">
        <v>2101</v>
      </c>
      <c r="AV17" s="5" t="s">
        <v>2577</v>
      </c>
      <c r="AW17" s="23" t="s">
        <v>2580</v>
      </c>
      <c r="AX17" s="5" t="s">
        <v>1038</v>
      </c>
      <c r="AY17" s="5" t="s">
        <v>2579</v>
      </c>
    </row>
    <row r="18" customFormat="false" ht="14.25" hidden="false" customHeight="true" outlineLevel="0" collapsed="false">
      <c r="A18" s="5" t="s">
        <v>1018</v>
      </c>
      <c r="B18" s="5" t="s">
        <v>1018</v>
      </c>
      <c r="C18" s="5" t="s">
        <v>1019</v>
      </c>
      <c r="D18" s="5" t="n">
        <v>2011</v>
      </c>
      <c r="E18" s="5" t="s">
        <v>1020</v>
      </c>
      <c r="F18" s="5" t="s">
        <v>887</v>
      </c>
      <c r="G18" s="5" t="s">
        <v>1023</v>
      </c>
      <c r="H18" s="5" t="n">
        <v>29.017</v>
      </c>
      <c r="I18" s="5" t="n">
        <v>77.75</v>
      </c>
      <c r="J18" s="5" t="s">
        <v>83</v>
      </c>
      <c r="K18" s="5" t="s">
        <v>2096</v>
      </c>
      <c r="L18" s="5" t="s">
        <v>84</v>
      </c>
      <c r="M18" s="5" t="s">
        <v>85</v>
      </c>
      <c r="N18" s="5" t="s">
        <v>2596</v>
      </c>
      <c r="O18" s="5" t="s">
        <v>2597</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2098</v>
      </c>
      <c r="AK18" s="5"/>
      <c r="AL18" s="5"/>
      <c r="AM18" s="5" t="n">
        <v>8.1</v>
      </c>
      <c r="AN18" s="5"/>
      <c r="AO18" s="5"/>
      <c r="AP18" s="5" t="n">
        <v>55</v>
      </c>
      <c r="AQ18" s="5" t="n">
        <v>26</v>
      </c>
      <c r="AR18" s="5" t="s">
        <v>2575</v>
      </c>
      <c r="AS18" s="5" t="s">
        <v>2099</v>
      </c>
      <c r="AT18" s="5" t="s">
        <v>2576</v>
      </c>
      <c r="AU18" s="5" t="s">
        <v>2101</v>
      </c>
      <c r="AV18" s="5" t="s">
        <v>2577</v>
      </c>
      <c r="AW18" s="23" t="s">
        <v>2598</v>
      </c>
      <c r="AX18" s="5" t="s">
        <v>1038</v>
      </c>
      <c r="AY18" s="5" t="s">
        <v>2579</v>
      </c>
    </row>
    <row r="19" customFormat="false" ht="14.25" hidden="false" customHeight="true" outlineLevel="0" collapsed="false">
      <c r="A19" s="5" t="s">
        <v>1018</v>
      </c>
      <c r="B19" s="5" t="s">
        <v>1018</v>
      </c>
      <c r="C19" s="5" t="s">
        <v>1019</v>
      </c>
      <c r="D19" s="5" t="n">
        <v>2011</v>
      </c>
      <c r="E19" s="5" t="s">
        <v>1020</v>
      </c>
      <c r="F19" s="5" t="s">
        <v>887</v>
      </c>
      <c r="G19" s="5" t="s">
        <v>1023</v>
      </c>
      <c r="H19" s="5" t="n">
        <v>29.017</v>
      </c>
      <c r="I19" s="5" t="n">
        <v>77.75</v>
      </c>
      <c r="J19" s="5" t="s">
        <v>83</v>
      </c>
      <c r="K19" s="5" t="s">
        <v>2096</v>
      </c>
      <c r="L19" s="5" t="s">
        <v>84</v>
      </c>
      <c r="M19" s="5" t="s">
        <v>85</v>
      </c>
      <c r="N19" s="5" t="s">
        <v>2596</v>
      </c>
      <c r="O19" s="5" t="s">
        <v>2597</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2098</v>
      </c>
      <c r="AK19" s="5"/>
      <c r="AL19" s="5"/>
      <c r="AM19" s="5" t="n">
        <v>8.1</v>
      </c>
      <c r="AN19" s="5"/>
      <c r="AO19" s="5"/>
      <c r="AP19" s="5" t="n">
        <v>55</v>
      </c>
      <c r="AQ19" s="5" t="n">
        <v>26</v>
      </c>
      <c r="AR19" s="5" t="s">
        <v>2575</v>
      </c>
      <c r="AS19" s="5" t="s">
        <v>2099</v>
      </c>
      <c r="AT19" s="5" t="s">
        <v>2576</v>
      </c>
      <c r="AU19" s="5" t="s">
        <v>2101</v>
      </c>
      <c r="AV19" s="5" t="s">
        <v>2577</v>
      </c>
      <c r="AW19" s="23" t="s">
        <v>2599</v>
      </c>
      <c r="AX19" s="5" t="s">
        <v>1038</v>
      </c>
      <c r="AY19" s="5" t="s">
        <v>2579</v>
      </c>
    </row>
    <row r="20" customFormat="false" ht="14.25" hidden="false" customHeight="true" outlineLevel="0" collapsed="false">
      <c r="A20" s="5" t="s">
        <v>1064</v>
      </c>
      <c r="B20" s="5" t="s">
        <v>1064</v>
      </c>
      <c r="C20" s="5" t="s">
        <v>1065</v>
      </c>
      <c r="D20" s="5" t="n">
        <v>2022</v>
      </c>
      <c r="E20" s="5" t="s">
        <v>80</v>
      </c>
      <c r="F20" s="5" t="s">
        <v>942</v>
      </c>
      <c r="G20" s="5" t="s">
        <v>943</v>
      </c>
      <c r="H20" s="5" t="n">
        <v>29.706</v>
      </c>
      <c r="I20" s="5" t="n">
        <v>76.956</v>
      </c>
      <c r="J20" s="5" t="s">
        <v>83</v>
      </c>
      <c r="K20" s="5" t="n">
        <v>2019</v>
      </c>
      <c r="L20" s="5" t="s">
        <v>84</v>
      </c>
      <c r="M20" s="5" t="s">
        <v>85</v>
      </c>
      <c r="N20" s="5" t="s">
        <v>2573</v>
      </c>
      <c r="O20" s="5" t="s">
        <v>2097</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2575</v>
      </c>
      <c r="AS20" s="5" t="s">
        <v>2119</v>
      </c>
      <c r="AT20" s="5" t="s">
        <v>2120</v>
      </c>
      <c r="AU20" s="5" t="s">
        <v>2121</v>
      </c>
      <c r="AV20" s="5" t="s">
        <v>2600</v>
      </c>
      <c r="AW20" s="23" t="s">
        <v>2601</v>
      </c>
      <c r="AX20" s="5" t="s">
        <v>1076</v>
      </c>
      <c r="AY20" s="5" t="s">
        <v>2602</v>
      </c>
    </row>
    <row r="21" customFormat="false" ht="14.25" hidden="false" customHeight="true" outlineLevel="0" collapsed="false">
      <c r="A21" s="5" t="s">
        <v>1064</v>
      </c>
      <c r="B21" s="5" t="s">
        <v>1064</v>
      </c>
      <c r="C21" s="5" t="s">
        <v>1065</v>
      </c>
      <c r="D21" s="5" t="n">
        <v>2022</v>
      </c>
      <c r="E21" s="5" t="s">
        <v>80</v>
      </c>
      <c r="F21" s="5" t="s">
        <v>942</v>
      </c>
      <c r="G21" s="5" t="s">
        <v>943</v>
      </c>
      <c r="H21" s="5" t="n">
        <v>29.706</v>
      </c>
      <c r="I21" s="5" t="n">
        <v>76.956</v>
      </c>
      <c r="J21" s="5" t="s">
        <v>83</v>
      </c>
      <c r="K21" s="5" t="n">
        <v>2019</v>
      </c>
      <c r="L21" s="5" t="s">
        <v>84</v>
      </c>
      <c r="M21" s="5" t="s">
        <v>85</v>
      </c>
      <c r="N21" s="5" t="s">
        <v>2573</v>
      </c>
      <c r="O21" s="5" t="s">
        <v>2134</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2575</v>
      </c>
      <c r="AS21" s="5" t="s">
        <v>2119</v>
      </c>
      <c r="AT21" s="5" t="s">
        <v>2120</v>
      </c>
      <c r="AU21" s="5" t="s">
        <v>2121</v>
      </c>
      <c r="AV21" s="5" t="s">
        <v>2600</v>
      </c>
      <c r="AW21" s="23" t="s">
        <v>2601</v>
      </c>
      <c r="AX21" s="5" t="s">
        <v>1076</v>
      </c>
      <c r="AY21" s="5" t="s">
        <v>2602</v>
      </c>
    </row>
    <row r="22" customFormat="false" ht="14.25" hidden="false" customHeight="true" outlineLevel="0" collapsed="false">
      <c r="A22" s="5" t="s">
        <v>1064</v>
      </c>
      <c r="B22" s="5" t="s">
        <v>1064</v>
      </c>
      <c r="C22" s="5" t="s">
        <v>1065</v>
      </c>
      <c r="D22" s="5" t="n">
        <v>2022</v>
      </c>
      <c r="E22" s="5" t="s">
        <v>80</v>
      </c>
      <c r="F22" s="5" t="s">
        <v>942</v>
      </c>
      <c r="G22" s="5" t="s">
        <v>943</v>
      </c>
      <c r="H22" s="5" t="n">
        <v>29.706</v>
      </c>
      <c r="I22" s="5" t="n">
        <v>76.956</v>
      </c>
      <c r="J22" s="5" t="s">
        <v>83</v>
      </c>
      <c r="K22" s="5" t="n">
        <v>2019</v>
      </c>
      <c r="L22" s="5" t="s">
        <v>84</v>
      </c>
      <c r="M22" s="5" t="s">
        <v>85</v>
      </c>
      <c r="N22" s="5" t="s">
        <v>2582</v>
      </c>
      <c r="O22" s="5" t="s">
        <v>2603</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2575</v>
      </c>
      <c r="AS22" s="5" t="s">
        <v>2119</v>
      </c>
      <c r="AT22" s="5" t="s">
        <v>2120</v>
      </c>
      <c r="AU22" s="5" t="s">
        <v>2121</v>
      </c>
      <c r="AV22" s="5" t="s">
        <v>2600</v>
      </c>
      <c r="AW22" s="23" t="s">
        <v>2601</v>
      </c>
      <c r="AX22" s="5" t="s">
        <v>1076</v>
      </c>
      <c r="AY22" s="5" t="s">
        <v>2602</v>
      </c>
    </row>
    <row r="23" customFormat="false" ht="14.25" hidden="false" customHeight="true" outlineLevel="0" collapsed="false">
      <c r="A23" s="5" t="s">
        <v>1064</v>
      </c>
      <c r="B23" s="5" t="s">
        <v>1064</v>
      </c>
      <c r="C23" s="5" t="s">
        <v>1065</v>
      </c>
      <c r="D23" s="5" t="n">
        <v>2022</v>
      </c>
      <c r="E23" s="5" t="s">
        <v>80</v>
      </c>
      <c r="F23" s="5" t="s">
        <v>942</v>
      </c>
      <c r="G23" s="5" t="s">
        <v>943</v>
      </c>
      <c r="H23" s="5" t="n">
        <v>29.706</v>
      </c>
      <c r="I23" s="5" t="n">
        <v>76.956</v>
      </c>
      <c r="J23" s="5" t="s">
        <v>83</v>
      </c>
      <c r="K23" s="5" t="n">
        <v>2019</v>
      </c>
      <c r="L23" s="5" t="s">
        <v>84</v>
      </c>
      <c r="M23" s="5" t="s">
        <v>85</v>
      </c>
      <c r="N23" s="5" t="s">
        <v>2582</v>
      </c>
      <c r="O23" s="5" t="s">
        <v>2604</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2575</v>
      </c>
      <c r="AS23" s="5" t="s">
        <v>2119</v>
      </c>
      <c r="AT23" s="5" t="s">
        <v>2120</v>
      </c>
      <c r="AU23" s="5" t="s">
        <v>2121</v>
      </c>
      <c r="AV23" s="5" t="s">
        <v>2600</v>
      </c>
      <c r="AW23" s="23" t="s">
        <v>2601</v>
      </c>
      <c r="AX23" s="5" t="s">
        <v>1076</v>
      </c>
      <c r="AY23" s="5" t="s">
        <v>2602</v>
      </c>
    </row>
    <row r="24" customFormat="false" ht="14.25" hidden="false" customHeight="true" outlineLevel="0" collapsed="false">
      <c r="A24" s="5" t="s">
        <v>1064</v>
      </c>
      <c r="B24" s="5" t="s">
        <v>1064</v>
      </c>
      <c r="C24" s="5" t="s">
        <v>1065</v>
      </c>
      <c r="D24" s="5" t="n">
        <v>2022</v>
      </c>
      <c r="E24" s="5" t="s">
        <v>80</v>
      </c>
      <c r="F24" s="5" t="s">
        <v>942</v>
      </c>
      <c r="G24" s="5" t="s">
        <v>943</v>
      </c>
      <c r="H24" s="5" t="n">
        <v>29.706</v>
      </c>
      <c r="I24" s="5" t="n">
        <v>76.956</v>
      </c>
      <c r="J24" s="5" t="s">
        <v>83</v>
      </c>
      <c r="K24" s="5" t="n">
        <v>2019</v>
      </c>
      <c r="L24" s="5" t="s">
        <v>84</v>
      </c>
      <c r="M24" s="5" t="s">
        <v>85</v>
      </c>
      <c r="N24" s="5" t="s">
        <v>2585</v>
      </c>
      <c r="O24" s="5" t="s">
        <v>2605</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2575</v>
      </c>
      <c r="AS24" s="5" t="s">
        <v>2119</v>
      </c>
      <c r="AT24" s="5" t="s">
        <v>2120</v>
      </c>
      <c r="AU24" s="5" t="s">
        <v>2121</v>
      </c>
      <c r="AV24" s="5" t="s">
        <v>2600</v>
      </c>
      <c r="AW24" s="23" t="s">
        <v>2601</v>
      </c>
      <c r="AX24" s="5" t="s">
        <v>1076</v>
      </c>
      <c r="AY24" s="5" t="s">
        <v>2602</v>
      </c>
    </row>
    <row r="25" customFormat="false" ht="14.25" hidden="false" customHeight="true" outlineLevel="0" collapsed="false">
      <c r="A25" s="5" t="s">
        <v>1064</v>
      </c>
      <c r="B25" s="5" t="s">
        <v>1064</v>
      </c>
      <c r="C25" s="5" t="s">
        <v>1065</v>
      </c>
      <c r="D25" s="5" t="n">
        <v>2022</v>
      </c>
      <c r="E25" s="5" t="s">
        <v>80</v>
      </c>
      <c r="F25" s="5" t="s">
        <v>942</v>
      </c>
      <c r="G25" s="5" t="s">
        <v>943</v>
      </c>
      <c r="H25" s="5" t="n">
        <v>29.706</v>
      </c>
      <c r="I25" s="5" t="n">
        <v>76.956</v>
      </c>
      <c r="J25" s="5" t="s">
        <v>83</v>
      </c>
      <c r="K25" s="5" t="n">
        <v>2019</v>
      </c>
      <c r="L25" s="5" t="s">
        <v>84</v>
      </c>
      <c r="M25" s="5" t="s">
        <v>85</v>
      </c>
      <c r="N25" s="5" t="s">
        <v>2585</v>
      </c>
      <c r="O25" s="5" t="s">
        <v>2606</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2575</v>
      </c>
      <c r="AS25" s="5" t="s">
        <v>2119</v>
      </c>
      <c r="AT25" s="5" t="s">
        <v>2120</v>
      </c>
      <c r="AU25" s="5" t="s">
        <v>2121</v>
      </c>
      <c r="AV25" s="5" t="s">
        <v>2600</v>
      </c>
      <c r="AW25" s="23" t="s">
        <v>2601</v>
      </c>
      <c r="AX25" s="5" t="s">
        <v>1076</v>
      </c>
      <c r="AY25" s="5" t="s">
        <v>2602</v>
      </c>
    </row>
    <row r="26" customFormat="false" ht="14.25" hidden="false" customHeight="true" outlineLevel="0" collapsed="false">
      <c r="A26" s="5" t="s">
        <v>1064</v>
      </c>
      <c r="B26" s="5" t="s">
        <v>1064</v>
      </c>
      <c r="C26" s="5" t="s">
        <v>1065</v>
      </c>
      <c r="D26" s="5" t="n">
        <v>2022</v>
      </c>
      <c r="E26" s="5" t="s">
        <v>80</v>
      </c>
      <c r="F26" s="5" t="s">
        <v>942</v>
      </c>
      <c r="G26" s="5" t="s">
        <v>943</v>
      </c>
      <c r="H26" s="5" t="n">
        <v>29.706</v>
      </c>
      <c r="I26" s="5" t="n">
        <v>76.956</v>
      </c>
      <c r="J26" s="5" t="s">
        <v>83</v>
      </c>
      <c r="K26" s="5" t="n">
        <v>2019</v>
      </c>
      <c r="L26" s="5" t="s">
        <v>84</v>
      </c>
      <c r="M26" s="5" t="s">
        <v>85</v>
      </c>
      <c r="N26" s="5" t="s">
        <v>2590</v>
      </c>
      <c r="O26" s="5" t="s">
        <v>2607</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2575</v>
      </c>
      <c r="AS26" s="5" t="s">
        <v>2119</v>
      </c>
      <c r="AT26" s="5" t="s">
        <v>2120</v>
      </c>
      <c r="AU26" s="5" t="s">
        <v>2121</v>
      </c>
      <c r="AV26" s="5" t="s">
        <v>2600</v>
      </c>
      <c r="AW26" s="23" t="s">
        <v>2601</v>
      </c>
      <c r="AX26" s="5" t="s">
        <v>1076</v>
      </c>
      <c r="AY26" s="5" t="s">
        <v>2602</v>
      </c>
    </row>
    <row r="27" customFormat="false" ht="14.25" hidden="false" customHeight="true" outlineLevel="0" collapsed="false">
      <c r="A27" s="5" t="s">
        <v>1064</v>
      </c>
      <c r="B27" s="5" t="s">
        <v>1064</v>
      </c>
      <c r="C27" s="5" t="s">
        <v>1065</v>
      </c>
      <c r="D27" s="5" t="n">
        <v>2022</v>
      </c>
      <c r="E27" s="5" t="s">
        <v>80</v>
      </c>
      <c r="F27" s="5" t="s">
        <v>942</v>
      </c>
      <c r="G27" s="5" t="s">
        <v>943</v>
      </c>
      <c r="H27" s="5" t="n">
        <v>29.706</v>
      </c>
      <c r="I27" s="5" t="n">
        <v>76.956</v>
      </c>
      <c r="J27" s="5" t="s">
        <v>83</v>
      </c>
      <c r="K27" s="5" t="n">
        <v>2019</v>
      </c>
      <c r="L27" s="5" t="s">
        <v>84</v>
      </c>
      <c r="M27" s="5" t="s">
        <v>85</v>
      </c>
      <c r="N27" s="5" t="s">
        <v>2590</v>
      </c>
      <c r="O27" s="5" t="s">
        <v>2608</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2575</v>
      </c>
      <c r="AS27" s="5" t="s">
        <v>2119</v>
      </c>
      <c r="AT27" s="5" t="s">
        <v>2120</v>
      </c>
      <c r="AU27" s="5" t="s">
        <v>2121</v>
      </c>
      <c r="AV27" s="5" t="s">
        <v>2600</v>
      </c>
      <c r="AW27" s="23" t="s">
        <v>2601</v>
      </c>
      <c r="AX27" s="5" t="s">
        <v>1076</v>
      </c>
      <c r="AY27" s="5" t="s">
        <v>2602</v>
      </c>
    </row>
    <row r="28" customFormat="false" ht="14.25" hidden="false" customHeight="true" outlineLevel="0" collapsed="false">
      <c r="A28" s="5" t="s">
        <v>1064</v>
      </c>
      <c r="B28" s="5" t="s">
        <v>1064</v>
      </c>
      <c r="C28" s="5" t="s">
        <v>1065</v>
      </c>
      <c r="D28" s="5" t="n">
        <v>2022</v>
      </c>
      <c r="E28" s="5" t="s">
        <v>80</v>
      </c>
      <c r="F28" s="5" t="s">
        <v>942</v>
      </c>
      <c r="G28" s="5" t="s">
        <v>943</v>
      </c>
      <c r="H28" s="5" t="n">
        <v>29.706</v>
      </c>
      <c r="I28" s="5" t="n">
        <v>76.956</v>
      </c>
      <c r="J28" s="5" t="s">
        <v>83</v>
      </c>
      <c r="K28" s="5" t="n">
        <v>2019</v>
      </c>
      <c r="L28" s="5" t="s">
        <v>84</v>
      </c>
      <c r="M28" s="5" t="s">
        <v>85</v>
      </c>
      <c r="N28" s="5" t="s">
        <v>2596</v>
      </c>
      <c r="O28" s="5" t="s">
        <v>2609</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2575</v>
      </c>
      <c r="AS28" s="5" t="s">
        <v>2119</v>
      </c>
      <c r="AT28" s="5" t="s">
        <v>2120</v>
      </c>
      <c r="AU28" s="5" t="s">
        <v>2121</v>
      </c>
      <c r="AV28" s="5" t="s">
        <v>2600</v>
      </c>
      <c r="AW28" s="23" t="s">
        <v>2610</v>
      </c>
      <c r="AX28" s="5" t="s">
        <v>1076</v>
      </c>
      <c r="AY28" s="5" t="s">
        <v>2602</v>
      </c>
    </row>
    <row r="29" customFormat="false" ht="14.25" hidden="false" customHeight="true" outlineLevel="0" collapsed="false">
      <c r="A29" s="18" t="n">
        <v>170</v>
      </c>
      <c r="B29" s="18" t="n">
        <v>170</v>
      </c>
      <c r="C29" s="18" t="s">
        <v>1001</v>
      </c>
      <c r="D29" s="18" t="n">
        <v>2003</v>
      </c>
      <c r="E29" s="18" t="s">
        <v>884</v>
      </c>
      <c r="F29" s="18" t="s">
        <v>917</v>
      </c>
      <c r="G29" s="18" t="s">
        <v>2127</v>
      </c>
      <c r="H29" s="18" t="n">
        <v>30.933</v>
      </c>
      <c r="I29" s="18" t="n">
        <v>75.867</v>
      </c>
      <c r="J29" s="18" t="s">
        <v>921</v>
      </c>
      <c r="K29" s="18" t="n">
        <v>1996</v>
      </c>
      <c r="L29" s="18" t="s">
        <v>872</v>
      </c>
      <c r="M29" s="18" t="s">
        <v>1008</v>
      </c>
      <c r="N29" s="18" t="s">
        <v>2573</v>
      </c>
      <c r="O29" s="18" t="s">
        <v>2097</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2575</v>
      </c>
      <c r="AS29" s="18" t="s">
        <v>2128</v>
      </c>
      <c r="AT29" s="18" t="s">
        <v>2611</v>
      </c>
      <c r="AU29" s="18" t="s">
        <v>2130</v>
      </c>
      <c r="AV29" s="18" t="s">
        <v>2322</v>
      </c>
      <c r="AW29" s="32" t="s">
        <v>2612</v>
      </c>
      <c r="AX29" s="18" t="s">
        <v>1014</v>
      </c>
      <c r="AY29" s="18" t="s">
        <v>2613</v>
      </c>
    </row>
    <row r="30" customFormat="false" ht="14.25" hidden="false" customHeight="true" outlineLevel="0" collapsed="false">
      <c r="A30" s="18" t="n">
        <v>170</v>
      </c>
      <c r="B30" s="18" t="n">
        <v>170</v>
      </c>
      <c r="C30" s="18" t="s">
        <v>1001</v>
      </c>
      <c r="D30" s="18" t="n">
        <v>2003</v>
      </c>
      <c r="E30" s="18" t="s">
        <v>884</v>
      </c>
      <c r="F30" s="18" t="s">
        <v>917</v>
      </c>
      <c r="G30" s="18" t="s">
        <v>2127</v>
      </c>
      <c r="H30" s="18" t="n">
        <v>30.933</v>
      </c>
      <c r="I30" s="18" t="n">
        <v>75.867</v>
      </c>
      <c r="J30" s="18" t="s">
        <v>921</v>
      </c>
      <c r="K30" s="18" t="n">
        <v>1996</v>
      </c>
      <c r="L30" s="18" t="s">
        <v>872</v>
      </c>
      <c r="M30" s="18" t="s">
        <v>1008</v>
      </c>
      <c r="N30" s="18" t="s">
        <v>2573</v>
      </c>
      <c r="O30" s="18" t="s">
        <v>2134</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2575</v>
      </c>
      <c r="AS30" s="18" t="s">
        <v>2128</v>
      </c>
      <c r="AT30" s="18" t="s">
        <v>2611</v>
      </c>
      <c r="AU30" s="18" t="s">
        <v>2130</v>
      </c>
      <c r="AV30" s="18" t="s">
        <v>2322</v>
      </c>
      <c r="AW30" s="32" t="s">
        <v>2612</v>
      </c>
      <c r="AX30" s="18" t="s">
        <v>1014</v>
      </c>
      <c r="AY30" s="18" t="s">
        <v>2613</v>
      </c>
    </row>
    <row r="31" customFormat="false" ht="14.25" hidden="false" customHeight="true" outlineLevel="0" collapsed="false">
      <c r="A31" s="18" t="n">
        <v>170</v>
      </c>
      <c r="B31" s="18" t="n">
        <v>170</v>
      </c>
      <c r="C31" s="18" t="s">
        <v>1001</v>
      </c>
      <c r="D31" s="18" t="n">
        <v>2003</v>
      </c>
      <c r="E31" s="18" t="s">
        <v>884</v>
      </c>
      <c r="F31" s="18" t="s">
        <v>917</v>
      </c>
      <c r="G31" s="18" t="s">
        <v>2127</v>
      </c>
      <c r="H31" s="18" t="n">
        <v>30.933</v>
      </c>
      <c r="I31" s="18" t="n">
        <v>75.867</v>
      </c>
      <c r="J31" s="18" t="s">
        <v>921</v>
      </c>
      <c r="K31" s="18" t="n">
        <v>1996</v>
      </c>
      <c r="L31" s="18" t="s">
        <v>872</v>
      </c>
      <c r="M31" s="18" t="s">
        <v>1008</v>
      </c>
      <c r="N31" s="18" t="s">
        <v>2582</v>
      </c>
      <c r="O31" s="18" t="s">
        <v>2603</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2575</v>
      </c>
      <c r="AS31" s="18" t="s">
        <v>2128</v>
      </c>
      <c r="AT31" s="18" t="s">
        <v>2611</v>
      </c>
      <c r="AU31" s="18" t="s">
        <v>2130</v>
      </c>
      <c r="AV31" s="18" t="s">
        <v>2322</v>
      </c>
      <c r="AW31" s="32" t="s">
        <v>2612</v>
      </c>
      <c r="AX31" s="18" t="s">
        <v>1014</v>
      </c>
      <c r="AY31" s="18" t="s">
        <v>2613</v>
      </c>
    </row>
    <row r="32" customFormat="false" ht="14.25" hidden="false" customHeight="true" outlineLevel="0" collapsed="false">
      <c r="A32" s="18" t="n">
        <v>170</v>
      </c>
      <c r="B32" s="18" t="n">
        <v>170</v>
      </c>
      <c r="C32" s="18" t="s">
        <v>1001</v>
      </c>
      <c r="D32" s="18" t="n">
        <v>2003</v>
      </c>
      <c r="E32" s="18" t="s">
        <v>884</v>
      </c>
      <c r="F32" s="18" t="s">
        <v>917</v>
      </c>
      <c r="G32" s="18" t="s">
        <v>2127</v>
      </c>
      <c r="H32" s="18" t="n">
        <v>30.933</v>
      </c>
      <c r="I32" s="18" t="n">
        <v>75.867</v>
      </c>
      <c r="J32" s="18" t="s">
        <v>921</v>
      </c>
      <c r="K32" s="18" t="n">
        <v>1996</v>
      </c>
      <c r="L32" s="18" t="s">
        <v>872</v>
      </c>
      <c r="M32" s="18" t="s">
        <v>1008</v>
      </c>
      <c r="N32" s="18" t="s">
        <v>2582</v>
      </c>
      <c r="O32" s="18" t="s">
        <v>2604</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2575</v>
      </c>
      <c r="AS32" s="18" t="s">
        <v>2128</v>
      </c>
      <c r="AT32" s="18" t="s">
        <v>2611</v>
      </c>
      <c r="AU32" s="18" t="s">
        <v>2130</v>
      </c>
      <c r="AV32" s="18" t="s">
        <v>2322</v>
      </c>
      <c r="AW32" s="32" t="s">
        <v>2614</v>
      </c>
      <c r="AX32" s="18" t="s">
        <v>1014</v>
      </c>
      <c r="AY32" s="18" t="s">
        <v>2613</v>
      </c>
    </row>
    <row r="33" customFormat="false" ht="14.25" hidden="false" customHeight="true" outlineLevel="0" collapsed="false">
      <c r="A33" s="18" t="n">
        <v>170</v>
      </c>
      <c r="B33" s="18" t="n">
        <v>170</v>
      </c>
      <c r="C33" s="18" t="s">
        <v>1001</v>
      </c>
      <c r="D33" s="18" t="n">
        <v>2003</v>
      </c>
      <c r="E33" s="18" t="s">
        <v>884</v>
      </c>
      <c r="F33" s="18" t="s">
        <v>917</v>
      </c>
      <c r="G33" s="18" t="s">
        <v>2127</v>
      </c>
      <c r="H33" s="18" t="n">
        <v>30.933</v>
      </c>
      <c r="I33" s="18" t="n">
        <v>75.867</v>
      </c>
      <c r="J33" s="18" t="s">
        <v>921</v>
      </c>
      <c r="K33" s="18" t="n">
        <v>1996</v>
      </c>
      <c r="L33" s="18" t="s">
        <v>872</v>
      </c>
      <c r="M33" s="18" t="s">
        <v>1008</v>
      </c>
      <c r="N33" s="18" t="s">
        <v>2585</v>
      </c>
      <c r="O33" s="18" t="s">
        <v>2605</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2575</v>
      </c>
      <c r="AS33" s="18" t="s">
        <v>2128</v>
      </c>
      <c r="AT33" s="18" t="s">
        <v>2611</v>
      </c>
      <c r="AU33" s="18" t="s">
        <v>2130</v>
      </c>
      <c r="AV33" s="18" t="s">
        <v>2322</v>
      </c>
      <c r="AW33" s="32" t="s">
        <v>2612</v>
      </c>
      <c r="AX33" s="18" t="s">
        <v>1014</v>
      </c>
      <c r="AY33" s="18" t="s">
        <v>2613</v>
      </c>
    </row>
    <row r="34" customFormat="false" ht="14.25" hidden="false" customHeight="true" outlineLevel="0" collapsed="false">
      <c r="A34" s="18" t="n">
        <v>170</v>
      </c>
      <c r="B34" s="18" t="n">
        <v>170</v>
      </c>
      <c r="C34" s="18" t="s">
        <v>1001</v>
      </c>
      <c r="D34" s="18" t="n">
        <v>2003</v>
      </c>
      <c r="E34" s="18" t="s">
        <v>884</v>
      </c>
      <c r="F34" s="18" t="s">
        <v>917</v>
      </c>
      <c r="G34" s="18" t="s">
        <v>2127</v>
      </c>
      <c r="H34" s="18" t="n">
        <v>30.933</v>
      </c>
      <c r="I34" s="18" t="n">
        <v>75.867</v>
      </c>
      <c r="J34" s="18" t="s">
        <v>921</v>
      </c>
      <c r="K34" s="18" t="n">
        <v>1996</v>
      </c>
      <c r="L34" s="18" t="s">
        <v>872</v>
      </c>
      <c r="M34" s="18" t="s">
        <v>1008</v>
      </c>
      <c r="N34" s="18" t="s">
        <v>2585</v>
      </c>
      <c r="O34" s="18" t="s">
        <v>2606</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2575</v>
      </c>
      <c r="AS34" s="18" t="s">
        <v>2128</v>
      </c>
      <c r="AT34" s="18" t="s">
        <v>2611</v>
      </c>
      <c r="AU34" s="18" t="s">
        <v>2130</v>
      </c>
      <c r="AV34" s="18" t="s">
        <v>2322</v>
      </c>
      <c r="AW34" s="32" t="s">
        <v>2612</v>
      </c>
      <c r="AX34" s="18" t="s">
        <v>1014</v>
      </c>
      <c r="AY34" s="18" t="s">
        <v>2613</v>
      </c>
    </row>
    <row r="35" customFormat="false" ht="14.25" hidden="false" customHeight="true" outlineLevel="0" collapsed="false">
      <c r="A35" s="5" t="n">
        <v>170</v>
      </c>
      <c r="B35" s="5" t="n">
        <v>170</v>
      </c>
      <c r="C35" s="5" t="s">
        <v>1001</v>
      </c>
      <c r="D35" s="5" t="n">
        <v>2003</v>
      </c>
      <c r="E35" s="5" t="s">
        <v>884</v>
      </c>
      <c r="F35" s="5" t="s">
        <v>917</v>
      </c>
      <c r="G35" s="5" t="s">
        <v>2127</v>
      </c>
      <c r="H35" s="5" t="n">
        <v>30.933</v>
      </c>
      <c r="I35" s="5" t="n">
        <v>75.867</v>
      </c>
      <c r="J35" s="5" t="s">
        <v>921</v>
      </c>
      <c r="K35" s="5" t="s">
        <v>2150</v>
      </c>
      <c r="L35" s="5" t="s">
        <v>872</v>
      </c>
      <c r="M35" s="5" t="s">
        <v>1008</v>
      </c>
      <c r="N35" s="5" t="s">
        <v>2573</v>
      </c>
      <c r="O35" s="5" t="s">
        <v>2097</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2575</v>
      </c>
      <c r="AS35" s="5" t="s">
        <v>2128</v>
      </c>
      <c r="AT35" s="5" t="s">
        <v>2615</v>
      </c>
      <c r="AU35" s="5" t="s">
        <v>2130</v>
      </c>
      <c r="AV35" s="5" t="s">
        <v>2326</v>
      </c>
      <c r="AW35" s="23" t="s">
        <v>2616</v>
      </c>
      <c r="AX35" s="5" t="s">
        <v>1014</v>
      </c>
      <c r="AY35" s="5" t="s">
        <v>2613</v>
      </c>
    </row>
    <row r="36" customFormat="false" ht="14.25" hidden="false" customHeight="true" outlineLevel="0" collapsed="false">
      <c r="A36" s="5" t="n">
        <v>170</v>
      </c>
      <c r="B36" s="5" t="n">
        <v>170</v>
      </c>
      <c r="C36" s="5" t="s">
        <v>1001</v>
      </c>
      <c r="D36" s="5" t="n">
        <v>2003</v>
      </c>
      <c r="E36" s="5" t="s">
        <v>884</v>
      </c>
      <c r="F36" s="5" t="s">
        <v>917</v>
      </c>
      <c r="G36" s="5" t="s">
        <v>2127</v>
      </c>
      <c r="H36" s="5" t="n">
        <v>30.933</v>
      </c>
      <c r="I36" s="5" t="n">
        <v>75.867</v>
      </c>
      <c r="J36" s="5" t="s">
        <v>921</v>
      </c>
      <c r="K36" s="5" t="s">
        <v>2150</v>
      </c>
      <c r="L36" s="5" t="s">
        <v>872</v>
      </c>
      <c r="M36" s="5" t="s">
        <v>1008</v>
      </c>
      <c r="N36" s="5" t="s">
        <v>2573</v>
      </c>
      <c r="O36" s="5" t="s">
        <v>2134</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2575</v>
      </c>
      <c r="AS36" s="5" t="s">
        <v>2128</v>
      </c>
      <c r="AT36" s="5" t="s">
        <v>2615</v>
      </c>
      <c r="AU36" s="5" t="s">
        <v>2130</v>
      </c>
      <c r="AV36" s="5" t="s">
        <v>2326</v>
      </c>
      <c r="AW36" s="23" t="s">
        <v>2616</v>
      </c>
      <c r="AX36" s="5" t="s">
        <v>1014</v>
      </c>
      <c r="AY36" s="5" t="s">
        <v>2613</v>
      </c>
    </row>
    <row r="37" customFormat="false" ht="14.25" hidden="false" customHeight="true" outlineLevel="0" collapsed="false">
      <c r="A37" s="5" t="n">
        <v>170</v>
      </c>
      <c r="B37" s="5" t="n">
        <v>170</v>
      </c>
      <c r="C37" s="5" t="s">
        <v>1001</v>
      </c>
      <c r="D37" s="5" t="n">
        <v>2003</v>
      </c>
      <c r="E37" s="5" t="s">
        <v>884</v>
      </c>
      <c r="F37" s="5" t="s">
        <v>917</v>
      </c>
      <c r="G37" s="5" t="s">
        <v>2127</v>
      </c>
      <c r="H37" s="5" t="n">
        <v>30.933</v>
      </c>
      <c r="I37" s="5" t="n">
        <v>75.867</v>
      </c>
      <c r="J37" s="5" t="s">
        <v>921</v>
      </c>
      <c r="K37" s="5" t="s">
        <v>2150</v>
      </c>
      <c r="L37" s="5" t="s">
        <v>872</v>
      </c>
      <c r="M37" s="5" t="s">
        <v>1008</v>
      </c>
      <c r="N37" s="5" t="s">
        <v>2582</v>
      </c>
      <c r="O37" s="5" t="s">
        <v>2603</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2575</v>
      </c>
      <c r="AS37" s="5" t="s">
        <v>2128</v>
      </c>
      <c r="AT37" s="5" t="s">
        <v>2615</v>
      </c>
      <c r="AU37" s="5" t="s">
        <v>2130</v>
      </c>
      <c r="AV37" s="5" t="s">
        <v>2326</v>
      </c>
      <c r="AW37" s="23" t="s">
        <v>2616</v>
      </c>
      <c r="AX37" s="5" t="s">
        <v>1014</v>
      </c>
      <c r="AY37" s="5" t="s">
        <v>2613</v>
      </c>
    </row>
    <row r="38" customFormat="false" ht="14.25" hidden="false" customHeight="true" outlineLevel="0" collapsed="false">
      <c r="A38" s="5" t="n">
        <v>170</v>
      </c>
      <c r="B38" s="5" t="n">
        <v>170</v>
      </c>
      <c r="C38" s="5" t="s">
        <v>1001</v>
      </c>
      <c r="D38" s="5" t="n">
        <v>2003</v>
      </c>
      <c r="E38" s="5" t="s">
        <v>884</v>
      </c>
      <c r="F38" s="5" t="s">
        <v>917</v>
      </c>
      <c r="G38" s="5" t="s">
        <v>2127</v>
      </c>
      <c r="H38" s="5" t="n">
        <v>30.933</v>
      </c>
      <c r="I38" s="5" t="n">
        <v>75.867</v>
      </c>
      <c r="J38" s="5" t="s">
        <v>921</v>
      </c>
      <c r="K38" s="5" t="s">
        <v>2150</v>
      </c>
      <c r="L38" s="5" t="s">
        <v>872</v>
      </c>
      <c r="M38" s="5" t="s">
        <v>1008</v>
      </c>
      <c r="N38" s="5" t="s">
        <v>2582</v>
      </c>
      <c r="O38" s="5" t="s">
        <v>2604</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2575</v>
      </c>
      <c r="AS38" s="5" t="s">
        <v>2128</v>
      </c>
      <c r="AT38" s="5" t="s">
        <v>2615</v>
      </c>
      <c r="AU38" s="5" t="s">
        <v>2130</v>
      </c>
      <c r="AV38" s="5" t="s">
        <v>2326</v>
      </c>
      <c r="AW38" s="23" t="s">
        <v>2617</v>
      </c>
      <c r="AX38" s="5" t="s">
        <v>1014</v>
      </c>
      <c r="AY38" s="5" t="s">
        <v>2613</v>
      </c>
    </row>
    <row r="39" customFormat="false" ht="14.25" hidden="false" customHeight="true" outlineLevel="0" collapsed="false">
      <c r="A39" s="5" t="n">
        <v>170</v>
      </c>
      <c r="B39" s="5" t="n">
        <v>170</v>
      </c>
      <c r="C39" s="5" t="s">
        <v>1001</v>
      </c>
      <c r="D39" s="5" t="n">
        <v>2003</v>
      </c>
      <c r="E39" s="5" t="s">
        <v>884</v>
      </c>
      <c r="F39" s="5" t="s">
        <v>917</v>
      </c>
      <c r="G39" s="5" t="s">
        <v>2127</v>
      </c>
      <c r="H39" s="5" t="n">
        <v>30.933</v>
      </c>
      <c r="I39" s="5" t="n">
        <v>75.867</v>
      </c>
      <c r="J39" s="5" t="s">
        <v>921</v>
      </c>
      <c r="K39" s="5" t="s">
        <v>2150</v>
      </c>
      <c r="L39" s="5" t="s">
        <v>872</v>
      </c>
      <c r="M39" s="5" t="s">
        <v>1008</v>
      </c>
      <c r="N39" s="5" t="s">
        <v>2585</v>
      </c>
      <c r="O39" s="5" t="s">
        <v>2605</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2575</v>
      </c>
      <c r="AS39" s="5" t="s">
        <v>2128</v>
      </c>
      <c r="AT39" s="5" t="s">
        <v>2615</v>
      </c>
      <c r="AU39" s="5" t="s">
        <v>2130</v>
      </c>
      <c r="AV39" s="5" t="s">
        <v>2326</v>
      </c>
      <c r="AW39" s="23" t="s">
        <v>2617</v>
      </c>
      <c r="AX39" s="5" t="s">
        <v>1014</v>
      </c>
      <c r="AY39" s="5" t="s">
        <v>2613</v>
      </c>
    </row>
    <row r="40" customFormat="false" ht="14.25" hidden="false" customHeight="true" outlineLevel="0" collapsed="false">
      <c r="A40" s="5" t="n">
        <v>170</v>
      </c>
      <c r="B40" s="5" t="n">
        <v>170</v>
      </c>
      <c r="C40" s="5" t="s">
        <v>1001</v>
      </c>
      <c r="D40" s="5" t="n">
        <v>2003</v>
      </c>
      <c r="E40" s="5" t="s">
        <v>884</v>
      </c>
      <c r="F40" s="5" t="s">
        <v>917</v>
      </c>
      <c r="G40" s="5" t="s">
        <v>2127</v>
      </c>
      <c r="H40" s="5" t="n">
        <v>30.933</v>
      </c>
      <c r="I40" s="5" t="n">
        <v>75.867</v>
      </c>
      <c r="J40" s="5" t="s">
        <v>921</v>
      </c>
      <c r="K40" s="5" t="s">
        <v>2150</v>
      </c>
      <c r="L40" s="5" t="s">
        <v>872</v>
      </c>
      <c r="M40" s="5" t="s">
        <v>1008</v>
      </c>
      <c r="N40" s="5" t="s">
        <v>2585</v>
      </c>
      <c r="O40" s="5" t="s">
        <v>2606</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2575</v>
      </c>
      <c r="AS40" s="5" t="s">
        <v>2128</v>
      </c>
      <c r="AT40" s="5" t="s">
        <v>2615</v>
      </c>
      <c r="AU40" s="5" t="s">
        <v>2130</v>
      </c>
      <c r="AV40" s="5" t="s">
        <v>2326</v>
      </c>
      <c r="AW40" s="23" t="s">
        <v>2617</v>
      </c>
      <c r="AX40" s="5" t="s">
        <v>1014</v>
      </c>
      <c r="AY40" s="5" t="s">
        <v>2613</v>
      </c>
    </row>
    <row r="41" customFormat="false" ht="14.25" hidden="false" customHeight="true" outlineLevel="0" collapsed="false">
      <c r="A41" s="18" t="n">
        <v>170</v>
      </c>
      <c r="B41" s="18" t="n">
        <v>170</v>
      </c>
      <c r="C41" s="18" t="s">
        <v>1001</v>
      </c>
      <c r="D41" s="18" t="n">
        <v>2003</v>
      </c>
      <c r="E41" s="18" t="s">
        <v>884</v>
      </c>
      <c r="F41" s="18" t="s">
        <v>917</v>
      </c>
      <c r="G41" s="18" t="s">
        <v>2127</v>
      </c>
      <c r="H41" s="18" t="n">
        <v>30.933</v>
      </c>
      <c r="I41" s="18" t="n">
        <v>75.867</v>
      </c>
      <c r="J41" s="18" t="s">
        <v>921</v>
      </c>
      <c r="K41" s="18" t="n">
        <v>1994</v>
      </c>
      <c r="L41" s="18" t="s">
        <v>872</v>
      </c>
      <c r="M41" s="18" t="s">
        <v>1008</v>
      </c>
      <c r="N41" s="18" t="s">
        <v>2582</v>
      </c>
      <c r="O41" s="18" t="s">
        <v>2604</v>
      </c>
      <c r="P41" s="18"/>
      <c r="Q41" s="18" t="n">
        <v>3.19</v>
      </c>
      <c r="R41" s="18"/>
      <c r="S41" s="18"/>
      <c r="T41" s="18"/>
      <c r="U41" s="18" t="n">
        <v>3.2</v>
      </c>
      <c r="V41" s="18"/>
      <c r="W41" s="18"/>
      <c r="X41" s="18"/>
      <c r="Y41" s="18"/>
      <c r="Z41" s="18"/>
      <c r="AA41" s="18"/>
      <c r="AB41" s="18" t="n">
        <v>5</v>
      </c>
      <c r="AC41" s="18" t="n">
        <v>3</v>
      </c>
      <c r="AD41" s="18" t="n">
        <f aca="false">IF(AND(N(AB41)&gt;0,N(AC41)&gt;0),SQRT(2*AB41/AC41),"")</f>
        <v>1.82574185835055</v>
      </c>
      <c r="AE41" s="18" t="n">
        <v>12</v>
      </c>
      <c r="AF41" s="18"/>
      <c r="AG41" s="18"/>
      <c r="AH41" s="18"/>
      <c r="AI41" s="18" t="n">
        <v>30.933</v>
      </c>
      <c r="AJ41" s="18" t="n">
        <v>1</v>
      </c>
      <c r="AK41" s="18"/>
      <c r="AL41" s="18"/>
      <c r="AM41" s="18"/>
      <c r="AN41" s="18" t="n">
        <v>3.3</v>
      </c>
      <c r="AO41" s="18"/>
      <c r="AP41" s="18" t="n">
        <v>71</v>
      </c>
      <c r="AQ41" s="18" t="n">
        <v>17</v>
      </c>
      <c r="AR41" s="18" t="s">
        <v>2575</v>
      </c>
      <c r="AS41" s="18" t="s">
        <v>2128</v>
      </c>
      <c r="AT41" s="18" t="s">
        <v>2160</v>
      </c>
      <c r="AU41" s="18" t="s">
        <v>2130</v>
      </c>
      <c r="AV41" s="18" t="s">
        <v>2047</v>
      </c>
      <c r="AW41" s="32" t="s">
        <v>2618</v>
      </c>
      <c r="AX41" s="18" t="s">
        <v>1014</v>
      </c>
      <c r="AY41" s="18" t="s">
        <v>2613</v>
      </c>
    </row>
    <row r="42" customFormat="false" ht="14.25" hidden="false" customHeight="true" outlineLevel="0" collapsed="false">
      <c r="A42" s="18" t="n">
        <v>170</v>
      </c>
      <c r="B42" s="18" t="n">
        <v>170</v>
      </c>
      <c r="C42" s="18" t="s">
        <v>1001</v>
      </c>
      <c r="D42" s="18" t="n">
        <v>2003</v>
      </c>
      <c r="E42" s="18" t="s">
        <v>884</v>
      </c>
      <c r="F42" s="18" t="s">
        <v>917</v>
      </c>
      <c r="G42" s="18" t="s">
        <v>2127</v>
      </c>
      <c r="H42" s="18" t="n">
        <v>30.933</v>
      </c>
      <c r="I42" s="18" t="n">
        <v>75.867</v>
      </c>
      <c r="J42" s="18" t="s">
        <v>921</v>
      </c>
      <c r="K42" s="18" t="n">
        <v>1995</v>
      </c>
      <c r="L42" s="18" t="s">
        <v>872</v>
      </c>
      <c r="M42" s="18" t="s">
        <v>1008</v>
      </c>
      <c r="N42" s="18" t="s">
        <v>2582</v>
      </c>
      <c r="O42" s="18" t="s">
        <v>2604</v>
      </c>
      <c r="P42" s="18"/>
      <c r="Q42" s="18" t="n">
        <v>3.64</v>
      </c>
      <c r="R42" s="18"/>
      <c r="S42" s="18"/>
      <c r="T42" s="18"/>
      <c r="U42" s="18" t="n">
        <v>3.23</v>
      </c>
      <c r="V42" s="18"/>
      <c r="W42" s="18"/>
      <c r="X42" s="18"/>
      <c r="Y42" s="18"/>
      <c r="Z42" s="18"/>
      <c r="AA42" s="18"/>
      <c r="AB42" s="18" t="n">
        <v>5</v>
      </c>
      <c r="AC42" s="18" t="n">
        <v>3</v>
      </c>
      <c r="AD42" s="18" t="n">
        <f aca="false">IF(AND(N(AB42)&gt;0,N(AC42)&gt;0),SQRT(2*AB42/AC42),"")</f>
        <v>1.82574185835055</v>
      </c>
      <c r="AE42" s="18" t="n">
        <v>12</v>
      </c>
      <c r="AF42" s="18"/>
      <c r="AG42" s="18"/>
      <c r="AH42" s="18"/>
      <c r="AI42" s="18" t="n">
        <v>30.933</v>
      </c>
      <c r="AJ42" s="18" t="n">
        <v>2</v>
      </c>
      <c r="AK42" s="18"/>
      <c r="AL42" s="18"/>
      <c r="AM42" s="18"/>
      <c r="AN42" s="18" t="n">
        <v>3.3</v>
      </c>
      <c r="AO42" s="18"/>
      <c r="AP42" s="18" t="n">
        <v>71</v>
      </c>
      <c r="AQ42" s="18" t="n">
        <v>17</v>
      </c>
      <c r="AR42" s="18" t="s">
        <v>2575</v>
      </c>
      <c r="AS42" s="18" t="s">
        <v>2128</v>
      </c>
      <c r="AT42" s="18" t="s">
        <v>2163</v>
      </c>
      <c r="AU42" s="18" t="s">
        <v>2130</v>
      </c>
      <c r="AV42" s="18" t="s">
        <v>2047</v>
      </c>
      <c r="AW42" s="32" t="s">
        <v>2619</v>
      </c>
      <c r="AX42" s="18" t="s">
        <v>1014</v>
      </c>
      <c r="AY42" s="18" t="s">
        <v>2613</v>
      </c>
    </row>
    <row r="43" customFormat="false" ht="14.25" hidden="false" customHeight="true" outlineLevel="0" collapsed="false">
      <c r="A43" s="18" t="n">
        <v>170</v>
      </c>
      <c r="B43" s="18" t="n">
        <v>170</v>
      </c>
      <c r="C43" s="18" t="s">
        <v>1001</v>
      </c>
      <c r="D43" s="18" t="n">
        <v>2003</v>
      </c>
      <c r="E43" s="18" t="s">
        <v>884</v>
      </c>
      <c r="F43" s="18" t="s">
        <v>917</v>
      </c>
      <c r="G43" s="18" t="s">
        <v>2127</v>
      </c>
      <c r="H43" s="18" t="n">
        <v>30.933</v>
      </c>
      <c r="I43" s="18" t="n">
        <v>75.867</v>
      </c>
      <c r="J43" s="18" t="s">
        <v>921</v>
      </c>
      <c r="K43" s="18" t="n">
        <v>1996</v>
      </c>
      <c r="L43" s="18" t="s">
        <v>872</v>
      </c>
      <c r="M43" s="18" t="s">
        <v>1008</v>
      </c>
      <c r="N43" s="18" t="s">
        <v>2582</v>
      </c>
      <c r="O43" s="18" t="s">
        <v>2604</v>
      </c>
      <c r="P43" s="18"/>
      <c r="Q43" s="18" t="n">
        <v>3.87</v>
      </c>
      <c r="R43" s="18"/>
      <c r="S43" s="18"/>
      <c r="T43" s="18"/>
      <c r="U43" s="18" t="n">
        <v>3.33</v>
      </c>
      <c r="V43" s="18"/>
      <c r="W43" s="18"/>
      <c r="X43" s="18"/>
      <c r="Y43" s="18"/>
      <c r="Z43" s="18"/>
      <c r="AA43" s="18"/>
      <c r="AB43" s="18" t="n">
        <v>5</v>
      </c>
      <c r="AC43" s="18" t="n">
        <v>3</v>
      </c>
      <c r="AD43" s="18" t="n">
        <f aca="false">IF(AND(N(AB43)&gt;0,N(AC43)&gt;0),SQRT(2*AB43/AC43),"")</f>
        <v>1.82574185835055</v>
      </c>
      <c r="AE43" s="18" t="n">
        <v>12</v>
      </c>
      <c r="AF43" s="18"/>
      <c r="AG43" s="18"/>
      <c r="AH43" s="18"/>
      <c r="AI43" s="18" t="n">
        <v>30.933</v>
      </c>
      <c r="AJ43" s="18" t="n">
        <v>3</v>
      </c>
      <c r="AK43" s="18"/>
      <c r="AL43" s="18"/>
      <c r="AM43" s="18"/>
      <c r="AN43" s="18" t="n">
        <v>3.3</v>
      </c>
      <c r="AO43" s="18"/>
      <c r="AP43" s="18" t="n">
        <v>71</v>
      </c>
      <c r="AQ43" s="18" t="n">
        <v>17</v>
      </c>
      <c r="AR43" s="18" t="s">
        <v>2575</v>
      </c>
      <c r="AS43" s="18" t="s">
        <v>2128</v>
      </c>
      <c r="AT43" s="18" t="s">
        <v>2620</v>
      </c>
      <c r="AU43" s="18" t="s">
        <v>2130</v>
      </c>
      <c r="AV43" s="18" t="s">
        <v>2047</v>
      </c>
      <c r="AW43" s="32" t="s">
        <v>2621</v>
      </c>
      <c r="AX43" s="18" t="s">
        <v>1014</v>
      </c>
      <c r="AY43" s="18" t="s">
        <v>2613</v>
      </c>
    </row>
    <row r="44" customFormat="false" ht="14.25" hidden="false" customHeight="true" outlineLevel="0" collapsed="false">
      <c r="A44" s="18" t="n">
        <v>173</v>
      </c>
      <c r="B44" s="18" t="n">
        <v>173</v>
      </c>
      <c r="C44" s="18" t="s">
        <v>1133</v>
      </c>
      <c r="D44" s="18" t="n">
        <v>2023</v>
      </c>
      <c r="E44" s="18" t="s">
        <v>1134</v>
      </c>
      <c r="F44" s="18" t="s">
        <v>866</v>
      </c>
      <c r="G44" s="18" t="s">
        <v>1137</v>
      </c>
      <c r="H44" s="18" t="n">
        <v>28.633</v>
      </c>
      <c r="I44" s="18" t="n">
        <v>77.15</v>
      </c>
      <c r="J44" s="18" t="s">
        <v>83</v>
      </c>
      <c r="K44" s="18" t="n">
        <v>2020</v>
      </c>
      <c r="L44" s="18" t="s">
        <v>84</v>
      </c>
      <c r="M44" s="18" t="s">
        <v>85</v>
      </c>
      <c r="N44" s="18" t="s">
        <v>86</v>
      </c>
      <c r="O44" s="18" t="s">
        <v>2043</v>
      </c>
      <c r="P44" s="18" t="n">
        <f aca="false">ROUND(1297/1000,3)</f>
        <v>1.297</v>
      </c>
      <c r="Q44" s="18" t="n">
        <f aca="false">ROUND(1700/1000,3)</f>
        <v>1.7</v>
      </c>
      <c r="R44" s="18"/>
      <c r="S44" s="18" t="n">
        <f aca="false">ROUND(2244/1000,3)</f>
        <v>2.244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2622</v>
      </c>
      <c r="AS44" s="18" t="s">
        <v>2165</v>
      </c>
      <c r="AT44" s="18" t="s">
        <v>2166</v>
      </c>
      <c r="AU44" s="18" t="s">
        <v>2167</v>
      </c>
      <c r="AV44" s="18" t="s">
        <v>2623</v>
      </c>
      <c r="AW44" s="32" t="s">
        <v>2624</v>
      </c>
      <c r="AX44" s="18" t="s">
        <v>1148</v>
      </c>
      <c r="AY44" s="18" t="s">
        <v>2625</v>
      </c>
    </row>
    <row r="45" customFormat="false" ht="14.25" hidden="false" customHeight="true" outlineLevel="0" collapsed="false">
      <c r="A45" s="18" t="n">
        <v>173</v>
      </c>
      <c r="B45" s="18" t="n">
        <v>173</v>
      </c>
      <c r="C45" s="18" t="s">
        <v>1133</v>
      </c>
      <c r="D45" s="18" t="n">
        <v>2023</v>
      </c>
      <c r="E45" s="18" t="s">
        <v>1134</v>
      </c>
      <c r="F45" s="18" t="s">
        <v>866</v>
      </c>
      <c r="G45" s="18" t="s">
        <v>1137</v>
      </c>
      <c r="H45" s="18" t="n">
        <v>28.633</v>
      </c>
      <c r="I45" s="18" t="n">
        <v>77.15</v>
      </c>
      <c r="J45" s="18" t="s">
        <v>83</v>
      </c>
      <c r="K45" s="18" t="n">
        <v>2020</v>
      </c>
      <c r="L45" s="18" t="s">
        <v>84</v>
      </c>
      <c r="M45" s="18" t="s">
        <v>85</v>
      </c>
      <c r="N45" s="18" t="s">
        <v>86</v>
      </c>
      <c r="O45" s="18" t="s">
        <v>2043</v>
      </c>
      <c r="P45" s="18" t="n">
        <f aca="false">ROUND(1318/1000,3)</f>
        <v>1.318</v>
      </c>
      <c r="Q45" s="18" t="n">
        <f aca="false">ROUND(1776/1000,3)</f>
        <v>1.776</v>
      </c>
      <c r="R45" s="18"/>
      <c r="S45" s="18" t="n">
        <f aca="false">ROUND(2048/1000,3)</f>
        <v>2.048</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2622</v>
      </c>
      <c r="AS45" s="18" t="s">
        <v>2165</v>
      </c>
      <c r="AT45" s="18" t="s">
        <v>2166</v>
      </c>
      <c r="AU45" s="18" t="s">
        <v>2167</v>
      </c>
      <c r="AV45" s="18" t="s">
        <v>2623</v>
      </c>
      <c r="AW45" s="32" t="s">
        <v>2626</v>
      </c>
      <c r="AX45" s="18" t="s">
        <v>1148</v>
      </c>
      <c r="AY45" s="18" t="s">
        <v>2625</v>
      </c>
    </row>
    <row r="46" customFormat="false" ht="14.25" hidden="false" customHeight="true" outlineLevel="0" collapsed="false">
      <c r="A46" s="18" t="n">
        <v>173</v>
      </c>
      <c r="B46" s="18" t="n">
        <v>173</v>
      </c>
      <c r="C46" s="18" t="s">
        <v>1133</v>
      </c>
      <c r="D46" s="18" t="n">
        <v>2023</v>
      </c>
      <c r="E46" s="18" t="s">
        <v>1134</v>
      </c>
      <c r="F46" s="18" t="s">
        <v>866</v>
      </c>
      <c r="G46" s="18" t="s">
        <v>1137</v>
      </c>
      <c r="H46" s="18" t="n">
        <v>28.633</v>
      </c>
      <c r="I46" s="18" t="n">
        <v>77.15</v>
      </c>
      <c r="J46" s="18" t="s">
        <v>83</v>
      </c>
      <c r="K46" s="18" t="n">
        <v>2020</v>
      </c>
      <c r="L46" s="18" t="s">
        <v>84</v>
      </c>
      <c r="M46" s="18" t="s">
        <v>85</v>
      </c>
      <c r="N46" s="18" t="s">
        <v>86</v>
      </c>
      <c r="O46" s="18" t="s">
        <v>2043</v>
      </c>
      <c r="P46" s="18" t="n">
        <f aca="false">ROUND(1307/1000,3)</f>
        <v>1.307</v>
      </c>
      <c r="Q46" s="18" t="n">
        <f aca="false">ROUND(1700/1000,3)</f>
        <v>1.7</v>
      </c>
      <c r="R46" s="18"/>
      <c r="S46" s="18" t="n">
        <f aca="false">ROUND(2244/1000,3)</f>
        <v>2.244</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2622</v>
      </c>
      <c r="AS46" s="18" t="s">
        <v>2165</v>
      </c>
      <c r="AT46" s="18" t="s">
        <v>2166</v>
      </c>
      <c r="AU46" s="18" t="s">
        <v>2167</v>
      </c>
      <c r="AV46" s="18" t="s">
        <v>2623</v>
      </c>
      <c r="AW46" s="32" t="s">
        <v>2627</v>
      </c>
      <c r="AX46" s="18" t="s">
        <v>1148</v>
      </c>
      <c r="AY46" s="18" t="s">
        <v>2625</v>
      </c>
    </row>
    <row r="47" customFormat="false" ht="14.25" hidden="false" customHeight="true" outlineLevel="0" collapsed="false">
      <c r="A47" s="18" t="n">
        <v>173</v>
      </c>
      <c r="B47" s="18" t="n">
        <v>173</v>
      </c>
      <c r="C47" s="18" t="s">
        <v>1133</v>
      </c>
      <c r="D47" s="18" t="n">
        <v>2023</v>
      </c>
      <c r="E47" s="18" t="s">
        <v>1134</v>
      </c>
      <c r="F47" s="18" t="s">
        <v>866</v>
      </c>
      <c r="G47" s="18" t="s">
        <v>1137</v>
      </c>
      <c r="H47" s="18" t="n">
        <v>28.633</v>
      </c>
      <c r="I47" s="18" t="n">
        <v>77.15</v>
      </c>
      <c r="J47" s="18" t="s">
        <v>83</v>
      </c>
      <c r="K47" s="18" t="n">
        <v>2020</v>
      </c>
      <c r="L47" s="18" t="s">
        <v>84</v>
      </c>
      <c r="M47" s="18" t="s">
        <v>85</v>
      </c>
      <c r="N47" s="18" t="s">
        <v>86</v>
      </c>
      <c r="O47" s="18" t="s">
        <v>2043</v>
      </c>
      <c r="P47" s="18" t="n">
        <f aca="false">ROUND(1384/1000,3)</f>
        <v>1.384</v>
      </c>
      <c r="Q47" s="18" t="n">
        <f aca="false">ROUND(1776/1000,3)</f>
        <v>1.776</v>
      </c>
      <c r="R47" s="18"/>
      <c r="S47" s="18" t="n">
        <f aca="false">ROUND(2048/1000,3)</f>
        <v>2.048</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2622</v>
      </c>
      <c r="AS47" s="18" t="s">
        <v>2165</v>
      </c>
      <c r="AT47" s="18" t="s">
        <v>2166</v>
      </c>
      <c r="AU47" s="18" t="s">
        <v>2167</v>
      </c>
      <c r="AV47" s="18" t="s">
        <v>2623</v>
      </c>
      <c r="AW47" s="32" t="s">
        <v>2628</v>
      </c>
      <c r="AX47" s="18" t="s">
        <v>1148</v>
      </c>
      <c r="AY47" s="18" t="s">
        <v>2625</v>
      </c>
    </row>
    <row r="48" customFormat="false" ht="14.25" hidden="false" customHeight="true" outlineLevel="0" collapsed="false">
      <c r="A48" s="18" t="n">
        <v>173</v>
      </c>
      <c r="B48" s="18" t="n">
        <v>173</v>
      </c>
      <c r="C48" s="18" t="s">
        <v>1133</v>
      </c>
      <c r="D48" s="18" t="n">
        <v>2023</v>
      </c>
      <c r="E48" s="18" t="s">
        <v>1134</v>
      </c>
      <c r="F48" s="18" t="s">
        <v>866</v>
      </c>
      <c r="G48" s="18" t="s">
        <v>1137</v>
      </c>
      <c r="H48" s="18" t="n">
        <v>28.633</v>
      </c>
      <c r="I48" s="18" t="n">
        <v>77.15</v>
      </c>
      <c r="J48" s="18" t="s">
        <v>83</v>
      </c>
      <c r="K48" s="18" t="n">
        <v>2020</v>
      </c>
      <c r="L48" s="18" t="s">
        <v>84</v>
      </c>
      <c r="M48" s="18" t="s">
        <v>85</v>
      </c>
      <c r="N48" s="18" t="s">
        <v>2050</v>
      </c>
      <c r="O48" s="18" t="s">
        <v>2051</v>
      </c>
      <c r="P48" s="18" t="n">
        <f aca="false">ROUND(2223/1000,3)</f>
        <v>2.223</v>
      </c>
      <c r="Q48" s="18" t="n">
        <f aca="false">ROUND(2528/1000,3)</f>
        <v>2.528</v>
      </c>
      <c r="R48" s="18"/>
      <c r="S48" s="18" t="n">
        <f aca="false">ROUND(2452/1000,3)</f>
        <v>2.452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2622</v>
      </c>
      <c r="AS48" s="18" t="s">
        <v>2165</v>
      </c>
      <c r="AT48" s="18" t="s">
        <v>2166</v>
      </c>
      <c r="AU48" s="18" t="s">
        <v>2167</v>
      </c>
      <c r="AV48" s="18" t="s">
        <v>2623</v>
      </c>
      <c r="AW48" s="32" t="s">
        <v>2629</v>
      </c>
      <c r="AX48" s="18" t="s">
        <v>1148</v>
      </c>
      <c r="AY48" s="18" t="s">
        <v>2625</v>
      </c>
    </row>
    <row r="49" customFormat="false" ht="14.25" hidden="false" customHeight="true" outlineLevel="0" collapsed="false">
      <c r="A49" s="18" t="n">
        <v>173</v>
      </c>
      <c r="B49" s="18" t="n">
        <v>173</v>
      </c>
      <c r="C49" s="18" t="s">
        <v>1133</v>
      </c>
      <c r="D49" s="18" t="n">
        <v>2023</v>
      </c>
      <c r="E49" s="18" t="s">
        <v>1134</v>
      </c>
      <c r="F49" s="18" t="s">
        <v>866</v>
      </c>
      <c r="G49" s="18" t="s">
        <v>1137</v>
      </c>
      <c r="H49" s="18" t="n">
        <v>28.633</v>
      </c>
      <c r="I49" s="18" t="n">
        <v>77.15</v>
      </c>
      <c r="J49" s="18" t="s">
        <v>83</v>
      </c>
      <c r="K49" s="18" t="n">
        <v>2020</v>
      </c>
      <c r="L49" s="18" t="s">
        <v>84</v>
      </c>
      <c r="M49" s="18" t="s">
        <v>85</v>
      </c>
      <c r="N49" s="18" t="s">
        <v>2050</v>
      </c>
      <c r="O49" s="18" t="s">
        <v>2051</v>
      </c>
      <c r="P49" s="18" t="n">
        <f aca="false">ROUND(1939/1000,3)</f>
        <v>1.939</v>
      </c>
      <c r="Q49" s="18" t="n">
        <f aca="false">ROUND(2092/1000,3)</f>
        <v>2.092</v>
      </c>
      <c r="R49" s="18"/>
      <c r="S49" s="18" t="n">
        <f aca="false">ROUND(2321/1000,3)</f>
        <v>2.321</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2622</v>
      </c>
      <c r="AS49" s="18" t="s">
        <v>2165</v>
      </c>
      <c r="AT49" s="18" t="s">
        <v>2166</v>
      </c>
      <c r="AU49" s="18" t="s">
        <v>2167</v>
      </c>
      <c r="AV49" s="18" t="s">
        <v>2623</v>
      </c>
      <c r="AW49" s="32" t="s">
        <v>2630</v>
      </c>
      <c r="AX49" s="18" t="s">
        <v>1148</v>
      </c>
      <c r="AY49" s="18" t="s">
        <v>2625</v>
      </c>
    </row>
    <row r="50" customFormat="false" ht="14.25" hidden="false" customHeight="true" outlineLevel="0" collapsed="false">
      <c r="A50" s="18" t="n">
        <v>173</v>
      </c>
      <c r="B50" s="18" t="n">
        <v>173</v>
      </c>
      <c r="C50" s="18" t="s">
        <v>1133</v>
      </c>
      <c r="D50" s="18" t="n">
        <v>2023</v>
      </c>
      <c r="E50" s="18" t="s">
        <v>1134</v>
      </c>
      <c r="F50" s="18" t="s">
        <v>866</v>
      </c>
      <c r="G50" s="18" t="s">
        <v>1137</v>
      </c>
      <c r="H50" s="18" t="n">
        <v>28.633</v>
      </c>
      <c r="I50" s="18" t="n">
        <v>77.15</v>
      </c>
      <c r="J50" s="18" t="s">
        <v>83</v>
      </c>
      <c r="K50" s="18" t="n">
        <v>2020</v>
      </c>
      <c r="L50" s="18" t="s">
        <v>84</v>
      </c>
      <c r="M50" s="18" t="s">
        <v>85</v>
      </c>
      <c r="N50" s="18" t="s">
        <v>2050</v>
      </c>
      <c r="O50" s="18" t="s">
        <v>2051</v>
      </c>
      <c r="P50" s="18" t="n">
        <f aca="false">ROUND(1841/1000,3)</f>
        <v>1.841</v>
      </c>
      <c r="Q50" s="18" t="n">
        <f aca="false">ROUND(2528/1000,3)</f>
        <v>2.528</v>
      </c>
      <c r="R50" s="18"/>
      <c r="S50" s="18" t="n">
        <f aca="false">ROUND(2452/1000,3)</f>
        <v>2.452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2622</v>
      </c>
      <c r="AS50" s="18" t="s">
        <v>2165</v>
      </c>
      <c r="AT50" s="18" t="s">
        <v>2166</v>
      </c>
      <c r="AU50" s="18" t="s">
        <v>2167</v>
      </c>
      <c r="AV50" s="18" t="s">
        <v>2623</v>
      </c>
      <c r="AW50" s="32" t="s">
        <v>2631</v>
      </c>
      <c r="AX50" s="18" t="s">
        <v>1148</v>
      </c>
      <c r="AY50" s="18" t="s">
        <v>2625</v>
      </c>
    </row>
    <row r="51" customFormat="false" ht="14.25" hidden="false" customHeight="true" outlineLevel="0" collapsed="false">
      <c r="A51" s="18" t="n">
        <v>173</v>
      </c>
      <c r="B51" s="18" t="n">
        <v>173</v>
      </c>
      <c r="C51" s="18" t="s">
        <v>1133</v>
      </c>
      <c r="D51" s="18" t="n">
        <v>2023</v>
      </c>
      <c r="E51" s="18" t="s">
        <v>1134</v>
      </c>
      <c r="F51" s="18" t="s">
        <v>866</v>
      </c>
      <c r="G51" s="18" t="s">
        <v>1137</v>
      </c>
      <c r="H51" s="18" t="n">
        <v>28.633</v>
      </c>
      <c r="I51" s="18" t="n">
        <v>77.15</v>
      </c>
      <c r="J51" s="18" t="s">
        <v>83</v>
      </c>
      <c r="K51" s="18" t="n">
        <v>2020</v>
      </c>
      <c r="L51" s="18" t="s">
        <v>84</v>
      </c>
      <c r="M51" s="18" t="s">
        <v>85</v>
      </c>
      <c r="N51" s="18" t="s">
        <v>2050</v>
      </c>
      <c r="O51" s="18" t="s">
        <v>2051</v>
      </c>
      <c r="P51" s="18" t="n">
        <f aca="false">ROUND(1645/1000,3)</f>
        <v>1.645</v>
      </c>
      <c r="Q51" s="18" t="n">
        <f aca="false">ROUND(2092/1000,3)</f>
        <v>2.092</v>
      </c>
      <c r="R51" s="18"/>
      <c r="S51" s="18" t="n">
        <f aca="false">ROUND(2321/1000,3)</f>
        <v>2.321</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2622</v>
      </c>
      <c r="AS51" s="18" t="s">
        <v>2165</v>
      </c>
      <c r="AT51" s="18" t="s">
        <v>2166</v>
      </c>
      <c r="AU51" s="18" t="s">
        <v>2167</v>
      </c>
      <c r="AV51" s="18" t="s">
        <v>2623</v>
      </c>
      <c r="AW51" s="32" t="s">
        <v>2632</v>
      </c>
      <c r="AX51" s="18" t="s">
        <v>1148</v>
      </c>
      <c r="AY51" s="18" t="s">
        <v>2625</v>
      </c>
    </row>
    <row r="52" customFormat="false" ht="14.25" hidden="false" customHeight="true" outlineLevel="0" collapsed="false">
      <c r="A52" s="18" t="n">
        <v>173</v>
      </c>
      <c r="B52" s="18" t="n">
        <v>173</v>
      </c>
      <c r="C52" s="18" t="s">
        <v>1133</v>
      </c>
      <c r="D52" s="18" t="n">
        <v>2023</v>
      </c>
      <c r="E52" s="18" t="s">
        <v>1134</v>
      </c>
      <c r="F52" s="18" t="s">
        <v>866</v>
      </c>
      <c r="G52" s="18" t="s">
        <v>1137</v>
      </c>
      <c r="H52" s="18" t="n">
        <v>28.633</v>
      </c>
      <c r="I52" s="18" t="n">
        <v>77.15</v>
      </c>
      <c r="J52" s="18" t="s">
        <v>83</v>
      </c>
      <c r="K52" s="18" t="n">
        <v>2020</v>
      </c>
      <c r="L52" s="18" t="s">
        <v>84</v>
      </c>
      <c r="M52" s="18" t="s">
        <v>85</v>
      </c>
      <c r="N52" s="18" t="s">
        <v>2177</v>
      </c>
      <c r="O52" s="18" t="s">
        <v>2178</v>
      </c>
      <c r="P52" s="18" t="n">
        <f aca="false">ROUND(2408/1000,3)</f>
        <v>2.408</v>
      </c>
      <c r="Q52" s="18" t="n">
        <f aca="false">ROUND(2615/1000,3)</f>
        <v>2.615</v>
      </c>
      <c r="R52" s="18"/>
      <c r="S52" s="18" t="n">
        <f aca="false">ROUND(2767/1000,3)</f>
        <v>2.767</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2622</v>
      </c>
      <c r="AS52" s="18" t="s">
        <v>2165</v>
      </c>
      <c r="AT52" s="18" t="s">
        <v>2166</v>
      </c>
      <c r="AU52" s="18" t="s">
        <v>2167</v>
      </c>
      <c r="AV52" s="18" t="s">
        <v>2623</v>
      </c>
      <c r="AW52" s="32" t="s">
        <v>2633</v>
      </c>
      <c r="AX52" s="18" t="s">
        <v>1148</v>
      </c>
      <c r="AY52" s="18" t="s">
        <v>2625</v>
      </c>
    </row>
    <row r="53" customFormat="false" ht="14.25" hidden="false" customHeight="true" outlineLevel="0" collapsed="false">
      <c r="A53" s="18" t="n">
        <v>173</v>
      </c>
      <c r="B53" s="18" t="n">
        <v>173</v>
      </c>
      <c r="C53" s="18" t="s">
        <v>1133</v>
      </c>
      <c r="D53" s="18" t="n">
        <v>2023</v>
      </c>
      <c r="E53" s="18" t="s">
        <v>1134</v>
      </c>
      <c r="F53" s="18" t="s">
        <v>866</v>
      </c>
      <c r="G53" s="18" t="s">
        <v>1137</v>
      </c>
      <c r="H53" s="18" t="n">
        <v>28.633</v>
      </c>
      <c r="I53" s="18" t="n">
        <v>77.15</v>
      </c>
      <c r="J53" s="18" t="s">
        <v>83</v>
      </c>
      <c r="K53" s="18" t="n">
        <v>2020</v>
      </c>
      <c r="L53" s="18" t="s">
        <v>84</v>
      </c>
      <c r="M53" s="18" t="s">
        <v>85</v>
      </c>
      <c r="N53" s="18" t="s">
        <v>2177</v>
      </c>
      <c r="O53" s="18" t="s">
        <v>2178</v>
      </c>
      <c r="P53" s="18" t="n">
        <f aca="false">ROUND(2560/1000,3)</f>
        <v>2.56</v>
      </c>
      <c r="Q53" s="18" t="n">
        <f aca="false">ROUND(2288/1000,3)</f>
        <v>2.288</v>
      </c>
      <c r="R53" s="18"/>
      <c r="S53" s="18" t="n">
        <f aca="false">ROUND(2920/1000,3)</f>
        <v>2.92</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2622</v>
      </c>
      <c r="AS53" s="18" t="s">
        <v>2165</v>
      </c>
      <c r="AT53" s="18" t="s">
        <v>2166</v>
      </c>
      <c r="AU53" s="18" t="s">
        <v>2167</v>
      </c>
      <c r="AV53" s="18" t="s">
        <v>2623</v>
      </c>
      <c r="AW53" s="32" t="s">
        <v>2634</v>
      </c>
      <c r="AX53" s="18" t="s">
        <v>1148</v>
      </c>
      <c r="AY53" s="18" t="s">
        <v>2625</v>
      </c>
    </row>
    <row r="54" customFormat="false" ht="14.25" hidden="false" customHeight="true" outlineLevel="0" collapsed="false">
      <c r="A54" s="18" t="n">
        <v>173</v>
      </c>
      <c r="B54" s="18" t="n">
        <v>173</v>
      </c>
      <c r="C54" s="18" t="s">
        <v>1133</v>
      </c>
      <c r="D54" s="18" t="n">
        <v>2023</v>
      </c>
      <c r="E54" s="18" t="s">
        <v>1134</v>
      </c>
      <c r="F54" s="18" t="s">
        <v>866</v>
      </c>
      <c r="G54" s="18" t="s">
        <v>1137</v>
      </c>
      <c r="H54" s="18" t="n">
        <v>28.633</v>
      </c>
      <c r="I54" s="18" t="n">
        <v>77.15</v>
      </c>
      <c r="J54" s="18" t="s">
        <v>83</v>
      </c>
      <c r="K54" s="18" t="n">
        <v>2020</v>
      </c>
      <c r="L54" s="18" t="s">
        <v>84</v>
      </c>
      <c r="M54" s="18" t="s">
        <v>85</v>
      </c>
      <c r="N54" s="18" t="s">
        <v>2177</v>
      </c>
      <c r="O54" s="18" t="s">
        <v>2178</v>
      </c>
      <c r="P54" s="18" t="n">
        <f aca="false">ROUND(2005/1000,3)</f>
        <v>2.005</v>
      </c>
      <c r="Q54" s="18" t="n">
        <f aca="false">ROUND(2615/1000,3)</f>
        <v>2.615</v>
      </c>
      <c r="R54" s="18"/>
      <c r="S54" s="18" t="n">
        <f aca="false">ROUND(2767/1000,3)</f>
        <v>2.767</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2622</v>
      </c>
      <c r="AS54" s="18" t="s">
        <v>2165</v>
      </c>
      <c r="AT54" s="18" t="s">
        <v>2166</v>
      </c>
      <c r="AU54" s="18" t="s">
        <v>2167</v>
      </c>
      <c r="AV54" s="18" t="s">
        <v>2623</v>
      </c>
      <c r="AW54" s="32" t="s">
        <v>2635</v>
      </c>
      <c r="AX54" s="18" t="s">
        <v>1148</v>
      </c>
      <c r="AY54" s="18" t="s">
        <v>2625</v>
      </c>
    </row>
    <row r="55" customFormat="false" ht="14.25" hidden="false" customHeight="true" outlineLevel="0" collapsed="false">
      <c r="A55" s="18" t="n">
        <v>173</v>
      </c>
      <c r="B55" s="18" t="n">
        <v>173</v>
      </c>
      <c r="C55" s="18" t="s">
        <v>1133</v>
      </c>
      <c r="D55" s="18" t="n">
        <v>2023</v>
      </c>
      <c r="E55" s="18" t="s">
        <v>1134</v>
      </c>
      <c r="F55" s="18" t="s">
        <v>866</v>
      </c>
      <c r="G55" s="18" t="s">
        <v>1137</v>
      </c>
      <c r="H55" s="18" t="n">
        <v>28.633</v>
      </c>
      <c r="I55" s="18" t="n">
        <v>77.15</v>
      </c>
      <c r="J55" s="18" t="s">
        <v>83</v>
      </c>
      <c r="K55" s="18" t="n">
        <v>2020</v>
      </c>
      <c r="L55" s="18" t="s">
        <v>84</v>
      </c>
      <c r="M55" s="18" t="s">
        <v>85</v>
      </c>
      <c r="N55" s="18" t="s">
        <v>2177</v>
      </c>
      <c r="O55" s="18" t="s">
        <v>2178</v>
      </c>
      <c r="P55" s="18" t="n">
        <f aca="false">ROUND(1776/1000,3)</f>
        <v>1.776</v>
      </c>
      <c r="Q55" s="18" t="n">
        <f aca="false">ROUND(2288/1000,3)</f>
        <v>2.288</v>
      </c>
      <c r="R55" s="18"/>
      <c r="S55" s="18" t="n">
        <f aca="false">ROUND(2920/1000,3)</f>
        <v>2.92</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2622</v>
      </c>
      <c r="AS55" s="18" t="s">
        <v>2165</v>
      </c>
      <c r="AT55" s="18" t="s">
        <v>2166</v>
      </c>
      <c r="AU55" s="18" t="s">
        <v>2167</v>
      </c>
      <c r="AV55" s="18" t="s">
        <v>2623</v>
      </c>
      <c r="AW55" s="32" t="s">
        <v>2636</v>
      </c>
      <c r="AX55" s="18" t="s">
        <v>1148</v>
      </c>
      <c r="AY55" s="18" t="s">
        <v>2625</v>
      </c>
    </row>
    <row r="56" customFormat="false" ht="14.25" hidden="false" customHeight="false" outlineLevel="0" collapsed="false">
      <c r="A56" s="24" t="n">
        <v>174</v>
      </c>
      <c r="B56" s="24" t="n">
        <v>174</v>
      </c>
      <c r="C56" s="24" t="s">
        <v>1152</v>
      </c>
      <c r="D56" s="24" t="n">
        <v>2017</v>
      </c>
      <c r="E56" s="24" t="s">
        <v>1153</v>
      </c>
      <c r="F56" s="24" t="s">
        <v>887</v>
      </c>
      <c r="G56" s="24" t="s">
        <v>1156</v>
      </c>
      <c r="H56" s="24" t="n">
        <v>29.067</v>
      </c>
      <c r="I56" s="24" t="n">
        <v>77.767</v>
      </c>
      <c r="J56" s="24" t="s">
        <v>83</v>
      </c>
      <c r="K56" s="24" t="s">
        <v>2183</v>
      </c>
      <c r="L56" s="24" t="s">
        <v>872</v>
      </c>
      <c r="M56" s="24" t="s">
        <v>85</v>
      </c>
      <c r="N56" s="24" t="s">
        <v>2573</v>
      </c>
      <c r="O56" s="24" t="s">
        <v>2637</v>
      </c>
      <c r="P56" s="24" t="n">
        <v>0.366</v>
      </c>
      <c r="Q56" s="24"/>
      <c r="R56" s="24" t="n">
        <v>0.621</v>
      </c>
      <c r="S56" s="24"/>
      <c r="T56" s="24"/>
      <c r="U56" s="24"/>
      <c r="V56" s="24"/>
      <c r="W56" s="24"/>
      <c r="X56" s="24" t="n">
        <v>0.541</v>
      </c>
      <c r="Y56" s="24" t="n">
        <v>0.637</v>
      </c>
      <c r="Z56" s="24"/>
      <c r="AA56" s="24"/>
      <c r="AB56" s="24" t="n">
        <v>4</v>
      </c>
      <c r="AC56" s="24" t="n">
        <v>3</v>
      </c>
      <c r="AD56" s="24" t="n">
        <f aca="false">IF(AND(N(AB56)&gt;0,N(AC56)&gt;0),SQRT(2*AB56/AC56),"")</f>
        <v>1.63299316185545</v>
      </c>
      <c r="AE56" s="24" t="n">
        <v>16.5</v>
      </c>
      <c r="AF56" s="24" t="n">
        <v>5</v>
      </c>
      <c r="AG56" s="24" t="n">
        <v>46</v>
      </c>
      <c r="AH56" s="24" t="n">
        <v>863</v>
      </c>
      <c r="AI56" s="24" t="n">
        <v>29.067</v>
      </c>
      <c r="AJ56" s="24" t="n">
        <v>2</v>
      </c>
      <c r="AK56" s="24"/>
      <c r="AL56" s="24"/>
      <c r="AM56" s="24" t="n">
        <v>8.1</v>
      </c>
      <c r="AN56" s="24" t="n">
        <v>8.3</v>
      </c>
      <c r="AO56" s="24"/>
      <c r="AP56" s="24" t="n">
        <v>62</v>
      </c>
      <c r="AQ56" s="24" t="n">
        <v>20.5</v>
      </c>
      <c r="AR56" s="24" t="s">
        <v>2575</v>
      </c>
      <c r="AS56" s="24" t="s">
        <v>2184</v>
      </c>
      <c r="AT56" s="24" t="s">
        <v>2185</v>
      </c>
      <c r="AU56" s="24" t="s">
        <v>2186</v>
      </c>
      <c r="AV56" s="24" t="s">
        <v>2638</v>
      </c>
      <c r="AW56" s="25" t="s">
        <v>2639</v>
      </c>
      <c r="AX56" s="24" t="s">
        <v>1167</v>
      </c>
      <c r="AY56" s="24" t="s">
        <v>2640</v>
      </c>
    </row>
    <row r="57" customFormat="false" ht="14.25" hidden="false" customHeight="false" outlineLevel="0" collapsed="false">
      <c r="A57" s="24" t="n">
        <v>174</v>
      </c>
      <c r="B57" s="24" t="n">
        <v>174</v>
      </c>
      <c r="C57" s="24" t="s">
        <v>1152</v>
      </c>
      <c r="D57" s="24" t="n">
        <v>2017</v>
      </c>
      <c r="E57" s="24" t="s">
        <v>1153</v>
      </c>
      <c r="F57" s="24" t="s">
        <v>887</v>
      </c>
      <c r="G57" s="24" t="s">
        <v>1156</v>
      </c>
      <c r="H57" s="24" t="n">
        <v>29.067</v>
      </c>
      <c r="I57" s="24" t="n">
        <v>77.767</v>
      </c>
      <c r="J57" s="24" t="s">
        <v>83</v>
      </c>
      <c r="K57" s="24" t="s">
        <v>2183</v>
      </c>
      <c r="L57" s="24" t="s">
        <v>872</v>
      </c>
      <c r="M57" s="24" t="s">
        <v>85</v>
      </c>
      <c r="N57" s="24" t="s">
        <v>2573</v>
      </c>
      <c r="O57" s="24" t="s">
        <v>2637</v>
      </c>
      <c r="P57" s="24" t="n">
        <v>0.47</v>
      </c>
      <c r="Q57" s="24"/>
      <c r="R57" s="24" t="n">
        <v>1.012</v>
      </c>
      <c r="S57" s="24"/>
      <c r="T57" s="24"/>
      <c r="U57" s="24"/>
      <c r="V57" s="24"/>
      <c r="W57" s="24"/>
      <c r="X57" s="24" t="n">
        <v>0.541</v>
      </c>
      <c r="Y57" s="24" t="n">
        <v>0.637</v>
      </c>
      <c r="Z57" s="24"/>
      <c r="AA57" s="24"/>
      <c r="AB57" s="24" t="n">
        <v>4</v>
      </c>
      <c r="AC57" s="24" t="n">
        <v>3</v>
      </c>
      <c r="AD57" s="24" t="n">
        <f aca="false">IF(AND(N(AB57)&gt;0,N(AC57)&gt;0),SQRT(2*AB57/AC57),"")</f>
        <v>1.63299316185545</v>
      </c>
      <c r="AE57" s="24" t="n">
        <v>16.5</v>
      </c>
      <c r="AF57" s="24" t="n">
        <v>5</v>
      </c>
      <c r="AG57" s="24" t="n">
        <v>46</v>
      </c>
      <c r="AH57" s="24" t="n">
        <v>863</v>
      </c>
      <c r="AI57" s="24" t="n">
        <v>29.067</v>
      </c>
      <c r="AJ57" s="24" t="n">
        <v>2</v>
      </c>
      <c r="AK57" s="24"/>
      <c r="AL57" s="24"/>
      <c r="AM57" s="24" t="n">
        <v>8.1</v>
      </c>
      <c r="AN57" s="24" t="n">
        <v>8.3</v>
      </c>
      <c r="AO57" s="24"/>
      <c r="AP57" s="24" t="n">
        <v>62</v>
      </c>
      <c r="AQ57" s="24" t="n">
        <v>20.5</v>
      </c>
      <c r="AR57" s="24" t="s">
        <v>2575</v>
      </c>
      <c r="AS57" s="24" t="s">
        <v>2184</v>
      </c>
      <c r="AT57" s="24" t="s">
        <v>2185</v>
      </c>
      <c r="AU57" s="24" t="s">
        <v>2186</v>
      </c>
      <c r="AV57" s="24" t="s">
        <v>2638</v>
      </c>
      <c r="AW57" s="25" t="s">
        <v>2641</v>
      </c>
      <c r="AX57" s="24" t="s">
        <v>1167</v>
      </c>
      <c r="AY57" s="24" t="s">
        <v>2640</v>
      </c>
    </row>
    <row r="58" customFormat="false" ht="14.25" hidden="false" customHeight="false" outlineLevel="0" collapsed="false">
      <c r="A58" s="24" t="n">
        <v>174</v>
      </c>
      <c r="B58" s="24" t="n">
        <v>174</v>
      </c>
      <c r="C58" s="24" t="s">
        <v>1152</v>
      </c>
      <c r="D58" s="24" t="n">
        <v>2017</v>
      </c>
      <c r="E58" s="24" t="s">
        <v>1153</v>
      </c>
      <c r="F58" s="24" t="s">
        <v>887</v>
      </c>
      <c r="G58" s="24" t="s">
        <v>1156</v>
      </c>
      <c r="H58" s="24" t="n">
        <v>29.067</v>
      </c>
      <c r="I58" s="24" t="n">
        <v>77.767</v>
      </c>
      <c r="J58" s="24" t="s">
        <v>83</v>
      </c>
      <c r="K58" s="24" t="s">
        <v>2183</v>
      </c>
      <c r="L58" s="24" t="s">
        <v>872</v>
      </c>
      <c r="M58" s="24" t="s">
        <v>85</v>
      </c>
      <c r="N58" s="24" t="s">
        <v>2573</v>
      </c>
      <c r="O58" s="24" t="s">
        <v>2642</v>
      </c>
      <c r="P58" s="24" t="n">
        <v>0.629</v>
      </c>
      <c r="Q58" s="24"/>
      <c r="R58" s="24" t="n">
        <v>1.108</v>
      </c>
      <c r="S58" s="24"/>
      <c r="T58" s="24"/>
      <c r="U58" s="24"/>
      <c r="V58" s="24"/>
      <c r="W58" s="24"/>
      <c r="X58" s="24" t="n">
        <v>0.853</v>
      </c>
      <c r="Y58" s="24" t="n">
        <v>0.9</v>
      </c>
      <c r="Z58" s="24"/>
      <c r="AA58" s="24"/>
      <c r="AB58" s="24" t="n">
        <v>4</v>
      </c>
      <c r="AC58" s="24" t="n">
        <v>3</v>
      </c>
      <c r="AD58" s="24" t="n">
        <f aca="false">IF(AND(N(AB58)&gt;0,N(AC58)&gt;0),SQRT(2*AB58/AC58),"")</f>
        <v>1.63299316185545</v>
      </c>
      <c r="AE58" s="24" t="n">
        <v>16.5</v>
      </c>
      <c r="AF58" s="24" t="n">
        <v>5</v>
      </c>
      <c r="AG58" s="24" t="n">
        <v>46</v>
      </c>
      <c r="AH58" s="24" t="n">
        <v>863</v>
      </c>
      <c r="AI58" s="24" t="n">
        <v>29.067</v>
      </c>
      <c r="AJ58" s="24" t="n">
        <v>2</v>
      </c>
      <c r="AK58" s="24"/>
      <c r="AL58" s="24"/>
      <c r="AM58" s="24" t="n">
        <v>8.1</v>
      </c>
      <c r="AN58" s="24" t="n">
        <v>8.3</v>
      </c>
      <c r="AO58" s="24"/>
      <c r="AP58" s="24" t="n">
        <v>62</v>
      </c>
      <c r="AQ58" s="24" t="n">
        <v>20.5</v>
      </c>
      <c r="AR58" s="24" t="s">
        <v>2575</v>
      </c>
      <c r="AS58" s="24" t="s">
        <v>2184</v>
      </c>
      <c r="AT58" s="24" t="s">
        <v>2185</v>
      </c>
      <c r="AU58" s="24" t="s">
        <v>2186</v>
      </c>
      <c r="AV58" s="24" t="s">
        <v>2638</v>
      </c>
      <c r="AW58" s="25" t="s">
        <v>2639</v>
      </c>
      <c r="AX58" s="24" t="s">
        <v>1167</v>
      </c>
      <c r="AY58" s="24" t="s">
        <v>2640</v>
      </c>
    </row>
    <row r="59" customFormat="false" ht="14.25" hidden="false" customHeight="false" outlineLevel="0" collapsed="false">
      <c r="A59" s="24" t="n">
        <v>174</v>
      </c>
      <c r="B59" s="24" t="n">
        <v>174</v>
      </c>
      <c r="C59" s="24" t="s">
        <v>1152</v>
      </c>
      <c r="D59" s="24" t="n">
        <v>2017</v>
      </c>
      <c r="E59" s="24" t="s">
        <v>1153</v>
      </c>
      <c r="F59" s="24" t="s">
        <v>887</v>
      </c>
      <c r="G59" s="24" t="s">
        <v>1156</v>
      </c>
      <c r="H59" s="24" t="n">
        <v>29.067</v>
      </c>
      <c r="I59" s="24" t="n">
        <v>77.767</v>
      </c>
      <c r="J59" s="24" t="s">
        <v>83</v>
      </c>
      <c r="K59" s="24" t="s">
        <v>2183</v>
      </c>
      <c r="L59" s="24" t="s">
        <v>872</v>
      </c>
      <c r="M59" s="24" t="s">
        <v>85</v>
      </c>
      <c r="N59" s="24" t="s">
        <v>2573</v>
      </c>
      <c r="O59" s="24" t="s">
        <v>2642</v>
      </c>
      <c r="P59" s="24" t="n">
        <v>1.219</v>
      </c>
      <c r="Q59" s="24"/>
      <c r="R59" s="24" t="n">
        <v>1.379</v>
      </c>
      <c r="S59" s="24"/>
      <c r="T59" s="24"/>
      <c r="U59" s="24"/>
      <c r="V59" s="24"/>
      <c r="W59" s="24"/>
      <c r="X59" s="24" t="n">
        <v>0.853</v>
      </c>
      <c r="Y59" s="24" t="n">
        <v>0.9</v>
      </c>
      <c r="Z59" s="24"/>
      <c r="AA59" s="24"/>
      <c r="AB59" s="24" t="n">
        <v>4</v>
      </c>
      <c r="AC59" s="24" t="n">
        <v>3</v>
      </c>
      <c r="AD59" s="24" t="n">
        <f aca="false">IF(AND(N(AB59)&gt;0,N(AC59)&gt;0),SQRT(2*AB59/AC59),"")</f>
        <v>1.63299316185545</v>
      </c>
      <c r="AE59" s="24" t="n">
        <v>16.5</v>
      </c>
      <c r="AF59" s="24" t="n">
        <v>5</v>
      </c>
      <c r="AG59" s="24" t="n">
        <v>46</v>
      </c>
      <c r="AH59" s="24" t="n">
        <v>863</v>
      </c>
      <c r="AI59" s="24" t="n">
        <v>29.067</v>
      </c>
      <c r="AJ59" s="24" t="n">
        <v>2</v>
      </c>
      <c r="AK59" s="24"/>
      <c r="AL59" s="24"/>
      <c r="AM59" s="24" t="n">
        <v>8.1</v>
      </c>
      <c r="AN59" s="24" t="n">
        <v>8.3</v>
      </c>
      <c r="AO59" s="24"/>
      <c r="AP59" s="24" t="n">
        <v>62</v>
      </c>
      <c r="AQ59" s="24" t="n">
        <v>20.5</v>
      </c>
      <c r="AR59" s="24" t="s">
        <v>2575</v>
      </c>
      <c r="AS59" s="24" t="s">
        <v>2184</v>
      </c>
      <c r="AT59" s="24" t="s">
        <v>2185</v>
      </c>
      <c r="AU59" s="24" t="s">
        <v>2186</v>
      </c>
      <c r="AV59" s="24" t="s">
        <v>2638</v>
      </c>
      <c r="AW59" s="25" t="s">
        <v>2641</v>
      </c>
      <c r="AX59" s="24" t="s">
        <v>1167</v>
      </c>
      <c r="AY59" s="24" t="s">
        <v>2640</v>
      </c>
    </row>
    <row r="60" customFormat="false" ht="14.25" hidden="false" customHeight="false" outlineLevel="0" collapsed="false">
      <c r="A60" s="24" t="n">
        <v>174</v>
      </c>
      <c r="B60" s="24" t="n">
        <v>174</v>
      </c>
      <c r="C60" s="24" t="s">
        <v>1152</v>
      </c>
      <c r="D60" s="24" t="n">
        <v>2017</v>
      </c>
      <c r="E60" s="24" t="s">
        <v>1153</v>
      </c>
      <c r="F60" s="24" t="s">
        <v>887</v>
      </c>
      <c r="G60" s="24" t="s">
        <v>1156</v>
      </c>
      <c r="H60" s="24" t="n">
        <v>29.067</v>
      </c>
      <c r="I60" s="24" t="n">
        <v>77.767</v>
      </c>
      <c r="J60" s="24" t="s">
        <v>83</v>
      </c>
      <c r="K60" s="24" t="s">
        <v>2183</v>
      </c>
      <c r="L60" s="24" t="s">
        <v>872</v>
      </c>
      <c r="M60" s="24" t="s">
        <v>85</v>
      </c>
      <c r="N60" s="24" t="s">
        <v>2582</v>
      </c>
      <c r="O60" s="24" t="s">
        <v>2643</v>
      </c>
      <c r="P60" s="24" t="n">
        <v>1.897</v>
      </c>
      <c r="Q60" s="24"/>
      <c r="R60" s="24" t="n">
        <v>2.296</v>
      </c>
      <c r="S60" s="24"/>
      <c r="T60" s="24"/>
      <c r="U60" s="24"/>
      <c r="V60" s="24"/>
      <c r="W60" s="24"/>
      <c r="X60" s="24" t="n">
        <v>2.176</v>
      </c>
      <c r="Y60" s="24" t="n">
        <v>2.12</v>
      </c>
      <c r="Z60" s="24"/>
      <c r="AA60" s="24"/>
      <c r="AB60" s="24" t="n">
        <v>4</v>
      </c>
      <c r="AC60" s="24" t="n">
        <v>3</v>
      </c>
      <c r="AD60" s="24" t="n">
        <f aca="false">IF(AND(N(AB60)&gt;0,N(AC60)&gt;0),SQRT(2*AB60/AC60),"")</f>
        <v>1.63299316185545</v>
      </c>
      <c r="AE60" s="24" t="n">
        <v>16.5</v>
      </c>
      <c r="AF60" s="24" t="n">
        <v>5</v>
      </c>
      <c r="AG60" s="24" t="n">
        <v>46</v>
      </c>
      <c r="AH60" s="24" t="n">
        <v>863</v>
      </c>
      <c r="AI60" s="24" t="n">
        <v>29.067</v>
      </c>
      <c r="AJ60" s="24" t="n">
        <v>2</v>
      </c>
      <c r="AK60" s="24"/>
      <c r="AL60" s="24"/>
      <c r="AM60" s="24" t="n">
        <v>8.1</v>
      </c>
      <c r="AN60" s="24" t="n">
        <v>8.3</v>
      </c>
      <c r="AO60" s="24"/>
      <c r="AP60" s="24" t="n">
        <v>62</v>
      </c>
      <c r="AQ60" s="24" t="n">
        <v>20.5</v>
      </c>
      <c r="AR60" s="24" t="s">
        <v>2575</v>
      </c>
      <c r="AS60" s="24" t="s">
        <v>2184</v>
      </c>
      <c r="AT60" s="24" t="s">
        <v>2185</v>
      </c>
      <c r="AU60" s="24" t="s">
        <v>2186</v>
      </c>
      <c r="AV60" s="24" t="s">
        <v>2638</v>
      </c>
      <c r="AW60" s="25" t="s">
        <v>2639</v>
      </c>
      <c r="AX60" s="24" t="s">
        <v>1167</v>
      </c>
      <c r="AY60" s="24" t="s">
        <v>2640</v>
      </c>
    </row>
    <row r="61" customFormat="false" ht="14.25" hidden="false" customHeight="false" outlineLevel="0" collapsed="false">
      <c r="A61" s="24" t="n">
        <v>174</v>
      </c>
      <c r="B61" s="24" t="n">
        <v>174</v>
      </c>
      <c r="C61" s="24" t="s">
        <v>1152</v>
      </c>
      <c r="D61" s="24" t="n">
        <v>2017</v>
      </c>
      <c r="E61" s="24" t="s">
        <v>1153</v>
      </c>
      <c r="F61" s="24" t="s">
        <v>887</v>
      </c>
      <c r="G61" s="24" t="s">
        <v>1156</v>
      </c>
      <c r="H61" s="24" t="n">
        <v>29.067</v>
      </c>
      <c r="I61" s="24" t="n">
        <v>77.767</v>
      </c>
      <c r="J61" s="24" t="s">
        <v>83</v>
      </c>
      <c r="K61" s="24" t="s">
        <v>2183</v>
      </c>
      <c r="L61" s="24" t="s">
        <v>872</v>
      </c>
      <c r="M61" s="24" t="s">
        <v>85</v>
      </c>
      <c r="N61" s="24" t="s">
        <v>2582</v>
      </c>
      <c r="O61" s="24" t="s">
        <v>2643</v>
      </c>
      <c r="P61" s="24" t="n">
        <v>2.224</v>
      </c>
      <c r="Q61" s="24"/>
      <c r="R61" s="24" t="n">
        <v>2.368</v>
      </c>
      <c r="S61" s="24"/>
      <c r="T61" s="24"/>
      <c r="U61" s="24"/>
      <c r="V61" s="24"/>
      <c r="W61" s="24"/>
      <c r="X61" s="24" t="n">
        <v>2.176</v>
      </c>
      <c r="Y61" s="24" t="n">
        <v>2.12</v>
      </c>
      <c r="Z61" s="24"/>
      <c r="AA61" s="24"/>
      <c r="AB61" s="24" t="n">
        <v>4</v>
      </c>
      <c r="AC61" s="24" t="n">
        <v>3</v>
      </c>
      <c r="AD61" s="24" t="n">
        <f aca="false">IF(AND(N(AB61)&gt;0,N(AC61)&gt;0),SQRT(2*AB61/AC61),"")</f>
        <v>1.63299316185545</v>
      </c>
      <c r="AE61" s="24" t="n">
        <v>16.5</v>
      </c>
      <c r="AF61" s="24" t="n">
        <v>5</v>
      </c>
      <c r="AG61" s="24" t="n">
        <v>46</v>
      </c>
      <c r="AH61" s="24" t="n">
        <v>863</v>
      </c>
      <c r="AI61" s="24" t="n">
        <v>29.067</v>
      </c>
      <c r="AJ61" s="24" t="n">
        <v>2</v>
      </c>
      <c r="AK61" s="24"/>
      <c r="AL61" s="24"/>
      <c r="AM61" s="24" t="n">
        <v>8.1</v>
      </c>
      <c r="AN61" s="24" t="n">
        <v>8.3</v>
      </c>
      <c r="AO61" s="24"/>
      <c r="AP61" s="24" t="n">
        <v>62</v>
      </c>
      <c r="AQ61" s="24" t="n">
        <v>20.5</v>
      </c>
      <c r="AR61" s="24" t="s">
        <v>2575</v>
      </c>
      <c r="AS61" s="24" t="s">
        <v>2184</v>
      </c>
      <c r="AT61" s="24" t="s">
        <v>2185</v>
      </c>
      <c r="AU61" s="24" t="s">
        <v>2186</v>
      </c>
      <c r="AV61" s="24" t="s">
        <v>2638</v>
      </c>
      <c r="AW61" s="25" t="s">
        <v>2641</v>
      </c>
      <c r="AX61" s="24" t="s">
        <v>1167</v>
      </c>
      <c r="AY61" s="24" t="s">
        <v>2640</v>
      </c>
    </row>
    <row r="62" customFormat="false" ht="14.25" hidden="false" customHeight="false" outlineLevel="0" collapsed="false">
      <c r="A62" s="24" t="n">
        <v>174</v>
      </c>
      <c r="B62" s="24" t="n">
        <v>174</v>
      </c>
      <c r="C62" s="24" t="s">
        <v>1152</v>
      </c>
      <c r="D62" s="24" t="n">
        <v>2017</v>
      </c>
      <c r="E62" s="24" t="s">
        <v>1153</v>
      </c>
      <c r="F62" s="24" t="s">
        <v>887</v>
      </c>
      <c r="G62" s="24" t="s">
        <v>1156</v>
      </c>
      <c r="H62" s="24" t="n">
        <v>29.067</v>
      </c>
      <c r="I62" s="24" t="n">
        <v>77.767</v>
      </c>
      <c r="J62" s="24" t="s">
        <v>83</v>
      </c>
      <c r="K62" s="24" t="s">
        <v>2183</v>
      </c>
      <c r="L62" s="24" t="s">
        <v>872</v>
      </c>
      <c r="M62" s="24" t="s">
        <v>85</v>
      </c>
      <c r="N62" s="24" t="s">
        <v>2582</v>
      </c>
      <c r="O62" s="24" t="s">
        <v>2644</v>
      </c>
      <c r="P62" s="24" t="n">
        <v>3.253</v>
      </c>
      <c r="Q62" s="24"/>
      <c r="R62" s="24" t="n">
        <v>3.269</v>
      </c>
      <c r="S62" s="24"/>
      <c r="T62" s="24"/>
      <c r="U62" s="24"/>
      <c r="V62" s="24"/>
      <c r="W62" s="24"/>
      <c r="X62" s="24" t="n">
        <v>3.428</v>
      </c>
      <c r="Y62" s="24" t="n">
        <v>3.388</v>
      </c>
      <c r="Z62" s="24"/>
      <c r="AA62" s="24"/>
      <c r="AB62" s="24" t="n">
        <v>4</v>
      </c>
      <c r="AC62" s="24" t="n">
        <v>3</v>
      </c>
      <c r="AD62" s="24" t="n">
        <f aca="false">IF(AND(N(AB62)&gt;0,N(AC62)&gt;0),SQRT(2*AB62/AC62),"")</f>
        <v>1.63299316185545</v>
      </c>
      <c r="AE62" s="24" t="n">
        <v>16.5</v>
      </c>
      <c r="AF62" s="24" t="n">
        <v>5</v>
      </c>
      <c r="AG62" s="24" t="n">
        <v>46</v>
      </c>
      <c r="AH62" s="24" t="n">
        <v>863</v>
      </c>
      <c r="AI62" s="24" t="n">
        <v>29.067</v>
      </c>
      <c r="AJ62" s="24" t="n">
        <v>2</v>
      </c>
      <c r="AK62" s="24"/>
      <c r="AL62" s="24"/>
      <c r="AM62" s="24" t="n">
        <v>8.1</v>
      </c>
      <c r="AN62" s="24" t="n">
        <v>8.3</v>
      </c>
      <c r="AO62" s="24"/>
      <c r="AP62" s="24" t="n">
        <v>62</v>
      </c>
      <c r="AQ62" s="24" t="n">
        <v>20.5</v>
      </c>
      <c r="AR62" s="24" t="s">
        <v>2575</v>
      </c>
      <c r="AS62" s="24" t="s">
        <v>2184</v>
      </c>
      <c r="AT62" s="24" t="s">
        <v>2185</v>
      </c>
      <c r="AU62" s="24" t="s">
        <v>2186</v>
      </c>
      <c r="AV62" s="24" t="s">
        <v>2638</v>
      </c>
      <c r="AW62" s="25" t="s">
        <v>2639</v>
      </c>
      <c r="AX62" s="24" t="s">
        <v>1167</v>
      </c>
      <c r="AY62" s="24" t="s">
        <v>2640</v>
      </c>
    </row>
    <row r="63" customFormat="false" ht="14.25" hidden="false" customHeight="false" outlineLevel="0" collapsed="false">
      <c r="A63" s="24" t="n">
        <v>174</v>
      </c>
      <c r="B63" s="24" t="n">
        <v>174</v>
      </c>
      <c r="C63" s="24" t="s">
        <v>1152</v>
      </c>
      <c r="D63" s="24" t="n">
        <v>2017</v>
      </c>
      <c r="E63" s="24" t="s">
        <v>1153</v>
      </c>
      <c r="F63" s="24" t="s">
        <v>887</v>
      </c>
      <c r="G63" s="24" t="s">
        <v>1156</v>
      </c>
      <c r="H63" s="24" t="n">
        <v>29.067</v>
      </c>
      <c r="I63" s="24" t="n">
        <v>77.767</v>
      </c>
      <c r="J63" s="24" t="s">
        <v>83</v>
      </c>
      <c r="K63" s="24" t="s">
        <v>2183</v>
      </c>
      <c r="L63" s="24" t="s">
        <v>872</v>
      </c>
      <c r="M63" s="24" t="s">
        <v>85</v>
      </c>
      <c r="N63" s="24" t="s">
        <v>2582</v>
      </c>
      <c r="O63" s="24" t="s">
        <v>2644</v>
      </c>
      <c r="P63" s="24" t="n">
        <v>2.703</v>
      </c>
      <c r="Q63" s="24"/>
      <c r="R63" s="24" t="n">
        <v>2.79</v>
      </c>
      <c r="S63" s="24"/>
      <c r="T63" s="24"/>
      <c r="U63" s="24"/>
      <c r="V63" s="24"/>
      <c r="W63" s="24"/>
      <c r="X63" s="24" t="n">
        <v>3.428</v>
      </c>
      <c r="Y63" s="24" t="n">
        <v>3.388</v>
      </c>
      <c r="Z63" s="24"/>
      <c r="AA63" s="24"/>
      <c r="AB63" s="24" t="n">
        <v>4</v>
      </c>
      <c r="AC63" s="24" t="n">
        <v>3</v>
      </c>
      <c r="AD63" s="24" t="n">
        <f aca="false">IF(AND(N(AB63)&gt;0,N(AC63)&gt;0),SQRT(2*AB63/AC63),"")</f>
        <v>1.63299316185545</v>
      </c>
      <c r="AE63" s="24" t="n">
        <v>16.5</v>
      </c>
      <c r="AF63" s="24" t="n">
        <v>5</v>
      </c>
      <c r="AG63" s="24" t="n">
        <v>46</v>
      </c>
      <c r="AH63" s="24" t="n">
        <v>863</v>
      </c>
      <c r="AI63" s="24" t="n">
        <v>29.067</v>
      </c>
      <c r="AJ63" s="24" t="n">
        <v>2</v>
      </c>
      <c r="AK63" s="24"/>
      <c r="AL63" s="24"/>
      <c r="AM63" s="24" t="n">
        <v>8.1</v>
      </c>
      <c r="AN63" s="24" t="n">
        <v>8.3</v>
      </c>
      <c r="AO63" s="24"/>
      <c r="AP63" s="24" t="n">
        <v>62</v>
      </c>
      <c r="AQ63" s="24" t="n">
        <v>20.5</v>
      </c>
      <c r="AR63" s="24" t="s">
        <v>2575</v>
      </c>
      <c r="AS63" s="24" t="s">
        <v>2184</v>
      </c>
      <c r="AT63" s="24" t="s">
        <v>2185</v>
      </c>
      <c r="AU63" s="24" t="s">
        <v>2186</v>
      </c>
      <c r="AV63" s="24" t="s">
        <v>2638</v>
      </c>
      <c r="AW63" s="25" t="s">
        <v>2641</v>
      </c>
      <c r="AX63" s="24" t="s">
        <v>1167</v>
      </c>
      <c r="AY63" s="24" t="s">
        <v>2640</v>
      </c>
    </row>
    <row r="64" customFormat="false" ht="14.25" hidden="false" customHeight="false" outlineLevel="0" collapsed="false">
      <c r="A64" s="24" t="n">
        <v>174</v>
      </c>
      <c r="B64" s="24" t="n">
        <v>174</v>
      </c>
      <c r="C64" s="24" t="s">
        <v>1152</v>
      </c>
      <c r="D64" s="24" t="n">
        <v>2017</v>
      </c>
      <c r="E64" s="24" t="s">
        <v>1153</v>
      </c>
      <c r="F64" s="24" t="s">
        <v>887</v>
      </c>
      <c r="G64" s="24" t="s">
        <v>1156</v>
      </c>
      <c r="H64" s="24" t="n">
        <v>29.067</v>
      </c>
      <c r="I64" s="24" t="n">
        <v>77.767</v>
      </c>
      <c r="J64" s="24" t="s">
        <v>83</v>
      </c>
      <c r="K64" s="24" t="s">
        <v>2183</v>
      </c>
      <c r="L64" s="24" t="s">
        <v>872</v>
      </c>
      <c r="M64" s="24" t="s">
        <v>85</v>
      </c>
      <c r="N64" s="24" t="s">
        <v>2585</v>
      </c>
      <c r="O64" s="24" t="s">
        <v>2645</v>
      </c>
      <c r="P64" s="24" t="n">
        <v>3.069</v>
      </c>
      <c r="Q64" s="24"/>
      <c r="R64" s="24" t="n">
        <v>3.013</v>
      </c>
      <c r="S64" s="24"/>
      <c r="T64" s="24"/>
      <c r="U64" s="24"/>
      <c r="V64" s="24"/>
      <c r="W64" s="24"/>
      <c r="X64" s="24" t="n">
        <v>3.069</v>
      </c>
      <c r="Y64" s="24" t="n">
        <v>3.157</v>
      </c>
      <c r="Z64" s="24"/>
      <c r="AA64" s="24"/>
      <c r="AB64" s="24" t="n">
        <v>4</v>
      </c>
      <c r="AC64" s="24" t="n">
        <v>3</v>
      </c>
      <c r="AD64" s="24" t="n">
        <f aca="false">IF(AND(N(AB64)&gt;0,N(AC64)&gt;0),SQRT(2*AB64/AC64),"")</f>
        <v>1.63299316185545</v>
      </c>
      <c r="AE64" s="24" t="n">
        <v>16.5</v>
      </c>
      <c r="AF64" s="24" t="n">
        <v>5</v>
      </c>
      <c r="AG64" s="24" t="n">
        <v>46</v>
      </c>
      <c r="AH64" s="24" t="n">
        <v>863</v>
      </c>
      <c r="AI64" s="24" t="n">
        <v>29.067</v>
      </c>
      <c r="AJ64" s="24" t="n">
        <v>2</v>
      </c>
      <c r="AK64" s="24"/>
      <c r="AL64" s="24"/>
      <c r="AM64" s="24" t="n">
        <v>8.1</v>
      </c>
      <c r="AN64" s="24" t="n">
        <v>8.3</v>
      </c>
      <c r="AO64" s="24"/>
      <c r="AP64" s="24" t="n">
        <v>62</v>
      </c>
      <c r="AQ64" s="24" t="n">
        <v>20.5</v>
      </c>
      <c r="AR64" s="24" t="s">
        <v>2575</v>
      </c>
      <c r="AS64" s="24" t="s">
        <v>2184</v>
      </c>
      <c r="AT64" s="24" t="s">
        <v>2185</v>
      </c>
      <c r="AU64" s="24" t="s">
        <v>2186</v>
      </c>
      <c r="AV64" s="24" t="s">
        <v>2638</v>
      </c>
      <c r="AW64" s="25" t="s">
        <v>2639</v>
      </c>
      <c r="AX64" s="24" t="s">
        <v>1167</v>
      </c>
      <c r="AY64" s="24" t="s">
        <v>2640</v>
      </c>
    </row>
    <row r="65" customFormat="false" ht="14.25" hidden="false" customHeight="false" outlineLevel="0" collapsed="false">
      <c r="A65" s="24" t="n">
        <v>174</v>
      </c>
      <c r="B65" s="24" t="n">
        <v>174</v>
      </c>
      <c r="C65" s="24" t="s">
        <v>1152</v>
      </c>
      <c r="D65" s="24" t="n">
        <v>2017</v>
      </c>
      <c r="E65" s="24" t="s">
        <v>1153</v>
      </c>
      <c r="F65" s="24" t="s">
        <v>887</v>
      </c>
      <c r="G65" s="24" t="s">
        <v>1156</v>
      </c>
      <c r="H65" s="24" t="n">
        <v>29.067</v>
      </c>
      <c r="I65" s="24" t="n">
        <v>77.767</v>
      </c>
      <c r="J65" s="24" t="s">
        <v>83</v>
      </c>
      <c r="K65" s="24" t="s">
        <v>2183</v>
      </c>
      <c r="L65" s="24" t="s">
        <v>872</v>
      </c>
      <c r="M65" s="24" t="s">
        <v>85</v>
      </c>
      <c r="N65" s="24" t="s">
        <v>2585</v>
      </c>
      <c r="O65" s="24" t="s">
        <v>2645</v>
      </c>
      <c r="P65" s="24" t="n">
        <v>2.567</v>
      </c>
      <c r="Q65" s="24"/>
      <c r="R65" s="24" t="n">
        <v>2.718</v>
      </c>
      <c r="S65" s="24"/>
      <c r="T65" s="24"/>
      <c r="U65" s="24"/>
      <c r="V65" s="24"/>
      <c r="W65" s="24"/>
      <c r="X65" s="24" t="n">
        <v>3.069</v>
      </c>
      <c r="Y65" s="24" t="n">
        <v>3.157</v>
      </c>
      <c r="Z65" s="24"/>
      <c r="AA65" s="24"/>
      <c r="AB65" s="24" t="n">
        <v>4</v>
      </c>
      <c r="AC65" s="24" t="n">
        <v>3</v>
      </c>
      <c r="AD65" s="24" t="n">
        <f aca="false">IF(AND(N(AB65)&gt;0,N(AC65)&gt;0),SQRT(2*AB65/AC65),"")</f>
        <v>1.63299316185545</v>
      </c>
      <c r="AE65" s="24" t="n">
        <v>16.5</v>
      </c>
      <c r="AF65" s="24" t="n">
        <v>5</v>
      </c>
      <c r="AG65" s="24" t="n">
        <v>46</v>
      </c>
      <c r="AH65" s="24" t="n">
        <v>863</v>
      </c>
      <c r="AI65" s="24" t="n">
        <v>29.067</v>
      </c>
      <c r="AJ65" s="24" t="n">
        <v>2</v>
      </c>
      <c r="AK65" s="24"/>
      <c r="AL65" s="24"/>
      <c r="AM65" s="24" t="n">
        <v>8.1</v>
      </c>
      <c r="AN65" s="24" t="n">
        <v>8.3</v>
      </c>
      <c r="AO65" s="24"/>
      <c r="AP65" s="24" t="n">
        <v>62</v>
      </c>
      <c r="AQ65" s="24" t="n">
        <v>20.5</v>
      </c>
      <c r="AR65" s="24" t="s">
        <v>2575</v>
      </c>
      <c r="AS65" s="24" t="s">
        <v>2184</v>
      </c>
      <c r="AT65" s="24" t="s">
        <v>2185</v>
      </c>
      <c r="AU65" s="24" t="s">
        <v>2186</v>
      </c>
      <c r="AV65" s="24" t="s">
        <v>2638</v>
      </c>
      <c r="AW65" s="25" t="s">
        <v>2641</v>
      </c>
      <c r="AX65" s="24" t="s">
        <v>1167</v>
      </c>
      <c r="AY65" s="24" t="s">
        <v>2640</v>
      </c>
    </row>
    <row r="66" customFormat="false" ht="14.25" hidden="false" customHeight="false" outlineLevel="0" collapsed="false">
      <c r="A66" s="24" t="n">
        <v>174</v>
      </c>
      <c r="B66" s="24" t="n">
        <v>174</v>
      </c>
      <c r="C66" s="24" t="s">
        <v>1152</v>
      </c>
      <c r="D66" s="24" t="n">
        <v>2017</v>
      </c>
      <c r="E66" s="24" t="s">
        <v>1153</v>
      </c>
      <c r="F66" s="24" t="s">
        <v>887</v>
      </c>
      <c r="G66" s="24" t="s">
        <v>1156</v>
      </c>
      <c r="H66" s="24" t="n">
        <v>29.067</v>
      </c>
      <c r="I66" s="24" t="n">
        <v>77.767</v>
      </c>
      <c r="J66" s="24" t="s">
        <v>83</v>
      </c>
      <c r="K66" s="24" t="s">
        <v>2183</v>
      </c>
      <c r="L66" s="24" t="s">
        <v>872</v>
      </c>
      <c r="M66" s="24" t="s">
        <v>85</v>
      </c>
      <c r="N66" s="24" t="s">
        <v>2585</v>
      </c>
      <c r="O66" s="24" t="s">
        <v>2646</v>
      </c>
      <c r="P66" s="24" t="n">
        <v>2.368</v>
      </c>
      <c r="Q66" s="24"/>
      <c r="R66" s="24" t="n">
        <v>2.176</v>
      </c>
      <c r="S66" s="24"/>
      <c r="T66" s="24"/>
      <c r="U66" s="24"/>
      <c r="V66" s="24"/>
      <c r="W66" s="24"/>
      <c r="X66" s="24" t="n">
        <v>2.479</v>
      </c>
      <c r="Y66" s="24" t="n">
        <v>2.057</v>
      </c>
      <c r="Z66" s="24"/>
      <c r="AA66" s="24"/>
      <c r="AB66" s="24" t="n">
        <v>4</v>
      </c>
      <c r="AC66" s="24" t="n">
        <v>3</v>
      </c>
      <c r="AD66" s="24" t="n">
        <f aca="false">IF(AND(N(AB66)&gt;0,N(AC66)&gt;0),SQRT(2*AB66/AC66),"")</f>
        <v>1.63299316185545</v>
      </c>
      <c r="AE66" s="24" t="n">
        <v>16.5</v>
      </c>
      <c r="AF66" s="24" t="n">
        <v>5</v>
      </c>
      <c r="AG66" s="24" t="n">
        <v>46</v>
      </c>
      <c r="AH66" s="24" t="n">
        <v>863</v>
      </c>
      <c r="AI66" s="24" t="n">
        <v>29.067</v>
      </c>
      <c r="AJ66" s="24" t="n">
        <v>2</v>
      </c>
      <c r="AK66" s="24"/>
      <c r="AL66" s="24"/>
      <c r="AM66" s="24" t="n">
        <v>8.1</v>
      </c>
      <c r="AN66" s="24" t="n">
        <v>8.3</v>
      </c>
      <c r="AO66" s="24"/>
      <c r="AP66" s="24" t="n">
        <v>62</v>
      </c>
      <c r="AQ66" s="24" t="n">
        <v>20.5</v>
      </c>
      <c r="AR66" s="24" t="s">
        <v>2575</v>
      </c>
      <c r="AS66" s="24" t="s">
        <v>2184</v>
      </c>
      <c r="AT66" s="24" t="s">
        <v>2185</v>
      </c>
      <c r="AU66" s="24" t="s">
        <v>2186</v>
      </c>
      <c r="AV66" s="24" t="s">
        <v>2638</v>
      </c>
      <c r="AW66" s="25" t="s">
        <v>2639</v>
      </c>
      <c r="AX66" s="24" t="s">
        <v>1167</v>
      </c>
      <c r="AY66" s="24" t="s">
        <v>2640</v>
      </c>
    </row>
    <row r="67" customFormat="false" ht="14.25" hidden="false" customHeight="false" outlineLevel="0" collapsed="false">
      <c r="A67" s="24" t="n">
        <v>174</v>
      </c>
      <c r="B67" s="24" t="n">
        <v>174</v>
      </c>
      <c r="C67" s="24" t="s">
        <v>1152</v>
      </c>
      <c r="D67" s="24" t="n">
        <v>2017</v>
      </c>
      <c r="E67" s="24" t="s">
        <v>1153</v>
      </c>
      <c r="F67" s="24" t="s">
        <v>887</v>
      </c>
      <c r="G67" s="24" t="s">
        <v>1156</v>
      </c>
      <c r="H67" s="24" t="n">
        <v>29.067</v>
      </c>
      <c r="I67" s="24" t="n">
        <v>77.767</v>
      </c>
      <c r="J67" s="24" t="s">
        <v>83</v>
      </c>
      <c r="K67" s="24" t="s">
        <v>2183</v>
      </c>
      <c r="L67" s="24" t="s">
        <v>872</v>
      </c>
      <c r="M67" s="24" t="s">
        <v>85</v>
      </c>
      <c r="N67" s="24" t="s">
        <v>2585</v>
      </c>
      <c r="O67" s="24" t="s">
        <v>2646</v>
      </c>
      <c r="P67" s="24" t="n">
        <v>2.224</v>
      </c>
      <c r="Q67" s="24"/>
      <c r="R67" s="24" t="n">
        <v>2.144</v>
      </c>
      <c r="S67" s="24"/>
      <c r="T67" s="24"/>
      <c r="U67" s="24"/>
      <c r="V67" s="24"/>
      <c r="W67" s="24"/>
      <c r="X67" s="24" t="n">
        <v>2.479</v>
      </c>
      <c r="Y67" s="24" t="n">
        <v>2.057</v>
      </c>
      <c r="Z67" s="24"/>
      <c r="AA67" s="24"/>
      <c r="AB67" s="24" t="n">
        <v>4</v>
      </c>
      <c r="AC67" s="24" t="n">
        <v>3</v>
      </c>
      <c r="AD67" s="24" t="n">
        <f aca="false">IF(AND(N(AB67)&gt;0,N(AC67)&gt;0),SQRT(2*AB67/AC67),"")</f>
        <v>1.63299316185545</v>
      </c>
      <c r="AE67" s="24" t="n">
        <v>16.5</v>
      </c>
      <c r="AF67" s="24" t="n">
        <v>5</v>
      </c>
      <c r="AG67" s="24" t="n">
        <v>46</v>
      </c>
      <c r="AH67" s="24" t="n">
        <v>863</v>
      </c>
      <c r="AI67" s="24" t="n">
        <v>29.067</v>
      </c>
      <c r="AJ67" s="24" t="n">
        <v>2</v>
      </c>
      <c r="AK67" s="24"/>
      <c r="AL67" s="24"/>
      <c r="AM67" s="24" t="n">
        <v>8.1</v>
      </c>
      <c r="AN67" s="24" t="n">
        <v>8.3</v>
      </c>
      <c r="AO67" s="24"/>
      <c r="AP67" s="24" t="n">
        <v>62</v>
      </c>
      <c r="AQ67" s="24" t="n">
        <v>20.5</v>
      </c>
      <c r="AR67" s="24" t="s">
        <v>2575</v>
      </c>
      <c r="AS67" s="24" t="s">
        <v>2184</v>
      </c>
      <c r="AT67" s="24" t="s">
        <v>2185</v>
      </c>
      <c r="AU67" s="24" t="s">
        <v>2186</v>
      </c>
      <c r="AV67" s="24" t="s">
        <v>2638</v>
      </c>
      <c r="AW67" s="25" t="s">
        <v>2641</v>
      </c>
      <c r="AX67" s="24" t="s">
        <v>1167</v>
      </c>
      <c r="AY67" s="24" t="s">
        <v>2640</v>
      </c>
    </row>
    <row r="68" customFormat="false" ht="14.25" hidden="false" customHeight="false" outlineLevel="0" collapsed="false">
      <c r="A68" s="24" t="n">
        <v>174</v>
      </c>
      <c r="B68" s="24" t="n">
        <v>174</v>
      </c>
      <c r="C68" s="24" t="s">
        <v>1152</v>
      </c>
      <c r="D68" s="24" t="n">
        <v>2017</v>
      </c>
      <c r="E68" s="24" t="s">
        <v>1153</v>
      </c>
      <c r="F68" s="24" t="s">
        <v>887</v>
      </c>
      <c r="G68" s="24" t="s">
        <v>1156</v>
      </c>
      <c r="H68" s="24" t="n">
        <v>29.067</v>
      </c>
      <c r="I68" s="24" t="n">
        <v>77.767</v>
      </c>
      <c r="J68" s="24" t="s">
        <v>83</v>
      </c>
      <c r="K68" s="24" t="s">
        <v>2183</v>
      </c>
      <c r="L68" s="24" t="s">
        <v>872</v>
      </c>
      <c r="M68" s="24" t="s">
        <v>85</v>
      </c>
      <c r="N68" s="24" t="s">
        <v>2590</v>
      </c>
      <c r="O68" s="24" t="s">
        <v>2647</v>
      </c>
      <c r="P68" s="24" t="n">
        <v>1.498</v>
      </c>
      <c r="Q68" s="24"/>
      <c r="R68" s="24" t="n">
        <v>1.419</v>
      </c>
      <c r="S68" s="24"/>
      <c r="T68" s="24"/>
      <c r="U68" s="24"/>
      <c r="V68" s="24"/>
      <c r="W68" s="24"/>
      <c r="X68" s="24" t="n">
        <v>1.977</v>
      </c>
      <c r="Y68" s="24" t="n">
        <v>1.674</v>
      </c>
      <c r="Z68" s="24"/>
      <c r="AA68" s="24"/>
      <c r="AB68" s="24" t="n">
        <v>4</v>
      </c>
      <c r="AC68" s="24" t="n">
        <v>3</v>
      </c>
      <c r="AD68" s="24" t="n">
        <f aca="false">IF(AND(N(AB68)&gt;0,N(AC68)&gt;0),SQRT(2*AB68/AC68),"")</f>
        <v>1.63299316185545</v>
      </c>
      <c r="AE68" s="24" t="n">
        <v>16.5</v>
      </c>
      <c r="AF68" s="24" t="n">
        <v>5</v>
      </c>
      <c r="AG68" s="24" t="n">
        <v>46</v>
      </c>
      <c r="AH68" s="24" t="n">
        <v>863</v>
      </c>
      <c r="AI68" s="24" t="n">
        <v>29.067</v>
      </c>
      <c r="AJ68" s="24" t="n">
        <v>2</v>
      </c>
      <c r="AK68" s="24"/>
      <c r="AL68" s="24"/>
      <c r="AM68" s="24" t="n">
        <v>8.1</v>
      </c>
      <c r="AN68" s="24" t="n">
        <v>8.3</v>
      </c>
      <c r="AO68" s="24"/>
      <c r="AP68" s="24" t="n">
        <v>62</v>
      </c>
      <c r="AQ68" s="24" t="n">
        <v>20.5</v>
      </c>
      <c r="AR68" s="24" t="s">
        <v>2575</v>
      </c>
      <c r="AS68" s="24" t="s">
        <v>2184</v>
      </c>
      <c r="AT68" s="24" t="s">
        <v>2185</v>
      </c>
      <c r="AU68" s="24" t="s">
        <v>2186</v>
      </c>
      <c r="AV68" s="24" t="s">
        <v>2638</v>
      </c>
      <c r="AW68" s="25" t="s">
        <v>2639</v>
      </c>
      <c r="AX68" s="24" t="s">
        <v>1167</v>
      </c>
      <c r="AY68" s="24" t="s">
        <v>2640</v>
      </c>
    </row>
    <row r="69" customFormat="false" ht="14.25" hidden="false" customHeight="false" outlineLevel="0" collapsed="false">
      <c r="A69" s="24" t="n">
        <v>174</v>
      </c>
      <c r="B69" s="24" t="n">
        <v>174</v>
      </c>
      <c r="C69" s="24" t="s">
        <v>1152</v>
      </c>
      <c r="D69" s="24" t="n">
        <v>2017</v>
      </c>
      <c r="E69" s="24" t="s">
        <v>1153</v>
      </c>
      <c r="F69" s="24" t="s">
        <v>887</v>
      </c>
      <c r="G69" s="24" t="s">
        <v>1156</v>
      </c>
      <c r="H69" s="24" t="n">
        <v>29.067</v>
      </c>
      <c r="I69" s="24" t="n">
        <v>77.767</v>
      </c>
      <c r="J69" s="24" t="s">
        <v>83</v>
      </c>
      <c r="K69" s="24" t="s">
        <v>2183</v>
      </c>
      <c r="L69" s="24" t="s">
        <v>872</v>
      </c>
      <c r="M69" s="24" t="s">
        <v>85</v>
      </c>
      <c r="N69" s="24" t="s">
        <v>2590</v>
      </c>
      <c r="O69" s="24" t="s">
        <v>2647</v>
      </c>
      <c r="P69" s="24" t="n">
        <v>1.658</v>
      </c>
      <c r="Q69" s="24"/>
      <c r="R69" s="24" t="n">
        <v>2.065</v>
      </c>
      <c r="S69" s="24"/>
      <c r="T69" s="24"/>
      <c r="U69" s="24"/>
      <c r="V69" s="24"/>
      <c r="W69" s="24"/>
      <c r="X69" s="24" t="n">
        <v>1.977</v>
      </c>
      <c r="Y69" s="24" t="n">
        <v>1.674</v>
      </c>
      <c r="Z69" s="24"/>
      <c r="AA69" s="24"/>
      <c r="AB69" s="24" t="n">
        <v>4</v>
      </c>
      <c r="AC69" s="24" t="n">
        <v>3</v>
      </c>
      <c r="AD69" s="24" t="n">
        <f aca="false">IF(AND(N(AB69)&gt;0,N(AC69)&gt;0),SQRT(2*AB69/AC69),"")</f>
        <v>1.63299316185545</v>
      </c>
      <c r="AE69" s="24" t="n">
        <v>16.5</v>
      </c>
      <c r="AF69" s="24" t="n">
        <v>5</v>
      </c>
      <c r="AG69" s="24" t="n">
        <v>46</v>
      </c>
      <c r="AH69" s="24" t="n">
        <v>863</v>
      </c>
      <c r="AI69" s="24" t="n">
        <v>29.067</v>
      </c>
      <c r="AJ69" s="24" t="n">
        <v>2</v>
      </c>
      <c r="AK69" s="24"/>
      <c r="AL69" s="24"/>
      <c r="AM69" s="24" t="n">
        <v>8.1</v>
      </c>
      <c r="AN69" s="24" t="n">
        <v>8.3</v>
      </c>
      <c r="AO69" s="24"/>
      <c r="AP69" s="24" t="n">
        <v>62</v>
      </c>
      <c r="AQ69" s="24" t="n">
        <v>20.5</v>
      </c>
      <c r="AR69" s="24" t="s">
        <v>2575</v>
      </c>
      <c r="AS69" s="24" t="s">
        <v>2184</v>
      </c>
      <c r="AT69" s="24" t="s">
        <v>2185</v>
      </c>
      <c r="AU69" s="24" t="s">
        <v>2186</v>
      </c>
      <c r="AV69" s="24" t="s">
        <v>2638</v>
      </c>
      <c r="AW69" s="25" t="s">
        <v>2641</v>
      </c>
      <c r="AX69" s="24" t="s">
        <v>1167</v>
      </c>
      <c r="AY69" s="24" t="s">
        <v>2640</v>
      </c>
    </row>
    <row r="70" customFormat="false" ht="14.25" hidden="false" customHeight="false" outlineLevel="0" collapsed="false">
      <c r="A70" s="24" t="n">
        <v>174</v>
      </c>
      <c r="B70" s="24" t="n">
        <v>174</v>
      </c>
      <c r="C70" s="24" t="s">
        <v>1152</v>
      </c>
      <c r="D70" s="24" t="n">
        <v>2017</v>
      </c>
      <c r="E70" s="24" t="s">
        <v>1153</v>
      </c>
      <c r="F70" s="24" t="s">
        <v>887</v>
      </c>
      <c r="G70" s="24" t="s">
        <v>1156</v>
      </c>
      <c r="H70" s="24" t="n">
        <v>29.067</v>
      </c>
      <c r="I70" s="24" t="n">
        <v>77.767</v>
      </c>
      <c r="J70" s="24" t="s">
        <v>83</v>
      </c>
      <c r="K70" s="24" t="s">
        <v>2183</v>
      </c>
      <c r="L70" s="24" t="s">
        <v>872</v>
      </c>
      <c r="M70" s="24" t="s">
        <v>85</v>
      </c>
      <c r="N70" s="24" t="s">
        <v>2590</v>
      </c>
      <c r="O70" s="24" t="s">
        <v>2648</v>
      </c>
      <c r="P70" s="24" t="n">
        <v>1.299</v>
      </c>
      <c r="Q70" s="24"/>
      <c r="R70" s="24" t="n">
        <v>1.132</v>
      </c>
      <c r="S70" s="24"/>
      <c r="T70" s="24"/>
      <c r="U70" s="24"/>
      <c r="V70" s="24"/>
      <c r="W70" s="24"/>
      <c r="X70" s="24" t="n">
        <v>1.411</v>
      </c>
      <c r="Y70" s="24" t="n">
        <v>1.49</v>
      </c>
      <c r="Z70" s="24"/>
      <c r="AA70" s="24"/>
      <c r="AB70" s="24" t="n">
        <v>4</v>
      </c>
      <c r="AC70" s="24" t="n">
        <v>3</v>
      </c>
      <c r="AD70" s="24" t="n">
        <f aca="false">IF(AND(N(AB70)&gt;0,N(AC70)&gt;0),SQRT(2*AB70/AC70),"")</f>
        <v>1.63299316185545</v>
      </c>
      <c r="AE70" s="24" t="n">
        <v>16.5</v>
      </c>
      <c r="AF70" s="24" t="n">
        <v>5</v>
      </c>
      <c r="AG70" s="24" t="n">
        <v>46</v>
      </c>
      <c r="AH70" s="24" t="n">
        <v>863</v>
      </c>
      <c r="AI70" s="24" t="n">
        <v>29.067</v>
      </c>
      <c r="AJ70" s="24" t="n">
        <v>2</v>
      </c>
      <c r="AK70" s="24"/>
      <c r="AL70" s="24"/>
      <c r="AM70" s="24" t="n">
        <v>8.1</v>
      </c>
      <c r="AN70" s="24" t="n">
        <v>8.3</v>
      </c>
      <c r="AO70" s="24"/>
      <c r="AP70" s="24" t="n">
        <v>62</v>
      </c>
      <c r="AQ70" s="24" t="n">
        <v>20.5</v>
      </c>
      <c r="AR70" s="24" t="s">
        <v>2575</v>
      </c>
      <c r="AS70" s="24" t="s">
        <v>2184</v>
      </c>
      <c r="AT70" s="24" t="s">
        <v>2185</v>
      </c>
      <c r="AU70" s="24" t="s">
        <v>2186</v>
      </c>
      <c r="AV70" s="24" t="s">
        <v>2638</v>
      </c>
      <c r="AW70" s="25" t="s">
        <v>2639</v>
      </c>
      <c r="AX70" s="24" t="s">
        <v>1167</v>
      </c>
      <c r="AY70" s="24" t="s">
        <v>2640</v>
      </c>
    </row>
    <row r="71" customFormat="false" ht="14.25" hidden="false" customHeight="false" outlineLevel="0" collapsed="false">
      <c r="A71" s="24" t="n">
        <v>174</v>
      </c>
      <c r="B71" s="24" t="n">
        <v>174</v>
      </c>
      <c r="C71" s="24" t="s">
        <v>1152</v>
      </c>
      <c r="D71" s="24" t="n">
        <v>2017</v>
      </c>
      <c r="E71" s="24" t="s">
        <v>1153</v>
      </c>
      <c r="F71" s="24" t="s">
        <v>887</v>
      </c>
      <c r="G71" s="24" t="s">
        <v>1156</v>
      </c>
      <c r="H71" s="24" t="n">
        <v>29.067</v>
      </c>
      <c r="I71" s="24" t="n">
        <v>77.767</v>
      </c>
      <c r="J71" s="24" t="s">
        <v>83</v>
      </c>
      <c r="K71" s="24" t="s">
        <v>2183</v>
      </c>
      <c r="L71" s="24" t="s">
        <v>872</v>
      </c>
      <c r="M71" s="24" t="s">
        <v>85</v>
      </c>
      <c r="N71" s="24" t="s">
        <v>2590</v>
      </c>
      <c r="O71" s="24" t="s">
        <v>2648</v>
      </c>
      <c r="P71" s="24" t="n">
        <v>1.363</v>
      </c>
      <c r="Q71" s="24"/>
      <c r="R71" s="24" t="n">
        <v>1.602</v>
      </c>
      <c r="S71" s="24"/>
      <c r="T71" s="24"/>
      <c r="U71" s="24"/>
      <c r="V71" s="24"/>
      <c r="W71" s="24"/>
      <c r="X71" s="24" t="n">
        <v>1.411</v>
      </c>
      <c r="Y71" s="24" t="n">
        <v>1.49</v>
      </c>
      <c r="Z71" s="24"/>
      <c r="AA71" s="24"/>
      <c r="AB71" s="24" t="n">
        <v>4</v>
      </c>
      <c r="AC71" s="24" t="n">
        <v>3</v>
      </c>
      <c r="AD71" s="24" t="n">
        <f aca="false">IF(AND(N(AB71)&gt;0,N(AC71)&gt;0),SQRT(2*AB71/AC71),"")</f>
        <v>1.63299316185545</v>
      </c>
      <c r="AE71" s="24" t="n">
        <v>16.5</v>
      </c>
      <c r="AF71" s="24" t="n">
        <v>5</v>
      </c>
      <c r="AG71" s="24" t="n">
        <v>46</v>
      </c>
      <c r="AH71" s="24" t="n">
        <v>863</v>
      </c>
      <c r="AI71" s="24" t="n">
        <v>29.067</v>
      </c>
      <c r="AJ71" s="24" t="n">
        <v>2</v>
      </c>
      <c r="AK71" s="24"/>
      <c r="AL71" s="24"/>
      <c r="AM71" s="24" t="n">
        <v>8.1</v>
      </c>
      <c r="AN71" s="24" t="n">
        <v>8.3</v>
      </c>
      <c r="AO71" s="24"/>
      <c r="AP71" s="24" t="n">
        <v>62</v>
      </c>
      <c r="AQ71" s="24" t="n">
        <v>20.5</v>
      </c>
      <c r="AR71" s="24" t="s">
        <v>2575</v>
      </c>
      <c r="AS71" s="24" t="s">
        <v>2184</v>
      </c>
      <c r="AT71" s="24" t="s">
        <v>2185</v>
      </c>
      <c r="AU71" s="24" t="s">
        <v>2186</v>
      </c>
      <c r="AV71" s="24" t="s">
        <v>2638</v>
      </c>
      <c r="AW71" s="25" t="s">
        <v>2641</v>
      </c>
      <c r="AX71" s="24" t="s">
        <v>1167</v>
      </c>
      <c r="AY71" s="24" t="s">
        <v>2640</v>
      </c>
    </row>
    <row r="72" customFormat="false" ht="14.25" hidden="false" customHeight="false" outlineLevel="0" collapsed="false">
      <c r="A72" s="24" t="n">
        <v>174</v>
      </c>
      <c r="B72" s="24" t="n">
        <v>174</v>
      </c>
      <c r="C72" s="24" t="s">
        <v>1152</v>
      </c>
      <c r="D72" s="24" t="n">
        <v>2017</v>
      </c>
      <c r="E72" s="24" t="s">
        <v>1153</v>
      </c>
      <c r="F72" s="24" t="s">
        <v>887</v>
      </c>
      <c r="G72" s="24" t="s">
        <v>1156</v>
      </c>
      <c r="H72" s="24" t="n">
        <v>29.067</v>
      </c>
      <c r="I72" s="24" t="n">
        <v>77.767</v>
      </c>
      <c r="J72" s="24" t="s">
        <v>83</v>
      </c>
      <c r="K72" s="24" t="s">
        <v>2183</v>
      </c>
      <c r="L72" s="24" t="s">
        <v>872</v>
      </c>
      <c r="M72" s="24" t="s">
        <v>85</v>
      </c>
      <c r="N72" s="24" t="s">
        <v>2596</v>
      </c>
      <c r="O72" s="24" t="s">
        <v>2649</v>
      </c>
      <c r="P72" s="24" t="n">
        <v>1.044</v>
      </c>
      <c r="Q72" s="24"/>
      <c r="R72" s="24" t="n">
        <v>1.076</v>
      </c>
      <c r="S72" s="24"/>
      <c r="T72" s="24"/>
      <c r="U72" s="24"/>
      <c r="V72" s="24"/>
      <c r="W72" s="24"/>
      <c r="X72" s="24" t="n">
        <v>1.331</v>
      </c>
      <c r="Y72" s="24" t="n">
        <v>1.387</v>
      </c>
      <c r="Z72" s="24"/>
      <c r="AA72" s="24"/>
      <c r="AB72" s="24" t="n">
        <v>2</v>
      </c>
      <c r="AC72" s="24" t="n">
        <v>3</v>
      </c>
      <c r="AD72" s="24" t="n">
        <f aca="false">IF(AND(N(AB72)&gt;0,N(AC72)&gt;0),SQRT(2*AB72/AC72),"")</f>
        <v>1.15470053837925</v>
      </c>
      <c r="AE72" s="24" t="n">
        <v>16.5</v>
      </c>
      <c r="AF72" s="24" t="n">
        <v>5</v>
      </c>
      <c r="AG72" s="24" t="n">
        <v>46</v>
      </c>
      <c r="AH72" s="24" t="n">
        <v>863</v>
      </c>
      <c r="AI72" s="24" t="n">
        <v>29.067</v>
      </c>
      <c r="AJ72" s="24" t="n">
        <v>2</v>
      </c>
      <c r="AK72" s="24"/>
      <c r="AL72" s="24"/>
      <c r="AM72" s="24" t="n">
        <v>8.1</v>
      </c>
      <c r="AN72" s="24" t="n">
        <v>8.3</v>
      </c>
      <c r="AO72" s="24"/>
      <c r="AP72" s="24" t="n">
        <v>62</v>
      </c>
      <c r="AQ72" s="24" t="n">
        <v>20.5</v>
      </c>
      <c r="AR72" s="24" t="s">
        <v>2575</v>
      </c>
      <c r="AS72" s="24" t="s">
        <v>2184</v>
      </c>
      <c r="AT72" s="24" t="s">
        <v>2185</v>
      </c>
      <c r="AU72" s="24" t="s">
        <v>2186</v>
      </c>
      <c r="AV72" s="24" t="s">
        <v>2638</v>
      </c>
      <c r="AW72" s="25" t="s">
        <v>2650</v>
      </c>
      <c r="AX72" s="24" t="s">
        <v>1167</v>
      </c>
      <c r="AY72" s="24" t="s">
        <v>2640</v>
      </c>
    </row>
    <row r="73" customFormat="false" ht="14.25" hidden="false" customHeight="false" outlineLevel="0" collapsed="false">
      <c r="A73" s="24" t="n">
        <v>174</v>
      </c>
      <c r="B73" s="24" t="n">
        <v>174</v>
      </c>
      <c r="C73" s="24" t="s">
        <v>1152</v>
      </c>
      <c r="D73" s="24" t="n">
        <v>2017</v>
      </c>
      <c r="E73" s="24" t="s">
        <v>1153</v>
      </c>
      <c r="F73" s="24" t="s">
        <v>887</v>
      </c>
      <c r="G73" s="24" t="s">
        <v>1156</v>
      </c>
      <c r="H73" s="24" t="n">
        <v>29.067</v>
      </c>
      <c r="I73" s="24" t="n">
        <v>77.767</v>
      </c>
      <c r="J73" s="24" t="s">
        <v>83</v>
      </c>
      <c r="K73" s="24" t="s">
        <v>2183</v>
      </c>
      <c r="L73" s="24" t="s">
        <v>872</v>
      </c>
      <c r="M73" s="24" t="s">
        <v>85</v>
      </c>
      <c r="N73" s="24" t="s">
        <v>2596</v>
      </c>
      <c r="O73" s="24" t="s">
        <v>2649</v>
      </c>
      <c r="P73" s="24" t="n">
        <v>1.419</v>
      </c>
      <c r="Q73" s="24"/>
      <c r="R73" s="24" t="n">
        <v>1.586</v>
      </c>
      <c r="S73" s="24"/>
      <c r="T73" s="24"/>
      <c r="U73" s="24"/>
      <c r="V73" s="24"/>
      <c r="W73" s="24"/>
      <c r="X73" s="24" t="n">
        <v>1.331</v>
      </c>
      <c r="Y73" s="24" t="n">
        <v>1.387</v>
      </c>
      <c r="Z73" s="24"/>
      <c r="AA73" s="24"/>
      <c r="AB73" s="24" t="n">
        <v>2</v>
      </c>
      <c r="AC73" s="24" t="n">
        <v>3</v>
      </c>
      <c r="AD73" s="24" t="n">
        <f aca="false">IF(AND(N(AB73)&gt;0,N(AC73)&gt;0),SQRT(2*AB73/AC73),"")</f>
        <v>1.15470053837925</v>
      </c>
      <c r="AE73" s="24" t="n">
        <v>16.5</v>
      </c>
      <c r="AF73" s="24" t="n">
        <v>5</v>
      </c>
      <c r="AG73" s="24" t="n">
        <v>46</v>
      </c>
      <c r="AH73" s="24" t="n">
        <v>863</v>
      </c>
      <c r="AI73" s="24" t="n">
        <v>29.067</v>
      </c>
      <c r="AJ73" s="24" t="n">
        <v>2</v>
      </c>
      <c r="AK73" s="24"/>
      <c r="AL73" s="24"/>
      <c r="AM73" s="24" t="n">
        <v>8.1</v>
      </c>
      <c r="AN73" s="24" t="n">
        <v>8.3</v>
      </c>
      <c r="AO73" s="24"/>
      <c r="AP73" s="24" t="n">
        <v>62</v>
      </c>
      <c r="AQ73" s="24" t="n">
        <v>20.5</v>
      </c>
      <c r="AR73" s="24" t="s">
        <v>2575</v>
      </c>
      <c r="AS73" s="24" t="s">
        <v>2184</v>
      </c>
      <c r="AT73" s="24" t="s">
        <v>2185</v>
      </c>
      <c r="AU73" s="24" t="s">
        <v>2186</v>
      </c>
      <c r="AV73" s="24" t="s">
        <v>2638</v>
      </c>
      <c r="AW73" s="25" t="s">
        <v>2651</v>
      </c>
      <c r="AX73" s="24" t="s">
        <v>1167</v>
      </c>
      <c r="AY73" s="24" t="s">
        <v>2640</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2652</v>
      </c>
      <c r="Q1" s="27" t="s">
        <v>2653</v>
      </c>
      <c r="R1" s="27" t="s">
        <v>2654</v>
      </c>
      <c r="S1" s="27" t="s">
        <v>2655</v>
      </c>
      <c r="T1" s="27" t="s">
        <v>2656</v>
      </c>
      <c r="U1" s="27" t="s">
        <v>2657</v>
      </c>
      <c r="V1" s="27" t="s">
        <v>2658</v>
      </c>
      <c r="W1" s="27" t="s">
        <v>2659</v>
      </c>
      <c r="X1" s="30" t="s">
        <v>2660</v>
      </c>
      <c r="Y1" s="30" t="s">
        <v>2661</v>
      </c>
      <c r="Z1" s="30" t="s">
        <v>2662</v>
      </c>
      <c r="AA1" s="30" t="s">
        <v>2663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2052</v>
      </c>
      <c r="L2" s="5" t="s">
        <v>872</v>
      </c>
      <c r="M2" s="5" t="s">
        <v>85</v>
      </c>
      <c r="N2" s="5" t="s">
        <v>86</v>
      </c>
      <c r="O2" s="5" t="s">
        <v>2043</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2664</v>
      </c>
      <c r="AS2" s="5" t="s">
        <v>2053</v>
      </c>
      <c r="AT2" s="5" t="s">
        <v>2054</v>
      </c>
      <c r="AU2" s="5" t="s">
        <v>2055</v>
      </c>
      <c r="AV2" s="5" t="s">
        <v>2056</v>
      </c>
      <c r="AW2" s="23" t="s">
        <v>2665</v>
      </c>
      <c r="AX2" s="5" t="s">
        <v>880</v>
      </c>
      <c r="AY2" s="5" t="s">
        <v>2666</v>
      </c>
      <c r="BA2" s="33" t="s">
        <v>1307</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2052</v>
      </c>
      <c r="L3" s="5" t="s">
        <v>872</v>
      </c>
      <c r="M3" s="5" t="s">
        <v>85</v>
      </c>
      <c r="N3" s="5" t="s">
        <v>86</v>
      </c>
      <c r="O3" s="5" t="s">
        <v>2043</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2664</v>
      </c>
      <c r="AS3" s="5" t="s">
        <v>2059</v>
      </c>
      <c r="AT3" s="5" t="s">
        <v>2060</v>
      </c>
      <c r="AU3" s="5" t="s">
        <v>2055</v>
      </c>
      <c r="AV3" s="5" t="s">
        <v>2056</v>
      </c>
      <c r="AW3" s="23" t="s">
        <v>2667</v>
      </c>
      <c r="AX3" s="5" t="s">
        <v>880</v>
      </c>
      <c r="AY3" s="5" t="s">
        <v>2666</v>
      </c>
    </row>
    <row r="4" customFormat="false" ht="1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2668</v>
      </c>
      <c r="AS4" s="18" t="s">
        <v>2076</v>
      </c>
      <c r="AT4" s="18" t="s">
        <v>2077</v>
      </c>
      <c r="AU4" s="18" t="s">
        <v>2078</v>
      </c>
      <c r="AV4" s="18" t="s">
        <v>2079</v>
      </c>
      <c r="AW4" s="32" t="s">
        <v>2669</v>
      </c>
      <c r="AX4" s="18" t="s">
        <v>979</v>
      </c>
      <c r="AY4" s="18" t="s">
        <v>2670</v>
      </c>
    </row>
    <row r="5" customFormat="false" ht="1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2668</v>
      </c>
      <c r="AS5" s="18" t="s">
        <v>2082</v>
      </c>
      <c r="AT5" s="18" t="s">
        <v>2077</v>
      </c>
      <c r="AU5" s="18" t="s">
        <v>2078</v>
      </c>
      <c r="AV5" s="18" t="s">
        <v>2079</v>
      </c>
      <c r="AW5" s="32" t="s">
        <v>2671</v>
      </c>
      <c r="AX5" s="18" t="s">
        <v>979</v>
      </c>
      <c r="AY5" s="18" t="s">
        <v>2670</v>
      </c>
    </row>
    <row r="6" customFormat="false" ht="1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2668</v>
      </c>
      <c r="AS6" s="18" t="s">
        <v>2084</v>
      </c>
      <c r="AT6" s="18" t="s">
        <v>2077</v>
      </c>
      <c r="AU6" s="18" t="s">
        <v>2078</v>
      </c>
      <c r="AV6" s="18" t="s">
        <v>2079</v>
      </c>
      <c r="AW6" s="32" t="s">
        <v>2672</v>
      </c>
      <c r="AX6" s="18" t="s">
        <v>979</v>
      </c>
      <c r="AY6" s="18" t="s">
        <v>2670</v>
      </c>
    </row>
    <row r="7" customFormat="false" ht="1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2668</v>
      </c>
      <c r="AS7" s="18" t="s">
        <v>2086</v>
      </c>
      <c r="AT7" s="18" t="s">
        <v>2077</v>
      </c>
      <c r="AU7" s="18" t="s">
        <v>2078</v>
      </c>
      <c r="AV7" s="18" t="s">
        <v>2079</v>
      </c>
      <c r="AW7" s="32" t="s">
        <v>2673</v>
      </c>
      <c r="AX7" s="18" t="s">
        <v>979</v>
      </c>
      <c r="AY7" s="18" t="s">
        <v>2670</v>
      </c>
    </row>
    <row r="8" customFormat="false" ht="1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2668</v>
      </c>
      <c r="AS8" s="18" t="s">
        <v>2088</v>
      </c>
      <c r="AT8" s="18" t="s">
        <v>2077</v>
      </c>
      <c r="AU8" s="18" t="s">
        <v>2078</v>
      </c>
      <c r="AV8" s="18" t="s">
        <v>2079</v>
      </c>
      <c r="AW8" s="32" t="s">
        <v>2674</v>
      </c>
      <c r="AX8" s="18" t="s">
        <v>979</v>
      </c>
      <c r="AY8" s="18" t="s">
        <v>2670</v>
      </c>
    </row>
    <row r="9" customFormat="false" ht="1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2668</v>
      </c>
      <c r="AS9" s="18" t="s">
        <v>2090</v>
      </c>
      <c r="AT9" s="18" t="s">
        <v>2077</v>
      </c>
      <c r="AU9" s="18" t="s">
        <v>2078</v>
      </c>
      <c r="AV9" s="18" t="s">
        <v>2079</v>
      </c>
      <c r="AW9" s="32" t="s">
        <v>2675</v>
      </c>
      <c r="AX9" s="18" t="s">
        <v>979</v>
      </c>
      <c r="AY9" s="18" t="s">
        <v>2670</v>
      </c>
    </row>
    <row r="10" customFormat="false" ht="15" hidden="false" customHeight="true" outlineLevel="0" collapsed="false">
      <c r="A10" s="18" t="s">
        <v>965</v>
      </c>
      <c r="B10" s="18" t="s">
        <v>965</v>
      </c>
      <c r="C10" s="18" t="s">
        <v>966</v>
      </c>
      <c r="D10" s="18" t="n">
        <v>2020</v>
      </c>
      <c r="E10" s="18" t="s">
        <v>967</v>
      </c>
      <c r="F10" s="18" t="s">
        <v>866</v>
      </c>
      <c r="G10" s="18" t="s">
        <v>970</v>
      </c>
      <c r="H10" s="18" t="n">
        <v>28.4</v>
      </c>
      <c r="I10" s="18" t="n">
        <v>77.1</v>
      </c>
      <c r="J10" s="18" t="s">
        <v>83</v>
      </c>
      <c r="K10" s="18" t="s">
        <v>2075</v>
      </c>
      <c r="L10" s="18" t="s">
        <v>853</v>
      </c>
      <c r="M10" s="18" t="s">
        <v>85</v>
      </c>
      <c r="N10" s="18" t="s">
        <v>86</v>
      </c>
      <c r="O10" s="18" t="s">
        <v>2043</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2668</v>
      </c>
      <c r="AS10" s="18" t="s">
        <v>2092</v>
      </c>
      <c r="AT10" s="18" t="s">
        <v>2077</v>
      </c>
      <c r="AU10" s="18" t="s">
        <v>2078</v>
      </c>
      <c r="AV10" s="18" t="s">
        <v>2079</v>
      </c>
      <c r="AW10" s="32" t="s">
        <v>2676</v>
      </c>
      <c r="AX10" s="18" t="s">
        <v>979</v>
      </c>
      <c r="AY10" s="18" t="s">
        <v>2670</v>
      </c>
    </row>
    <row r="11" customFormat="false" ht="15" hidden="false" customHeight="true" outlineLevel="0" collapsed="false">
      <c r="A11" s="18" t="s">
        <v>965</v>
      </c>
      <c r="B11" s="18" t="s">
        <v>965</v>
      </c>
      <c r="C11" s="18" t="s">
        <v>966</v>
      </c>
      <c r="D11" s="18" t="n">
        <v>2020</v>
      </c>
      <c r="E11" s="18" t="s">
        <v>967</v>
      </c>
      <c r="F11" s="18" t="s">
        <v>866</v>
      </c>
      <c r="G11" s="18" t="s">
        <v>970</v>
      </c>
      <c r="H11" s="18" t="n">
        <v>28.4</v>
      </c>
      <c r="I11" s="18" t="n">
        <v>77.1</v>
      </c>
      <c r="J11" s="18" t="s">
        <v>83</v>
      </c>
      <c r="K11" s="18" t="s">
        <v>2075</v>
      </c>
      <c r="L11" s="18" t="s">
        <v>853</v>
      </c>
      <c r="M11" s="18" t="s">
        <v>85</v>
      </c>
      <c r="N11" s="18" t="s">
        <v>86</v>
      </c>
      <c r="O11" s="18" t="s">
        <v>2043</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2668</v>
      </c>
      <c r="AS11" s="18" t="s">
        <v>2094</v>
      </c>
      <c r="AT11" s="18" t="s">
        <v>2077</v>
      </c>
      <c r="AU11" s="18" t="s">
        <v>2078</v>
      </c>
      <c r="AV11" s="18" t="s">
        <v>2079</v>
      </c>
      <c r="AW11" s="32" t="s">
        <v>2677</v>
      </c>
      <c r="AX11" s="18" t="s">
        <v>979</v>
      </c>
      <c r="AY11" s="18" t="s">
        <v>2670</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2678</v>
      </c>
      <c r="Q1" s="27" t="s">
        <v>2679</v>
      </c>
      <c r="R1" s="27" t="s">
        <v>2680</v>
      </c>
      <c r="S1" s="27" t="s">
        <v>2681</v>
      </c>
      <c r="T1" s="27" t="s">
        <v>2682</v>
      </c>
      <c r="U1" s="27" t="s">
        <v>2683</v>
      </c>
      <c r="V1" s="27" t="s">
        <v>2684</v>
      </c>
      <c r="W1" s="27" t="s">
        <v>2685</v>
      </c>
      <c r="X1" s="30" t="s">
        <v>2686</v>
      </c>
      <c r="Y1" s="30" t="s">
        <v>2687</v>
      </c>
      <c r="Z1" s="30" t="s">
        <v>2688</v>
      </c>
      <c r="AA1" s="30" t="s">
        <v>2689</v>
      </c>
      <c r="AB1" s="27" t="s">
        <v>2690</v>
      </c>
      <c r="AC1" s="27" t="s">
        <v>2691</v>
      </c>
      <c r="AD1" s="27" t="s">
        <v>2692</v>
      </c>
      <c r="AE1" s="27" t="s">
        <v>2693</v>
      </c>
      <c r="AF1" s="27" t="s">
        <v>2694</v>
      </c>
      <c r="AG1" s="27" t="s">
        <v>2695</v>
      </c>
      <c r="AH1" s="27" t="s">
        <v>2696</v>
      </c>
      <c r="AI1" s="27" t="s">
        <v>2697</v>
      </c>
      <c r="AJ1" s="30" t="s">
        <v>2698</v>
      </c>
      <c r="AK1" s="30" t="s">
        <v>2699</v>
      </c>
      <c r="AL1" s="30" t="s">
        <v>2700</v>
      </c>
      <c r="AM1" s="30" t="s">
        <v>2701</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2702</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2703</v>
      </c>
      <c r="BE2" s="18" t="s">
        <v>2044</v>
      </c>
      <c r="BF2" s="18" t="s">
        <v>2045</v>
      </c>
      <c r="BG2" s="18" t="s">
        <v>2046</v>
      </c>
      <c r="BH2" s="18" t="s">
        <v>2115</v>
      </c>
      <c r="BI2" s="32" t="s">
        <v>2704</v>
      </c>
      <c r="BJ2" s="18" t="s">
        <v>928</v>
      </c>
      <c r="BK2" s="18" t="s">
        <v>2705</v>
      </c>
      <c r="BM2" s="1" t="s">
        <v>1310</v>
      </c>
    </row>
    <row r="3" customFormat="false" ht="15" hidden="false" customHeight="true" outlineLevel="0" collapsed="false">
      <c r="A3" s="5" t="s">
        <v>1018</v>
      </c>
      <c r="B3" s="5" t="s">
        <v>1018</v>
      </c>
      <c r="C3" s="5" t="s">
        <v>1019</v>
      </c>
      <c r="D3" s="5" t="n">
        <v>2011</v>
      </c>
      <c r="E3" s="5" t="s">
        <v>1020</v>
      </c>
      <c r="F3" s="5" t="s">
        <v>887</v>
      </c>
      <c r="G3" s="5" t="s">
        <v>1023</v>
      </c>
      <c r="H3" s="5" t="n">
        <v>29.017</v>
      </c>
      <c r="I3" s="5" t="n">
        <v>77.75</v>
      </c>
      <c r="J3" s="5" t="s">
        <v>83</v>
      </c>
      <c r="K3" s="5" t="s">
        <v>2706</v>
      </c>
      <c r="L3" s="5" t="s">
        <v>872</v>
      </c>
      <c r="M3" s="5" t="s">
        <v>85</v>
      </c>
      <c r="N3" s="5" t="s">
        <v>86</v>
      </c>
      <c r="O3" s="5" t="s">
        <v>2707</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8</v>
      </c>
      <c r="AO3" s="5" t="n">
        <v>3</v>
      </c>
      <c r="AP3" s="5" t="n">
        <f aca="false">IF(AND(N(AN3)&gt;0,N(AO3)&gt;0),SQRT(2*AN3/AO3),"")</f>
        <v>2.3094010767585</v>
      </c>
      <c r="AQ3" s="5" t="n">
        <v>19</v>
      </c>
      <c r="AR3" s="5" t="n">
        <v>2</v>
      </c>
      <c r="AS3" s="5" t="n">
        <v>43</v>
      </c>
      <c r="AT3" s="5" t="n">
        <v>800</v>
      </c>
      <c r="AU3" s="5" t="n">
        <v>29.017</v>
      </c>
      <c r="AV3" s="5" t="n">
        <v>1</v>
      </c>
      <c r="AW3" s="5"/>
      <c r="AX3" s="5"/>
      <c r="AY3" s="5" t="n">
        <v>8.1</v>
      </c>
      <c r="AZ3" s="5"/>
      <c r="BA3" s="5"/>
      <c r="BB3" s="5" t="n">
        <v>55</v>
      </c>
      <c r="BC3" s="5" t="n">
        <v>26</v>
      </c>
      <c r="BD3" s="5" t="s">
        <v>2708</v>
      </c>
      <c r="BE3" s="5" t="s">
        <v>2099</v>
      </c>
      <c r="BF3" s="5" t="s">
        <v>2709</v>
      </c>
      <c r="BG3" s="5" t="s">
        <v>2101</v>
      </c>
      <c r="BH3" s="5" t="s">
        <v>2047</v>
      </c>
      <c r="BI3" s="23" t="s">
        <v>2710</v>
      </c>
      <c r="BJ3" s="5" t="s">
        <v>1038</v>
      </c>
      <c r="BK3" s="5" t="s">
        <v>2711</v>
      </c>
    </row>
    <row r="4" customFormat="false" ht="15" hidden="false" customHeight="true" outlineLevel="0" collapsed="false">
      <c r="A4" s="5" t="s">
        <v>1018</v>
      </c>
      <c r="B4" s="5" t="s">
        <v>1018</v>
      </c>
      <c r="C4" s="5" t="s">
        <v>1019</v>
      </c>
      <c r="D4" s="5" t="n">
        <v>2011</v>
      </c>
      <c r="E4" s="5" t="s">
        <v>1020</v>
      </c>
      <c r="F4" s="5" t="s">
        <v>887</v>
      </c>
      <c r="G4" s="5" t="s">
        <v>1023</v>
      </c>
      <c r="H4" s="5" t="n">
        <v>29.017</v>
      </c>
      <c r="I4" s="5" t="n">
        <v>77.75</v>
      </c>
      <c r="J4" s="5" t="s">
        <v>83</v>
      </c>
      <c r="K4" s="5" t="s">
        <v>2706</v>
      </c>
      <c r="L4" s="5" t="s">
        <v>872</v>
      </c>
      <c r="M4" s="5" t="s">
        <v>85</v>
      </c>
      <c r="N4" s="5" t="s">
        <v>86</v>
      </c>
      <c r="O4" s="5" t="s">
        <v>2707</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8</v>
      </c>
      <c r="AO4" s="5" t="n">
        <v>3</v>
      </c>
      <c r="AP4" s="5" t="n">
        <f aca="false">IF(AND(N(AN4)&gt;0,N(AO4)&gt;0),SQRT(2*AN4/AO4),"")</f>
        <v>2.3094010767585</v>
      </c>
      <c r="AQ4" s="5" t="n">
        <v>19</v>
      </c>
      <c r="AR4" s="5" t="n">
        <v>2</v>
      </c>
      <c r="AS4" s="5" t="n">
        <v>43</v>
      </c>
      <c r="AT4" s="5" t="n">
        <v>800</v>
      </c>
      <c r="AU4" s="5" t="n">
        <v>29.017</v>
      </c>
      <c r="AV4" s="5" t="n">
        <v>1</v>
      </c>
      <c r="AW4" s="5"/>
      <c r="AX4" s="5"/>
      <c r="AY4" s="5" t="n">
        <v>8.1</v>
      </c>
      <c r="AZ4" s="5"/>
      <c r="BA4" s="5"/>
      <c r="BB4" s="5" t="n">
        <v>55</v>
      </c>
      <c r="BC4" s="5" t="n">
        <v>26</v>
      </c>
      <c r="BD4" s="5" t="s">
        <v>2708</v>
      </c>
      <c r="BE4" s="5" t="s">
        <v>2099</v>
      </c>
      <c r="BF4" s="5" t="s">
        <v>2709</v>
      </c>
      <c r="BG4" s="5" t="s">
        <v>2101</v>
      </c>
      <c r="BH4" s="5" t="s">
        <v>2047</v>
      </c>
      <c r="BI4" s="23" t="s">
        <v>2712</v>
      </c>
      <c r="BJ4" s="5" t="s">
        <v>1038</v>
      </c>
      <c r="BK4" s="5" t="s">
        <v>2711</v>
      </c>
    </row>
    <row r="5" customFormat="false" ht="14.25" hidden="false" customHeight="true" outlineLevel="0" collapsed="false">
      <c r="A5" s="5" t="s">
        <v>1018</v>
      </c>
      <c r="B5" s="5" t="s">
        <v>1018</v>
      </c>
      <c r="C5" s="5" t="s">
        <v>1019</v>
      </c>
      <c r="D5" s="5" t="n">
        <v>2011</v>
      </c>
      <c r="E5" s="5" t="s">
        <v>1020</v>
      </c>
      <c r="F5" s="5" t="s">
        <v>887</v>
      </c>
      <c r="G5" s="5" t="s">
        <v>1023</v>
      </c>
      <c r="H5" s="5" t="n">
        <v>29.017</v>
      </c>
      <c r="I5" s="5" t="n">
        <v>77.75</v>
      </c>
      <c r="J5" s="5" t="s">
        <v>83</v>
      </c>
      <c r="K5" s="5" t="s">
        <v>2459</v>
      </c>
      <c r="L5" s="5" t="s">
        <v>872</v>
      </c>
      <c r="M5" s="5" t="s">
        <v>85</v>
      </c>
      <c r="N5" s="5" t="s">
        <v>86</v>
      </c>
      <c r="O5" s="5" t="s">
        <v>2707</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8</v>
      </c>
      <c r="AO5" s="5" t="n">
        <v>3</v>
      </c>
      <c r="AP5" s="5" t="n">
        <f aca="false">IF(AND(N(AN5)&gt;0,N(AO5)&gt;0),SQRT(2*AN5/AO5),"")</f>
        <v>2.3094010767585</v>
      </c>
      <c r="AQ5" s="5" t="n">
        <v>19</v>
      </c>
      <c r="AR5" s="5" t="n">
        <v>2</v>
      </c>
      <c r="AS5" s="5" t="n">
        <v>43</v>
      </c>
      <c r="AT5" s="5" t="n">
        <v>800</v>
      </c>
      <c r="AU5" s="5" t="n">
        <v>29.017</v>
      </c>
      <c r="AV5" s="5" t="n">
        <v>2</v>
      </c>
      <c r="AW5" s="5"/>
      <c r="AX5" s="5"/>
      <c r="AY5" s="5" t="n">
        <v>8.1</v>
      </c>
      <c r="AZ5" s="5"/>
      <c r="BA5" s="5"/>
      <c r="BB5" s="5" t="n">
        <v>55</v>
      </c>
      <c r="BC5" s="5" t="n">
        <v>26</v>
      </c>
      <c r="BD5" s="5" t="s">
        <v>2708</v>
      </c>
      <c r="BE5" s="5" t="s">
        <v>2099</v>
      </c>
      <c r="BF5" s="5" t="s">
        <v>2713</v>
      </c>
      <c r="BG5" s="5" t="s">
        <v>2101</v>
      </c>
      <c r="BH5" s="5" t="s">
        <v>2047</v>
      </c>
      <c r="BI5" s="23" t="s">
        <v>2710</v>
      </c>
      <c r="BJ5" s="5" t="s">
        <v>1038</v>
      </c>
      <c r="BK5" s="5" t="s">
        <v>2711</v>
      </c>
    </row>
    <row r="6" customFormat="false" ht="14.25" hidden="false" customHeight="true" outlineLevel="0" collapsed="false">
      <c r="A6" s="5" t="s">
        <v>1018</v>
      </c>
      <c r="B6" s="5" t="s">
        <v>1018</v>
      </c>
      <c r="C6" s="5" t="s">
        <v>1019</v>
      </c>
      <c r="D6" s="5" t="n">
        <v>2011</v>
      </c>
      <c r="E6" s="5" t="s">
        <v>1020</v>
      </c>
      <c r="F6" s="5" t="s">
        <v>887</v>
      </c>
      <c r="G6" s="5" t="s">
        <v>1023</v>
      </c>
      <c r="H6" s="5" t="n">
        <v>29.017</v>
      </c>
      <c r="I6" s="5" t="n">
        <v>77.75</v>
      </c>
      <c r="J6" s="5" t="s">
        <v>83</v>
      </c>
      <c r="K6" s="5" t="s">
        <v>2459</v>
      </c>
      <c r="L6" s="5" t="s">
        <v>872</v>
      </c>
      <c r="M6" s="5" t="s">
        <v>85</v>
      </c>
      <c r="N6" s="5" t="s">
        <v>86</v>
      </c>
      <c r="O6" s="5" t="s">
        <v>2707</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8</v>
      </c>
      <c r="AO6" s="5" t="n">
        <v>3</v>
      </c>
      <c r="AP6" s="5" t="n">
        <f aca="false">IF(AND(N(AN6)&gt;0,N(AO6)&gt;0),SQRT(2*AN6/AO6),"")</f>
        <v>2.3094010767585</v>
      </c>
      <c r="AQ6" s="5" t="n">
        <v>19</v>
      </c>
      <c r="AR6" s="5" t="n">
        <v>2</v>
      </c>
      <c r="AS6" s="5" t="n">
        <v>43</v>
      </c>
      <c r="AT6" s="5" t="n">
        <v>800</v>
      </c>
      <c r="AU6" s="5" t="n">
        <v>29.017</v>
      </c>
      <c r="AV6" s="5" t="n">
        <v>2</v>
      </c>
      <c r="AW6" s="5"/>
      <c r="AX6" s="5"/>
      <c r="AY6" s="5" t="n">
        <v>8.1</v>
      </c>
      <c r="AZ6" s="5"/>
      <c r="BA6" s="5"/>
      <c r="BB6" s="5" t="n">
        <v>55</v>
      </c>
      <c r="BC6" s="5" t="n">
        <v>26</v>
      </c>
      <c r="BD6" s="5" t="s">
        <v>2708</v>
      </c>
      <c r="BE6" s="5" t="s">
        <v>2099</v>
      </c>
      <c r="BF6" s="5" t="s">
        <v>2713</v>
      </c>
      <c r="BG6" s="5" t="s">
        <v>2101</v>
      </c>
      <c r="BH6" s="5" t="s">
        <v>2047</v>
      </c>
      <c r="BI6" s="23" t="s">
        <v>2712</v>
      </c>
      <c r="BJ6" s="5" t="s">
        <v>1038</v>
      </c>
      <c r="BK6" s="5" t="s">
        <v>2711</v>
      </c>
    </row>
    <row r="7" customFormat="false" ht="14.25" hidden="false" customHeight="true" outlineLevel="0" collapsed="false">
      <c r="A7" s="5" t="s">
        <v>1018</v>
      </c>
      <c r="B7" s="5" t="s">
        <v>1018</v>
      </c>
      <c r="C7" s="5" t="s">
        <v>1019</v>
      </c>
      <c r="D7" s="5" t="n">
        <v>2011</v>
      </c>
      <c r="E7" s="5" t="s">
        <v>1020</v>
      </c>
      <c r="F7" s="5" t="s">
        <v>887</v>
      </c>
      <c r="G7" s="5" t="s">
        <v>1023</v>
      </c>
      <c r="H7" s="5" t="n">
        <v>29.017</v>
      </c>
      <c r="I7" s="5" t="n">
        <v>77.75</v>
      </c>
      <c r="J7" s="5" t="s">
        <v>83</v>
      </c>
      <c r="K7" s="5" t="s">
        <v>2466</v>
      </c>
      <c r="L7" s="5" t="s">
        <v>84</v>
      </c>
      <c r="M7" s="5" t="s">
        <v>85</v>
      </c>
      <c r="N7" s="5" t="s">
        <v>86</v>
      </c>
      <c r="O7" s="5" t="s">
        <v>2707</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8</v>
      </c>
      <c r="AO7" s="5" t="n">
        <v>3</v>
      </c>
      <c r="AP7" s="5" t="n">
        <f aca="false">IF(AND(N(AN7)&gt;0,N(AO7)&gt;0),SQRT(2*AN7/AO7),"")</f>
        <v>2.3094010767585</v>
      </c>
      <c r="AQ7" s="5" t="n">
        <v>19</v>
      </c>
      <c r="AR7" s="5" t="n">
        <v>2</v>
      </c>
      <c r="AS7" s="5" t="n">
        <v>43</v>
      </c>
      <c r="AT7" s="5" t="n">
        <v>800</v>
      </c>
      <c r="AU7" s="5" t="n">
        <v>29.017</v>
      </c>
      <c r="AV7" s="5" t="n">
        <v>4</v>
      </c>
      <c r="AW7" s="5"/>
      <c r="AX7" s="5"/>
      <c r="AY7" s="5" t="n">
        <v>8.1</v>
      </c>
      <c r="AZ7" s="5"/>
      <c r="BA7" s="5"/>
      <c r="BB7" s="5" t="n">
        <v>55</v>
      </c>
      <c r="BC7" s="5" t="n">
        <v>26</v>
      </c>
      <c r="BD7" s="5" t="s">
        <v>2708</v>
      </c>
      <c r="BE7" s="5" t="s">
        <v>2099</v>
      </c>
      <c r="BF7" s="5" t="s">
        <v>2714</v>
      </c>
      <c r="BG7" s="5" t="s">
        <v>2101</v>
      </c>
      <c r="BH7" s="5" t="s">
        <v>2047</v>
      </c>
      <c r="BI7" s="23" t="s">
        <v>2710</v>
      </c>
      <c r="BJ7" s="5" t="s">
        <v>1038</v>
      </c>
      <c r="BK7" s="5" t="s">
        <v>2711</v>
      </c>
    </row>
    <row r="8" customFormat="false" ht="14.25" hidden="false" customHeight="true" outlineLevel="0" collapsed="false">
      <c r="A8" s="5" t="s">
        <v>1018</v>
      </c>
      <c r="B8" s="5" t="s">
        <v>1018</v>
      </c>
      <c r="C8" s="5" t="s">
        <v>1019</v>
      </c>
      <c r="D8" s="5" t="n">
        <v>2011</v>
      </c>
      <c r="E8" s="5" t="s">
        <v>1020</v>
      </c>
      <c r="F8" s="5" t="s">
        <v>887</v>
      </c>
      <c r="G8" s="5" t="s">
        <v>1023</v>
      </c>
      <c r="H8" s="5" t="n">
        <v>29.017</v>
      </c>
      <c r="I8" s="5" t="n">
        <v>77.75</v>
      </c>
      <c r="J8" s="5" t="s">
        <v>83</v>
      </c>
      <c r="K8" s="5" t="s">
        <v>2466</v>
      </c>
      <c r="L8" s="5" t="s">
        <v>84</v>
      </c>
      <c r="M8" s="5" t="s">
        <v>85</v>
      </c>
      <c r="N8" s="5" t="s">
        <v>86</v>
      </c>
      <c r="O8" s="5" t="s">
        <v>2707</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8</v>
      </c>
      <c r="AO8" s="5" t="n">
        <v>3</v>
      </c>
      <c r="AP8" s="5" t="n">
        <f aca="false">IF(AND(N(AN8)&gt;0,N(AO8)&gt;0),SQRT(2*AN8/AO8),"")</f>
        <v>2.3094010767585</v>
      </c>
      <c r="AQ8" s="5" t="n">
        <v>19</v>
      </c>
      <c r="AR8" s="5" t="n">
        <v>2</v>
      </c>
      <c r="AS8" s="5" t="n">
        <v>43</v>
      </c>
      <c r="AT8" s="5" t="n">
        <v>800</v>
      </c>
      <c r="AU8" s="5" t="n">
        <v>29.017</v>
      </c>
      <c r="AV8" s="5" t="n">
        <v>4</v>
      </c>
      <c r="AW8" s="5"/>
      <c r="AX8" s="5"/>
      <c r="AY8" s="5" t="n">
        <v>8.1</v>
      </c>
      <c r="AZ8" s="5"/>
      <c r="BA8" s="5"/>
      <c r="BB8" s="5" t="n">
        <v>55</v>
      </c>
      <c r="BC8" s="5" t="n">
        <v>26</v>
      </c>
      <c r="BD8" s="5" t="s">
        <v>2708</v>
      </c>
      <c r="BE8" s="5" t="s">
        <v>2099</v>
      </c>
      <c r="BF8" s="5" t="s">
        <v>2714</v>
      </c>
      <c r="BG8" s="5" t="s">
        <v>2101</v>
      </c>
      <c r="BH8" s="5" t="s">
        <v>2047</v>
      </c>
      <c r="BI8" s="23" t="s">
        <v>2712</v>
      </c>
      <c r="BJ8" s="5" t="s">
        <v>1038</v>
      </c>
      <c r="BK8" s="5" t="s">
        <v>2711</v>
      </c>
    </row>
    <row r="9" customFormat="false" ht="14.25" hidden="false" customHeight="true" outlineLevel="0" collapsed="false">
      <c r="A9" s="5" t="s">
        <v>1018</v>
      </c>
      <c r="B9" s="5" t="s">
        <v>1018</v>
      </c>
      <c r="C9" s="5" t="s">
        <v>1019</v>
      </c>
      <c r="D9" s="5" t="n">
        <v>2011</v>
      </c>
      <c r="E9" s="5" t="s">
        <v>1020</v>
      </c>
      <c r="F9" s="5" t="s">
        <v>887</v>
      </c>
      <c r="G9" s="5" t="s">
        <v>1023</v>
      </c>
      <c r="H9" s="5" t="n">
        <v>29.017</v>
      </c>
      <c r="I9" s="5" t="n">
        <v>77.75</v>
      </c>
      <c r="J9" s="5" t="s">
        <v>83</v>
      </c>
      <c r="K9" s="5" t="s">
        <v>2183</v>
      </c>
      <c r="L9" s="5" t="s">
        <v>84</v>
      </c>
      <c r="M9" s="5" t="s">
        <v>85</v>
      </c>
      <c r="N9" s="5" t="s">
        <v>86</v>
      </c>
      <c r="O9" s="5" t="s">
        <v>2707</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8</v>
      </c>
      <c r="AO9" s="5" t="n">
        <v>3</v>
      </c>
      <c r="AP9" s="5" t="n">
        <f aca="false">IF(AND(N(AN9)&gt;0,N(AO9)&gt;0),SQRT(2*AN9/AO9),"")</f>
        <v>2.3094010767585</v>
      </c>
      <c r="AQ9" s="5" t="n">
        <v>19</v>
      </c>
      <c r="AR9" s="5" t="n">
        <v>2</v>
      </c>
      <c r="AS9" s="5" t="n">
        <v>43</v>
      </c>
      <c r="AT9" s="5" t="n">
        <v>800</v>
      </c>
      <c r="AU9" s="5" t="n">
        <v>29.017</v>
      </c>
      <c r="AV9" s="5" t="n">
        <v>5</v>
      </c>
      <c r="AW9" s="5"/>
      <c r="AX9" s="5"/>
      <c r="AY9" s="5" t="n">
        <v>8.1</v>
      </c>
      <c r="AZ9" s="5"/>
      <c r="BA9" s="5"/>
      <c r="BB9" s="5" t="n">
        <v>55</v>
      </c>
      <c r="BC9" s="5" t="n">
        <v>26</v>
      </c>
      <c r="BD9" s="5" t="s">
        <v>2708</v>
      </c>
      <c r="BE9" s="5" t="s">
        <v>2099</v>
      </c>
      <c r="BF9" s="5" t="s">
        <v>2715</v>
      </c>
      <c r="BG9" s="5" t="s">
        <v>2101</v>
      </c>
      <c r="BH9" s="5" t="s">
        <v>2047</v>
      </c>
      <c r="BI9" s="23" t="s">
        <v>2710</v>
      </c>
      <c r="BJ9" s="5" t="s">
        <v>1038</v>
      </c>
      <c r="BK9" s="5" t="s">
        <v>2711</v>
      </c>
    </row>
    <row r="10" customFormat="false" ht="14.25" hidden="false" customHeight="true" outlineLevel="0" collapsed="false">
      <c r="A10" s="5" t="s">
        <v>1018</v>
      </c>
      <c r="B10" s="5" t="s">
        <v>1018</v>
      </c>
      <c r="C10" s="5" t="s">
        <v>1019</v>
      </c>
      <c r="D10" s="5" t="n">
        <v>2011</v>
      </c>
      <c r="E10" s="5" t="s">
        <v>1020</v>
      </c>
      <c r="F10" s="5" t="s">
        <v>887</v>
      </c>
      <c r="G10" s="5" t="s">
        <v>1023</v>
      </c>
      <c r="H10" s="5" t="n">
        <v>29.017</v>
      </c>
      <c r="I10" s="5" t="n">
        <v>77.75</v>
      </c>
      <c r="J10" s="5" t="s">
        <v>83</v>
      </c>
      <c r="K10" s="5" t="s">
        <v>2183</v>
      </c>
      <c r="L10" s="5" t="s">
        <v>84</v>
      </c>
      <c r="M10" s="5" t="s">
        <v>85</v>
      </c>
      <c r="N10" s="5" t="s">
        <v>86</v>
      </c>
      <c r="O10" s="5" t="s">
        <v>2707</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8</v>
      </c>
      <c r="AO10" s="5" t="n">
        <v>3</v>
      </c>
      <c r="AP10" s="5" t="n">
        <f aca="false">IF(AND(N(AN10)&gt;0,N(AO10)&gt;0),SQRT(2*AN10/AO10),"")</f>
        <v>2.3094010767585</v>
      </c>
      <c r="AQ10" s="5" t="n">
        <v>19</v>
      </c>
      <c r="AR10" s="5" t="n">
        <v>2</v>
      </c>
      <c r="AS10" s="5" t="n">
        <v>43</v>
      </c>
      <c r="AT10" s="5" t="n">
        <v>800</v>
      </c>
      <c r="AU10" s="5" t="n">
        <v>29.017</v>
      </c>
      <c r="AV10" s="5" t="n">
        <v>5</v>
      </c>
      <c r="AW10" s="5"/>
      <c r="AX10" s="5"/>
      <c r="AY10" s="5" t="n">
        <v>8.1</v>
      </c>
      <c r="AZ10" s="5"/>
      <c r="BA10" s="5"/>
      <c r="BB10" s="5" t="n">
        <v>55</v>
      </c>
      <c r="BC10" s="5" t="n">
        <v>26</v>
      </c>
      <c r="BD10" s="5" t="s">
        <v>2708</v>
      </c>
      <c r="BE10" s="5" t="s">
        <v>2099</v>
      </c>
      <c r="BF10" s="5" t="s">
        <v>2715</v>
      </c>
      <c r="BG10" s="5" t="s">
        <v>2101</v>
      </c>
      <c r="BH10" s="5" t="s">
        <v>2047</v>
      </c>
      <c r="BI10" s="23" t="s">
        <v>2712</v>
      </c>
      <c r="BJ10" s="5" t="s">
        <v>1038</v>
      </c>
      <c r="BK10" s="5" t="s">
        <v>2711</v>
      </c>
    </row>
    <row r="11" customFormat="false" ht="14.25" hidden="false" customHeight="true" outlineLevel="0" collapsed="false">
      <c r="A11" s="5" t="s">
        <v>1018</v>
      </c>
      <c r="B11" s="5" t="s">
        <v>1018</v>
      </c>
      <c r="C11" s="5" t="s">
        <v>1019</v>
      </c>
      <c r="D11" s="5" t="n">
        <v>2011</v>
      </c>
      <c r="E11" s="5" t="s">
        <v>1020</v>
      </c>
      <c r="F11" s="5" t="s">
        <v>887</v>
      </c>
      <c r="G11" s="5" t="s">
        <v>1023</v>
      </c>
      <c r="H11" s="5" t="n">
        <v>29.017</v>
      </c>
      <c r="I11" s="5" t="n">
        <v>77.75</v>
      </c>
      <c r="J11" s="5" t="s">
        <v>83</v>
      </c>
      <c r="K11" s="5" t="s">
        <v>2052</v>
      </c>
      <c r="L11" s="5" t="s">
        <v>84</v>
      </c>
      <c r="M11" s="5" t="s">
        <v>85</v>
      </c>
      <c r="N11" s="5" t="s">
        <v>86</v>
      </c>
      <c r="O11" s="5" t="s">
        <v>2707</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8</v>
      </c>
      <c r="AO11" s="5" t="n">
        <v>3</v>
      </c>
      <c r="AP11" s="5" t="n">
        <f aca="false">IF(AND(N(AN11)&gt;0,N(AO11)&gt;0),SQRT(2*AN11/AO11),"")</f>
        <v>2.3094010767585</v>
      </c>
      <c r="AQ11" s="5" t="n">
        <v>19</v>
      </c>
      <c r="AR11" s="5" t="n">
        <v>2</v>
      </c>
      <c r="AS11" s="5" t="n">
        <v>43</v>
      </c>
      <c r="AT11" s="5" t="n">
        <v>800</v>
      </c>
      <c r="AU11" s="5" t="n">
        <v>29.017</v>
      </c>
      <c r="AV11" s="5" t="n">
        <v>6</v>
      </c>
      <c r="AW11" s="5"/>
      <c r="AX11" s="5"/>
      <c r="AY11" s="5" t="n">
        <v>8.1</v>
      </c>
      <c r="AZ11" s="5"/>
      <c r="BA11" s="5"/>
      <c r="BB11" s="5" t="n">
        <v>55</v>
      </c>
      <c r="BC11" s="5" t="n">
        <v>26</v>
      </c>
      <c r="BD11" s="5" t="s">
        <v>2708</v>
      </c>
      <c r="BE11" s="5" t="s">
        <v>2099</v>
      </c>
      <c r="BF11" s="5" t="s">
        <v>2716</v>
      </c>
      <c r="BG11" s="5" t="s">
        <v>2101</v>
      </c>
      <c r="BH11" s="5" t="s">
        <v>2047</v>
      </c>
      <c r="BI11" s="23" t="s">
        <v>2710</v>
      </c>
      <c r="BJ11" s="5" t="s">
        <v>1038</v>
      </c>
      <c r="BK11" s="5" t="s">
        <v>2711</v>
      </c>
    </row>
    <row r="12" customFormat="false" ht="14.25" hidden="false" customHeight="true" outlineLevel="0" collapsed="false">
      <c r="A12" s="5" t="s">
        <v>1018</v>
      </c>
      <c r="B12" s="5" t="s">
        <v>1018</v>
      </c>
      <c r="C12" s="5" t="s">
        <v>1019</v>
      </c>
      <c r="D12" s="5" t="n">
        <v>2011</v>
      </c>
      <c r="E12" s="5" t="s">
        <v>1020</v>
      </c>
      <c r="F12" s="5" t="s">
        <v>887</v>
      </c>
      <c r="G12" s="5" t="s">
        <v>1023</v>
      </c>
      <c r="H12" s="5" t="n">
        <v>29.017</v>
      </c>
      <c r="I12" s="5" t="n">
        <v>77.75</v>
      </c>
      <c r="J12" s="5" t="s">
        <v>83</v>
      </c>
      <c r="K12" s="5" t="s">
        <v>2052</v>
      </c>
      <c r="L12" s="5" t="s">
        <v>84</v>
      </c>
      <c r="M12" s="5" t="s">
        <v>85</v>
      </c>
      <c r="N12" s="5" t="s">
        <v>86</v>
      </c>
      <c r="O12" s="5" t="s">
        <v>2707</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8</v>
      </c>
      <c r="AO12" s="5" t="n">
        <v>3</v>
      </c>
      <c r="AP12" s="5" t="n">
        <f aca="false">IF(AND(N(AN12)&gt;0,N(AO12)&gt;0),SQRT(2*AN12/AO12),"")</f>
        <v>2.3094010767585</v>
      </c>
      <c r="AQ12" s="5" t="n">
        <v>19</v>
      </c>
      <c r="AR12" s="5" t="n">
        <v>2</v>
      </c>
      <c r="AS12" s="5" t="n">
        <v>43</v>
      </c>
      <c r="AT12" s="5" t="n">
        <v>800</v>
      </c>
      <c r="AU12" s="5" t="n">
        <v>29.017</v>
      </c>
      <c r="AV12" s="5" t="n">
        <v>6</v>
      </c>
      <c r="AW12" s="5"/>
      <c r="AX12" s="5"/>
      <c r="AY12" s="5" t="n">
        <v>8.1</v>
      </c>
      <c r="AZ12" s="5"/>
      <c r="BA12" s="5"/>
      <c r="BB12" s="5" t="n">
        <v>55</v>
      </c>
      <c r="BC12" s="5" t="n">
        <v>26</v>
      </c>
      <c r="BD12" s="5" t="s">
        <v>2708</v>
      </c>
      <c r="BE12" s="5" t="s">
        <v>2099</v>
      </c>
      <c r="BF12" s="5" t="s">
        <v>2716</v>
      </c>
      <c r="BG12" s="5" t="s">
        <v>2101</v>
      </c>
      <c r="BH12" s="5" t="s">
        <v>2047</v>
      </c>
      <c r="BI12" s="23" t="s">
        <v>2712</v>
      </c>
      <c r="BJ12" s="5" t="s">
        <v>1038</v>
      </c>
      <c r="BK12" s="5" t="s">
        <v>2711</v>
      </c>
    </row>
    <row r="13" customFormat="false" ht="14.25" hidden="false" customHeight="true" outlineLevel="0" collapsed="false">
      <c r="A13" s="5" t="s">
        <v>1018</v>
      </c>
      <c r="B13" s="5" t="s">
        <v>1018</v>
      </c>
      <c r="C13" s="5" t="s">
        <v>1019</v>
      </c>
      <c r="D13" s="5" t="n">
        <v>2011</v>
      </c>
      <c r="E13" s="5" t="s">
        <v>1020</v>
      </c>
      <c r="F13" s="5" t="s">
        <v>887</v>
      </c>
      <c r="G13" s="5" t="s">
        <v>1023</v>
      </c>
      <c r="H13" s="5" t="n">
        <v>29.017</v>
      </c>
      <c r="I13" s="5" t="n">
        <v>77.75</v>
      </c>
      <c r="J13" s="5" t="s">
        <v>83</v>
      </c>
      <c r="K13" s="5" t="s">
        <v>2355</v>
      </c>
      <c r="L13" s="5" t="s">
        <v>84</v>
      </c>
      <c r="M13" s="5" t="s">
        <v>85</v>
      </c>
      <c r="N13" s="5" t="s">
        <v>86</v>
      </c>
      <c r="O13" s="5" t="s">
        <v>2707</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8</v>
      </c>
      <c r="AO13" s="5" t="n">
        <v>3</v>
      </c>
      <c r="AP13" s="5" t="n">
        <f aca="false">IF(AND(N(AN13)&gt;0,N(AO13)&gt;0),SQRT(2*AN13/AO13),"")</f>
        <v>2.3094010767585</v>
      </c>
      <c r="AQ13" s="5" t="n">
        <v>19</v>
      </c>
      <c r="AR13" s="5" t="n">
        <v>2</v>
      </c>
      <c r="AS13" s="5" t="n">
        <v>43</v>
      </c>
      <c r="AT13" s="5" t="n">
        <v>800</v>
      </c>
      <c r="AU13" s="5" t="n">
        <v>29.017</v>
      </c>
      <c r="AV13" s="5" t="n">
        <v>7</v>
      </c>
      <c r="AW13" s="5"/>
      <c r="AX13" s="5"/>
      <c r="AY13" s="5" t="n">
        <v>8.1</v>
      </c>
      <c r="AZ13" s="5"/>
      <c r="BA13" s="5"/>
      <c r="BB13" s="5" t="n">
        <v>55</v>
      </c>
      <c r="BC13" s="5" t="n">
        <v>26</v>
      </c>
      <c r="BD13" s="5" t="s">
        <v>2708</v>
      </c>
      <c r="BE13" s="5" t="s">
        <v>2099</v>
      </c>
      <c r="BF13" s="5" t="s">
        <v>2717</v>
      </c>
      <c r="BG13" s="5" t="s">
        <v>2101</v>
      </c>
      <c r="BH13" s="5" t="s">
        <v>2047</v>
      </c>
      <c r="BI13" s="23" t="s">
        <v>2710</v>
      </c>
      <c r="BJ13" s="5" t="s">
        <v>1038</v>
      </c>
      <c r="BK13" s="5" t="s">
        <v>2711</v>
      </c>
    </row>
    <row r="14" customFormat="false" ht="14.25" hidden="false" customHeight="true" outlineLevel="0" collapsed="false">
      <c r="A14" s="5" t="s">
        <v>1018</v>
      </c>
      <c r="B14" s="5" t="s">
        <v>1018</v>
      </c>
      <c r="C14" s="5" t="s">
        <v>1019</v>
      </c>
      <c r="D14" s="5" t="n">
        <v>2011</v>
      </c>
      <c r="E14" s="5" t="s">
        <v>1020</v>
      </c>
      <c r="F14" s="5" t="s">
        <v>887</v>
      </c>
      <c r="G14" s="5" t="s">
        <v>1023</v>
      </c>
      <c r="H14" s="5" t="n">
        <v>29.017</v>
      </c>
      <c r="I14" s="5" t="n">
        <v>77.75</v>
      </c>
      <c r="J14" s="5" t="s">
        <v>83</v>
      </c>
      <c r="K14" s="5" t="s">
        <v>2355</v>
      </c>
      <c r="L14" s="5" t="s">
        <v>84</v>
      </c>
      <c r="M14" s="5" t="s">
        <v>85</v>
      </c>
      <c r="N14" s="5" t="s">
        <v>86</v>
      </c>
      <c r="O14" s="5" t="s">
        <v>2707</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8</v>
      </c>
      <c r="AO14" s="5" t="n">
        <v>3</v>
      </c>
      <c r="AP14" s="5" t="n">
        <f aca="false">IF(AND(N(AN14)&gt;0,N(AO14)&gt;0),SQRT(2*AN14/AO14),"")</f>
        <v>2.3094010767585</v>
      </c>
      <c r="AQ14" s="5" t="n">
        <v>19</v>
      </c>
      <c r="AR14" s="5" t="n">
        <v>2</v>
      </c>
      <c r="AS14" s="5" t="n">
        <v>43</v>
      </c>
      <c r="AT14" s="5" t="n">
        <v>800</v>
      </c>
      <c r="AU14" s="5" t="n">
        <v>29.017</v>
      </c>
      <c r="AV14" s="5" t="n">
        <v>7</v>
      </c>
      <c r="AW14" s="5"/>
      <c r="AX14" s="5"/>
      <c r="AY14" s="5" t="n">
        <v>8.1</v>
      </c>
      <c r="AZ14" s="5"/>
      <c r="BA14" s="5"/>
      <c r="BB14" s="5" t="n">
        <v>55</v>
      </c>
      <c r="BC14" s="5" t="n">
        <v>26</v>
      </c>
      <c r="BD14" s="5" t="s">
        <v>2708</v>
      </c>
      <c r="BE14" s="5" t="s">
        <v>2099</v>
      </c>
      <c r="BF14" s="5" t="s">
        <v>2717</v>
      </c>
      <c r="BG14" s="5" t="s">
        <v>2101</v>
      </c>
      <c r="BH14" s="5" t="s">
        <v>2047</v>
      </c>
      <c r="BI14" s="23" t="s">
        <v>2712</v>
      </c>
      <c r="BJ14" s="5" t="s">
        <v>1038</v>
      </c>
      <c r="BK14" s="5" t="s">
        <v>2711</v>
      </c>
    </row>
    <row r="15" customFormat="false" ht="14.25" hidden="false" customHeight="true" outlineLevel="0" collapsed="false">
      <c r="A15" s="5" t="s">
        <v>1064</v>
      </c>
      <c r="B15" s="5" t="s">
        <v>1064</v>
      </c>
      <c r="C15" s="5" t="s">
        <v>1065</v>
      </c>
      <c r="D15" s="5" t="n">
        <v>2022</v>
      </c>
      <c r="E15" s="5" t="s">
        <v>80</v>
      </c>
      <c r="F15" s="5" t="s">
        <v>942</v>
      </c>
      <c r="G15" s="5" t="s">
        <v>943</v>
      </c>
      <c r="H15" s="5" t="n">
        <v>29.706</v>
      </c>
      <c r="I15" s="5" t="n">
        <v>76.956</v>
      </c>
      <c r="J15" s="5" t="s">
        <v>83</v>
      </c>
      <c r="K15" s="5" t="n">
        <v>2019</v>
      </c>
      <c r="L15" s="5" t="s">
        <v>84</v>
      </c>
      <c r="M15" s="5" t="s">
        <v>85</v>
      </c>
      <c r="N15" s="5" t="s">
        <v>86</v>
      </c>
      <c r="O15" s="5" t="s">
        <v>2718</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2708</v>
      </c>
      <c r="BE15" s="5" t="s">
        <v>2119</v>
      </c>
      <c r="BF15" s="5" t="s">
        <v>2120</v>
      </c>
      <c r="BG15" s="5" t="s">
        <v>2121</v>
      </c>
      <c r="BH15" s="5" t="s">
        <v>2102</v>
      </c>
      <c r="BI15" s="23" t="s">
        <v>2719</v>
      </c>
      <c r="BJ15" s="5" t="s">
        <v>1076</v>
      </c>
      <c r="BK15" s="5" t="s">
        <v>2720</v>
      </c>
    </row>
    <row r="16" customFormat="false" ht="14.25" hidden="false" customHeight="false" outlineLevel="0" collapsed="false">
      <c r="A16" s="24" t="n">
        <v>174</v>
      </c>
      <c r="B16" s="24" t="n">
        <v>174</v>
      </c>
      <c r="C16" s="24" t="s">
        <v>1152</v>
      </c>
      <c r="D16" s="24" t="n">
        <v>2017</v>
      </c>
      <c r="E16" s="24" t="s">
        <v>1153</v>
      </c>
      <c r="F16" s="24" t="s">
        <v>887</v>
      </c>
      <c r="G16" s="24" t="s">
        <v>1156</v>
      </c>
      <c r="H16" s="24" t="n">
        <v>29.067</v>
      </c>
      <c r="I16" s="24" t="n">
        <v>77.767</v>
      </c>
      <c r="J16" s="24" t="s">
        <v>83</v>
      </c>
      <c r="K16" s="24" t="s">
        <v>2183</v>
      </c>
      <c r="L16" s="24" t="s">
        <v>872</v>
      </c>
      <c r="M16" s="24" t="s">
        <v>85</v>
      </c>
      <c r="N16" s="24" t="s">
        <v>86</v>
      </c>
      <c r="O16" s="24" t="s">
        <v>2721</v>
      </c>
      <c r="P16" s="24" t="n">
        <f aca="false">ROUND(3.047/10,4)</f>
        <v>0.3047</v>
      </c>
      <c r="Q16" s="24"/>
      <c r="R16" s="24" t="n">
        <f aca="false">ROUND(2.933/10,4)</f>
        <v>0.2933</v>
      </c>
      <c r="S16" s="24"/>
      <c r="T16" s="24"/>
      <c r="U16" s="24"/>
      <c r="V16" s="24"/>
      <c r="W16" s="24"/>
      <c r="X16" s="24" t="n">
        <f aca="false">ROUND(2.619/10,4)</f>
        <v>0.2619</v>
      </c>
      <c r="Y16" s="24" t="n">
        <f aca="false">ROUND(2.409/10,4)</f>
        <v>0.2409</v>
      </c>
      <c r="Z16" s="24"/>
      <c r="AA16" s="24"/>
      <c r="AB16" s="24"/>
      <c r="AC16" s="24"/>
      <c r="AD16" s="24"/>
      <c r="AE16" s="24"/>
      <c r="AF16" s="24"/>
      <c r="AG16" s="24"/>
      <c r="AH16" s="24"/>
      <c r="AI16" s="24"/>
      <c r="AJ16" s="24"/>
      <c r="AK16" s="24"/>
      <c r="AL16" s="24"/>
      <c r="AM16" s="24"/>
      <c r="AN16" s="24" t="n">
        <v>2</v>
      </c>
      <c r="AO16" s="24" t="n">
        <v>3</v>
      </c>
      <c r="AP16" s="24" t="n">
        <f aca="false">IF(AND(N(AN16)&gt;0,N(AO16)&gt;0),SQRT(2*AN16/AO16),"")</f>
        <v>1.15470053837925</v>
      </c>
      <c r="AQ16" s="24" t="n">
        <v>16.5</v>
      </c>
      <c r="AR16" s="24" t="n">
        <v>5</v>
      </c>
      <c r="AS16" s="24" t="n">
        <v>46</v>
      </c>
      <c r="AT16" s="24" t="n">
        <v>863</v>
      </c>
      <c r="AU16" s="24" t="n">
        <v>29.067</v>
      </c>
      <c r="AV16" s="24" t="n">
        <v>2</v>
      </c>
      <c r="AW16" s="24"/>
      <c r="AX16" s="24"/>
      <c r="AY16" s="24" t="n">
        <v>8.1</v>
      </c>
      <c r="AZ16" s="24" t="n">
        <v>8.3</v>
      </c>
      <c r="BA16" s="24"/>
      <c r="BB16" s="24" t="n">
        <v>62</v>
      </c>
      <c r="BC16" s="24" t="n">
        <v>20.5</v>
      </c>
      <c r="BD16" s="24" t="s">
        <v>2722</v>
      </c>
      <c r="BE16" s="24" t="s">
        <v>2184</v>
      </c>
      <c r="BF16" s="24" t="s">
        <v>2185</v>
      </c>
      <c r="BG16" s="24" t="s">
        <v>2186</v>
      </c>
      <c r="BH16" s="24" t="s">
        <v>2723</v>
      </c>
      <c r="BI16" s="25" t="s">
        <v>2724</v>
      </c>
      <c r="BJ16" s="24" t="s">
        <v>1167</v>
      </c>
      <c r="BK16" s="24" t="s">
        <v>2725</v>
      </c>
    </row>
    <row r="17" customFormat="false" ht="14.25" hidden="false" customHeight="false" outlineLevel="0" collapsed="false">
      <c r="A17" s="24" t="n">
        <v>174</v>
      </c>
      <c r="B17" s="24" t="n">
        <v>174</v>
      </c>
      <c r="C17" s="24" t="s">
        <v>1152</v>
      </c>
      <c r="D17" s="24" t="n">
        <v>2017</v>
      </c>
      <c r="E17" s="24" t="s">
        <v>1153</v>
      </c>
      <c r="F17" s="24" t="s">
        <v>887</v>
      </c>
      <c r="G17" s="24" t="s">
        <v>1156</v>
      </c>
      <c r="H17" s="24" t="n">
        <v>29.067</v>
      </c>
      <c r="I17" s="24" t="n">
        <v>77.767</v>
      </c>
      <c r="J17" s="24" t="s">
        <v>83</v>
      </c>
      <c r="K17" s="24" t="s">
        <v>2183</v>
      </c>
      <c r="L17" s="24" t="s">
        <v>872</v>
      </c>
      <c r="M17" s="24" t="s">
        <v>85</v>
      </c>
      <c r="N17" s="24" t="s">
        <v>86</v>
      </c>
      <c r="O17" s="24" t="s">
        <v>2721</v>
      </c>
      <c r="P17" s="24" t="n">
        <f aca="false">ROUND(3.338/10,4)</f>
        <v>0.3338</v>
      </c>
      <c r="Q17" s="24"/>
      <c r="R17" s="24" t="n">
        <f aca="false">ROUND(2.977/10,4)</f>
        <v>0.2977</v>
      </c>
      <c r="S17" s="24"/>
      <c r="T17" s="24"/>
      <c r="U17" s="24"/>
      <c r="V17" s="24"/>
      <c r="W17" s="24"/>
      <c r="X17" s="24" t="n">
        <f aca="false">ROUND(2.619/10,4)</f>
        <v>0.2619</v>
      </c>
      <c r="Y17" s="24" t="n">
        <f aca="false">ROUND(2.409/10,4)</f>
        <v>0.2409</v>
      </c>
      <c r="Z17" s="24"/>
      <c r="AA17" s="24"/>
      <c r="AB17" s="24"/>
      <c r="AC17" s="24"/>
      <c r="AD17" s="24"/>
      <c r="AE17" s="24"/>
      <c r="AF17" s="24"/>
      <c r="AG17" s="24"/>
      <c r="AH17" s="24"/>
      <c r="AI17" s="24"/>
      <c r="AJ17" s="24"/>
      <c r="AK17" s="24"/>
      <c r="AL17" s="24"/>
      <c r="AM17" s="24"/>
      <c r="AN17" s="24" t="n">
        <v>2</v>
      </c>
      <c r="AO17" s="24" t="n">
        <v>3</v>
      </c>
      <c r="AP17" s="24" t="n">
        <f aca="false">IF(AND(N(AN17)&gt;0,N(AO17)&gt;0),SQRT(2*AN17/AO17),"")</f>
        <v>1.15470053837925</v>
      </c>
      <c r="AQ17" s="24" t="n">
        <v>16.5</v>
      </c>
      <c r="AR17" s="24" t="n">
        <v>5</v>
      </c>
      <c r="AS17" s="24" t="n">
        <v>46</v>
      </c>
      <c r="AT17" s="24" t="n">
        <v>863</v>
      </c>
      <c r="AU17" s="24" t="n">
        <v>29.067</v>
      </c>
      <c r="AV17" s="24" t="n">
        <v>2</v>
      </c>
      <c r="AW17" s="24"/>
      <c r="AX17" s="24"/>
      <c r="AY17" s="24" t="n">
        <v>8.1</v>
      </c>
      <c r="AZ17" s="24" t="n">
        <v>8.3</v>
      </c>
      <c r="BA17" s="24"/>
      <c r="BB17" s="24" t="n">
        <v>62</v>
      </c>
      <c r="BC17" s="24" t="n">
        <v>20.5</v>
      </c>
      <c r="BD17" s="24" t="s">
        <v>2722</v>
      </c>
      <c r="BE17" s="24" t="s">
        <v>2184</v>
      </c>
      <c r="BF17" s="24" t="s">
        <v>2185</v>
      </c>
      <c r="BG17" s="24" t="s">
        <v>2186</v>
      </c>
      <c r="BH17" s="24" t="s">
        <v>2723</v>
      </c>
      <c r="BI17" s="25" t="s">
        <v>2726</v>
      </c>
      <c r="BJ17" s="24" t="s">
        <v>1167</v>
      </c>
      <c r="BK17" s="24" t="s">
        <v>2725</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2727</v>
      </c>
      <c r="Q1" s="27" t="s">
        <v>2728</v>
      </c>
      <c r="R1" s="27" t="s">
        <v>2729</v>
      </c>
      <c r="S1" s="27" t="s">
        <v>2730</v>
      </c>
      <c r="T1" s="27" t="s">
        <v>2731</v>
      </c>
      <c r="U1" s="27" t="s">
        <v>2732</v>
      </c>
      <c r="V1" s="27" t="s">
        <v>2733</v>
      </c>
      <c r="W1" s="27" t="s">
        <v>2734</v>
      </c>
      <c r="X1" s="30" t="s">
        <v>2735</v>
      </c>
      <c r="Y1" s="30" t="s">
        <v>2736</v>
      </c>
      <c r="Z1" s="30" t="s">
        <v>2737</v>
      </c>
      <c r="AA1" s="30" t="s">
        <v>2738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2739</v>
      </c>
      <c r="AS2" s="18" t="s">
        <v>2044</v>
      </c>
      <c r="AT2" s="18" t="s">
        <v>2045</v>
      </c>
      <c r="AU2" s="18" t="s">
        <v>2046</v>
      </c>
      <c r="AV2" s="18" t="s">
        <v>2740</v>
      </c>
      <c r="AW2" s="32" t="s">
        <v>2741</v>
      </c>
      <c r="AX2" s="18" t="s">
        <v>928</v>
      </c>
      <c r="AY2" s="18" t="s">
        <v>2742</v>
      </c>
      <c r="BA2" s="33" t="s">
        <v>1313</v>
      </c>
    </row>
    <row r="3" customFormat="false" ht="1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2317</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2743</v>
      </c>
      <c r="AS3" s="5" t="s">
        <v>2319</v>
      </c>
      <c r="AT3" s="5" t="s">
        <v>2320</v>
      </c>
      <c r="AU3" s="5" t="s">
        <v>2321</v>
      </c>
      <c r="AV3" s="5" t="s">
        <v>2744</v>
      </c>
      <c r="AW3" s="23" t="s">
        <v>2745</v>
      </c>
      <c r="AX3" s="5" t="s">
        <v>899</v>
      </c>
      <c r="AY3" s="5" t="s">
        <v>2746</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2747</v>
      </c>
      <c r="AS4" s="5" t="s">
        <v>2319</v>
      </c>
      <c r="AT4" s="5" t="s">
        <v>2320</v>
      </c>
      <c r="AU4" s="5" t="s">
        <v>2321</v>
      </c>
      <c r="AV4" s="5" t="s">
        <v>2744</v>
      </c>
      <c r="AW4" s="23" t="s">
        <v>2748</v>
      </c>
      <c r="AX4" s="5" t="s">
        <v>899</v>
      </c>
      <c r="AY4" s="5" t="s">
        <v>2749</v>
      </c>
    </row>
    <row r="5" customFormat="false" ht="1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2329</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2743</v>
      </c>
      <c r="AS5" s="5" t="s">
        <v>2319</v>
      </c>
      <c r="AT5" s="5" t="s">
        <v>2320</v>
      </c>
      <c r="AU5" s="5" t="s">
        <v>2321</v>
      </c>
      <c r="AV5" s="5" t="s">
        <v>2744</v>
      </c>
      <c r="AW5" s="23" t="s">
        <v>2745</v>
      </c>
      <c r="AX5" s="5" t="s">
        <v>899</v>
      </c>
      <c r="AY5" s="5" t="s">
        <v>2746</v>
      </c>
    </row>
    <row r="6" customFormat="false" ht="1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86</v>
      </c>
      <c r="O6" s="5" t="s">
        <v>2329</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2747</v>
      </c>
      <c r="AS6" s="5" t="s">
        <v>2319</v>
      </c>
      <c r="AT6" s="5" t="s">
        <v>2320</v>
      </c>
      <c r="AU6" s="5" t="s">
        <v>2321</v>
      </c>
      <c r="AV6" s="5" t="s">
        <v>2744</v>
      </c>
      <c r="AW6" s="23" t="s">
        <v>2748</v>
      </c>
      <c r="AX6" s="5" t="s">
        <v>899</v>
      </c>
      <c r="AY6" s="5" t="s">
        <v>2749</v>
      </c>
    </row>
    <row r="7" customFormat="false" ht="14.25" hidden="false" customHeight="true" outlineLevel="0" collapsed="false">
      <c r="A7" s="5" t="n">
        <v>166</v>
      </c>
      <c r="B7" s="5" t="n">
        <v>166</v>
      </c>
      <c r="C7" s="5" t="s">
        <v>883</v>
      </c>
      <c r="D7" s="5" t="n">
        <v>2014</v>
      </c>
      <c r="E7" s="5" t="s">
        <v>884</v>
      </c>
      <c r="F7" s="5" t="s">
        <v>887</v>
      </c>
      <c r="G7" s="5" t="s">
        <v>888</v>
      </c>
      <c r="H7" s="5" t="n">
        <v>29.067</v>
      </c>
      <c r="I7" s="5" t="n">
        <v>77.767</v>
      </c>
      <c r="J7" s="5" t="s">
        <v>83</v>
      </c>
      <c r="K7" s="5" t="n">
        <v>2011</v>
      </c>
      <c r="L7" s="5" t="s">
        <v>853</v>
      </c>
      <c r="M7" s="5" t="s">
        <v>85</v>
      </c>
      <c r="N7" s="5" t="s">
        <v>2050</v>
      </c>
      <c r="O7" s="5" t="s">
        <v>2051</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2743</v>
      </c>
      <c r="AS7" s="5" t="s">
        <v>2319</v>
      </c>
      <c r="AT7" s="5" t="s">
        <v>2320</v>
      </c>
      <c r="AU7" s="5" t="s">
        <v>2321</v>
      </c>
      <c r="AV7" s="5" t="s">
        <v>2744</v>
      </c>
      <c r="AW7" s="23" t="s">
        <v>2750</v>
      </c>
      <c r="AX7" s="5" t="s">
        <v>899</v>
      </c>
      <c r="AY7" s="5" t="s">
        <v>2746</v>
      </c>
    </row>
    <row r="8" customFormat="false" ht="14.25" hidden="false" customHeight="true" outlineLevel="0" collapsed="false">
      <c r="A8" s="5" t="n">
        <v>166</v>
      </c>
      <c r="B8" s="5" t="n">
        <v>166</v>
      </c>
      <c r="C8" s="5" t="s">
        <v>883</v>
      </c>
      <c r="D8" s="5" t="n">
        <v>2014</v>
      </c>
      <c r="E8" s="5" t="s">
        <v>884</v>
      </c>
      <c r="F8" s="5" t="s">
        <v>887</v>
      </c>
      <c r="G8" s="5" t="s">
        <v>888</v>
      </c>
      <c r="H8" s="5" t="n">
        <v>29.067</v>
      </c>
      <c r="I8" s="5" t="n">
        <v>77.767</v>
      </c>
      <c r="J8" s="5" t="s">
        <v>83</v>
      </c>
      <c r="K8" s="5" t="n">
        <v>2011</v>
      </c>
      <c r="L8" s="5" t="s">
        <v>853</v>
      </c>
      <c r="M8" s="5" t="s">
        <v>85</v>
      </c>
      <c r="N8" s="5" t="s">
        <v>2050</v>
      </c>
      <c r="O8" s="5" t="s">
        <v>2051</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2747</v>
      </c>
      <c r="AS8" s="5" t="s">
        <v>2319</v>
      </c>
      <c r="AT8" s="5" t="s">
        <v>2320</v>
      </c>
      <c r="AU8" s="5" t="s">
        <v>2321</v>
      </c>
      <c r="AV8" s="5" t="s">
        <v>2744</v>
      </c>
      <c r="AW8" s="23" t="s">
        <v>2751</v>
      </c>
      <c r="AX8" s="5" t="s">
        <v>899</v>
      </c>
      <c r="AY8" s="5" t="s">
        <v>2749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2752</v>
      </c>
      <c r="Q1" s="27" t="s">
        <v>2753</v>
      </c>
      <c r="R1" s="27" t="s">
        <v>2754</v>
      </c>
      <c r="S1" s="27" t="s">
        <v>2755</v>
      </c>
      <c r="T1" s="27" t="s">
        <v>2756</v>
      </c>
      <c r="U1" s="27" t="s">
        <v>2757</v>
      </c>
      <c r="V1" s="27" t="s">
        <v>2758</v>
      </c>
      <c r="W1" s="27" t="s">
        <v>2759</v>
      </c>
      <c r="X1" s="30" t="s">
        <v>2760</v>
      </c>
      <c r="Y1" s="30" t="s">
        <v>2761</v>
      </c>
      <c r="Z1" s="30" t="s">
        <v>2762</v>
      </c>
      <c r="AA1" s="30" t="s">
        <v>2763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2764</v>
      </c>
      <c r="AS2" s="18" t="s">
        <v>2044</v>
      </c>
      <c r="AT2" s="18" t="s">
        <v>2045</v>
      </c>
      <c r="AU2" s="18" t="s">
        <v>2046</v>
      </c>
      <c r="AV2" s="18" t="s">
        <v>2740</v>
      </c>
      <c r="AW2" s="32" t="s">
        <v>2765</v>
      </c>
      <c r="AX2" s="18" t="s">
        <v>928</v>
      </c>
      <c r="AY2" s="18" t="s">
        <v>2742</v>
      </c>
      <c r="BA2" s="33" t="s">
        <v>1316</v>
      </c>
    </row>
    <row r="3" customFormat="false" ht="1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2317</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2766</v>
      </c>
      <c r="AS3" s="5" t="s">
        <v>2319</v>
      </c>
      <c r="AT3" s="5" t="s">
        <v>2320</v>
      </c>
      <c r="AU3" s="5" t="s">
        <v>2321</v>
      </c>
      <c r="AV3" s="5" t="s">
        <v>2744</v>
      </c>
      <c r="AW3" s="23" t="s">
        <v>2767</v>
      </c>
      <c r="AX3" s="5" t="s">
        <v>899</v>
      </c>
      <c r="AY3" s="5" t="s">
        <v>2746</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2768</v>
      </c>
      <c r="AS4" s="5" t="s">
        <v>2319</v>
      </c>
      <c r="AT4" s="5" t="s">
        <v>2320</v>
      </c>
      <c r="AU4" s="5" t="s">
        <v>2321</v>
      </c>
      <c r="AV4" s="5" t="s">
        <v>2744</v>
      </c>
      <c r="AW4" s="23" t="s">
        <v>2769</v>
      </c>
      <c r="AX4" s="5" t="s">
        <v>899</v>
      </c>
      <c r="AY4" s="5" t="s">
        <v>2749</v>
      </c>
    </row>
    <row r="5" customFormat="false" ht="1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2329</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2766</v>
      </c>
      <c r="AS5" s="5" t="s">
        <v>2319</v>
      </c>
      <c r="AT5" s="5" t="s">
        <v>2320</v>
      </c>
      <c r="AU5" s="5" t="s">
        <v>2321</v>
      </c>
      <c r="AV5" s="5" t="s">
        <v>2744</v>
      </c>
      <c r="AW5" s="23" t="s">
        <v>2767</v>
      </c>
      <c r="AX5" s="5" t="s">
        <v>899</v>
      </c>
      <c r="AY5" s="5" t="s">
        <v>2746</v>
      </c>
    </row>
    <row r="6" customFormat="false" ht="1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86</v>
      </c>
      <c r="O6" s="5" t="s">
        <v>2329</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2768</v>
      </c>
      <c r="AS6" s="5" t="s">
        <v>2319</v>
      </c>
      <c r="AT6" s="5" t="s">
        <v>2320</v>
      </c>
      <c r="AU6" s="5" t="s">
        <v>2321</v>
      </c>
      <c r="AV6" s="5" t="s">
        <v>2744</v>
      </c>
      <c r="AW6" s="23" t="s">
        <v>2769</v>
      </c>
      <c r="AX6" s="5" t="s">
        <v>899</v>
      </c>
      <c r="AY6" s="5" t="s">
        <v>2749</v>
      </c>
    </row>
    <row r="7" customFormat="false" ht="14.25" hidden="false" customHeight="true" outlineLevel="0" collapsed="false">
      <c r="A7" s="5" t="n">
        <v>166</v>
      </c>
      <c r="B7" s="5" t="n">
        <v>166</v>
      </c>
      <c r="C7" s="5" t="s">
        <v>883</v>
      </c>
      <c r="D7" s="5" t="n">
        <v>2014</v>
      </c>
      <c r="E7" s="5" t="s">
        <v>884</v>
      </c>
      <c r="F7" s="5" t="s">
        <v>887</v>
      </c>
      <c r="G7" s="5" t="s">
        <v>888</v>
      </c>
      <c r="H7" s="5" t="n">
        <v>29.067</v>
      </c>
      <c r="I7" s="5" t="n">
        <v>77.767</v>
      </c>
      <c r="J7" s="5" t="s">
        <v>83</v>
      </c>
      <c r="K7" s="5" t="n">
        <v>2011</v>
      </c>
      <c r="L7" s="5" t="s">
        <v>853</v>
      </c>
      <c r="M7" s="5" t="s">
        <v>85</v>
      </c>
      <c r="N7" s="5" t="s">
        <v>2050</v>
      </c>
      <c r="O7" s="5" t="s">
        <v>2051</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2766</v>
      </c>
      <c r="AS7" s="5" t="s">
        <v>2319</v>
      </c>
      <c r="AT7" s="5" t="s">
        <v>2320</v>
      </c>
      <c r="AU7" s="5" t="s">
        <v>2321</v>
      </c>
      <c r="AV7" s="5" t="s">
        <v>2744</v>
      </c>
      <c r="AW7" s="23" t="s">
        <v>2770</v>
      </c>
      <c r="AX7" s="5" t="s">
        <v>899</v>
      </c>
      <c r="AY7" s="5" t="s">
        <v>2746</v>
      </c>
    </row>
    <row r="8" customFormat="false" ht="14.25" hidden="false" customHeight="true" outlineLevel="0" collapsed="false">
      <c r="A8" s="5" t="n">
        <v>166</v>
      </c>
      <c r="B8" s="5" t="n">
        <v>166</v>
      </c>
      <c r="C8" s="5" t="s">
        <v>883</v>
      </c>
      <c r="D8" s="5" t="n">
        <v>2014</v>
      </c>
      <c r="E8" s="5" t="s">
        <v>884</v>
      </c>
      <c r="F8" s="5" t="s">
        <v>887</v>
      </c>
      <c r="G8" s="5" t="s">
        <v>888</v>
      </c>
      <c r="H8" s="5" t="n">
        <v>29.067</v>
      </c>
      <c r="I8" s="5" t="n">
        <v>77.767</v>
      </c>
      <c r="J8" s="5" t="s">
        <v>83</v>
      </c>
      <c r="K8" s="5" t="n">
        <v>2011</v>
      </c>
      <c r="L8" s="5" t="s">
        <v>853</v>
      </c>
      <c r="M8" s="5" t="s">
        <v>85</v>
      </c>
      <c r="N8" s="5" t="s">
        <v>2050</v>
      </c>
      <c r="O8" s="5" t="s">
        <v>2051</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2768</v>
      </c>
      <c r="AS8" s="5" t="s">
        <v>2319</v>
      </c>
      <c r="AT8" s="5" t="s">
        <v>2320</v>
      </c>
      <c r="AU8" s="5" t="s">
        <v>2321</v>
      </c>
      <c r="AV8" s="5" t="s">
        <v>2744</v>
      </c>
      <c r="AW8" s="23" t="s">
        <v>2771</v>
      </c>
      <c r="AX8" s="5" t="s">
        <v>899</v>
      </c>
      <c r="AY8" s="5" t="s">
        <v>2749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2772</v>
      </c>
      <c r="Q1" s="27" t="s">
        <v>2773</v>
      </c>
      <c r="R1" s="27" t="s">
        <v>2774</v>
      </c>
      <c r="S1" s="27" t="s">
        <v>2775</v>
      </c>
      <c r="T1" s="27" t="s">
        <v>2776</v>
      </c>
      <c r="U1" s="27" t="s">
        <v>2777</v>
      </c>
      <c r="V1" s="27" t="s">
        <v>2778</v>
      </c>
      <c r="W1" s="27" t="s">
        <v>2779</v>
      </c>
      <c r="X1" s="30" t="s">
        <v>2780</v>
      </c>
      <c r="Y1" s="30" t="s">
        <v>2781</v>
      </c>
      <c r="Z1" s="30" t="s">
        <v>2782</v>
      </c>
      <c r="AA1" s="30" t="s">
        <v>2783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1018</v>
      </c>
      <c r="B2" s="5" t="s">
        <v>1018</v>
      </c>
      <c r="C2" s="5" t="s">
        <v>1019</v>
      </c>
      <c r="D2" s="5" t="n">
        <v>2011</v>
      </c>
      <c r="E2" s="5" t="s">
        <v>1020</v>
      </c>
      <c r="F2" s="5" t="s">
        <v>887</v>
      </c>
      <c r="G2" s="5" t="s">
        <v>1023</v>
      </c>
      <c r="H2" s="5" t="n">
        <v>29.017</v>
      </c>
      <c r="I2" s="5" t="n">
        <v>77.75</v>
      </c>
      <c r="J2" s="5" t="s">
        <v>83</v>
      </c>
      <c r="K2" s="5" t="s">
        <v>2355</v>
      </c>
      <c r="L2" s="5" t="s">
        <v>84</v>
      </c>
      <c r="M2" s="5" t="s">
        <v>85</v>
      </c>
      <c r="N2" s="5" t="s">
        <v>86</v>
      </c>
      <c r="O2" s="5" t="s">
        <v>2097</v>
      </c>
      <c r="P2" s="5"/>
      <c r="Q2" s="5" t="n">
        <v>3.29</v>
      </c>
      <c r="R2" s="5" t="n">
        <v>6.2</v>
      </c>
      <c r="S2" s="5"/>
      <c r="T2" s="5"/>
      <c r="U2" s="5" t="n">
        <v>5.81</v>
      </c>
      <c r="V2" s="5"/>
      <c r="W2" s="5"/>
      <c r="X2" s="5"/>
      <c r="Y2" s="5" t="n">
        <v>3</v>
      </c>
      <c r="Z2" s="5"/>
      <c r="AA2" s="5"/>
      <c r="AB2" s="5" t="n">
        <v>4</v>
      </c>
      <c r="AC2" s="5" t="n">
        <v>3</v>
      </c>
      <c r="AD2" s="5" t="n">
        <f aca="false">IF(AND(N(AB2)&gt;0,N(AC2)&gt;0),SQRT(2*AB2/AC2),"")</f>
        <v>1.63299316185545</v>
      </c>
      <c r="AE2" s="5" t="n">
        <v>19</v>
      </c>
      <c r="AF2" s="5" t="n">
        <v>2</v>
      </c>
      <c r="AG2" s="5" t="n">
        <v>43</v>
      </c>
      <c r="AH2" s="5" t="n">
        <v>800</v>
      </c>
      <c r="AI2" s="5" t="n">
        <v>29.017</v>
      </c>
      <c r="AJ2" s="5" t="n">
        <v>7</v>
      </c>
      <c r="AK2" s="5"/>
      <c r="AL2" s="5"/>
      <c r="AM2" s="5" t="n">
        <v>8.1</v>
      </c>
      <c r="AN2" s="5"/>
      <c r="AO2" s="5"/>
      <c r="AP2" s="5" t="n">
        <v>55</v>
      </c>
      <c r="AQ2" s="5" t="n">
        <v>26</v>
      </c>
      <c r="AR2" s="5" t="s">
        <v>793</v>
      </c>
      <c r="AS2" s="5" t="s">
        <v>2099</v>
      </c>
      <c r="AT2" s="5" t="s">
        <v>2784</v>
      </c>
      <c r="AU2" s="5" t="s">
        <v>2101</v>
      </c>
      <c r="AV2" s="5" t="s">
        <v>2785</v>
      </c>
      <c r="AW2" s="23" t="s">
        <v>2786</v>
      </c>
      <c r="AX2" s="5" t="s">
        <v>1038</v>
      </c>
      <c r="AY2" s="5" t="s">
        <v>2787</v>
      </c>
      <c r="BA2" s="14" t="s">
        <v>2788</v>
      </c>
    </row>
    <row r="3" customFormat="false" ht="14.25" hidden="false" customHeight="true" outlineLevel="0" collapsed="false">
      <c r="A3" s="5" t="s">
        <v>1018</v>
      </c>
      <c r="B3" s="5" t="s">
        <v>1018</v>
      </c>
      <c r="C3" s="5" t="s">
        <v>1019</v>
      </c>
      <c r="D3" s="5" t="n">
        <v>2011</v>
      </c>
      <c r="E3" s="5" t="s">
        <v>1020</v>
      </c>
      <c r="F3" s="5" t="s">
        <v>887</v>
      </c>
      <c r="G3" s="5" t="s">
        <v>1023</v>
      </c>
      <c r="H3" s="5" t="n">
        <v>29.017</v>
      </c>
      <c r="I3" s="5" t="n">
        <v>77.75</v>
      </c>
      <c r="J3" s="5" t="s">
        <v>83</v>
      </c>
      <c r="K3" s="5" t="s">
        <v>2355</v>
      </c>
      <c r="L3" s="5" t="s">
        <v>84</v>
      </c>
      <c r="M3" s="5" t="s">
        <v>85</v>
      </c>
      <c r="N3" s="5" t="s">
        <v>86</v>
      </c>
      <c r="O3" s="5" t="s">
        <v>2097</v>
      </c>
      <c r="P3" s="5"/>
      <c r="Q3" s="5" t="n">
        <v>3.29</v>
      </c>
      <c r="R3" s="5" t="n">
        <v>4.37</v>
      </c>
      <c r="S3" s="5"/>
      <c r="T3" s="5"/>
      <c r="U3" s="5" t="n">
        <v>5.1</v>
      </c>
      <c r="V3" s="5"/>
      <c r="W3" s="5"/>
      <c r="X3" s="5"/>
      <c r="Y3" s="5" t="n">
        <v>3</v>
      </c>
      <c r="Z3" s="5"/>
      <c r="AA3" s="5"/>
      <c r="AB3" s="5" t="n">
        <v>4</v>
      </c>
      <c r="AC3" s="5" t="n">
        <v>3</v>
      </c>
      <c r="AD3" s="5" t="n">
        <f aca="false">IF(AND(N(AB3)&gt;0,N(AC3)&gt;0),SQRT(2*AB3/AC3),"")</f>
        <v>1.63299316185545</v>
      </c>
      <c r="AE3" s="5" t="n">
        <v>19</v>
      </c>
      <c r="AF3" s="5" t="n">
        <v>2</v>
      </c>
      <c r="AG3" s="5" t="n">
        <v>43</v>
      </c>
      <c r="AH3" s="5" t="n">
        <v>800</v>
      </c>
      <c r="AI3" s="5" t="n">
        <v>29.017</v>
      </c>
      <c r="AJ3" s="5" t="n">
        <v>7</v>
      </c>
      <c r="AK3" s="5"/>
      <c r="AL3" s="5"/>
      <c r="AM3" s="5" t="n">
        <v>8.1</v>
      </c>
      <c r="AN3" s="5"/>
      <c r="AO3" s="5"/>
      <c r="AP3" s="5" t="n">
        <v>55</v>
      </c>
      <c r="AQ3" s="5" t="n">
        <v>26</v>
      </c>
      <c r="AR3" s="5" t="s">
        <v>793</v>
      </c>
      <c r="AS3" s="5" t="s">
        <v>2099</v>
      </c>
      <c r="AT3" s="5" t="s">
        <v>2784</v>
      </c>
      <c r="AU3" s="5" t="s">
        <v>2101</v>
      </c>
      <c r="AV3" s="5" t="s">
        <v>2785</v>
      </c>
      <c r="AW3" s="23" t="s">
        <v>2789</v>
      </c>
      <c r="AX3" s="5" t="s">
        <v>1038</v>
      </c>
      <c r="AY3" s="5" t="s">
        <v>2787</v>
      </c>
    </row>
    <row r="4" customFormat="false" ht="14.25" hidden="false" customHeight="true" outlineLevel="0" collapsed="false">
      <c r="A4" s="5" t="s">
        <v>1018</v>
      </c>
      <c r="B4" s="5" t="s">
        <v>1018</v>
      </c>
      <c r="C4" s="5" t="s">
        <v>1019</v>
      </c>
      <c r="D4" s="5" t="n">
        <v>2011</v>
      </c>
      <c r="E4" s="5" t="s">
        <v>1020</v>
      </c>
      <c r="F4" s="5" t="s">
        <v>887</v>
      </c>
      <c r="G4" s="5" t="s">
        <v>1023</v>
      </c>
      <c r="H4" s="5" t="n">
        <v>29.017</v>
      </c>
      <c r="I4" s="5" t="n">
        <v>77.75</v>
      </c>
      <c r="J4" s="5" t="s">
        <v>83</v>
      </c>
      <c r="K4" s="5" t="s">
        <v>2355</v>
      </c>
      <c r="L4" s="5" t="s">
        <v>84</v>
      </c>
      <c r="M4" s="5" t="s">
        <v>85</v>
      </c>
      <c r="N4" s="5" t="s">
        <v>86</v>
      </c>
      <c r="O4" s="5" t="s">
        <v>2106</v>
      </c>
      <c r="P4" s="5"/>
      <c r="Q4" s="5" t="n">
        <v>3.48</v>
      </c>
      <c r="R4" s="5" t="n">
        <v>5.8</v>
      </c>
      <c r="S4" s="5"/>
      <c r="T4" s="5"/>
      <c r="U4" s="5" t="n">
        <v>5.47</v>
      </c>
      <c r="V4" s="5"/>
      <c r="W4" s="5"/>
      <c r="X4" s="5"/>
      <c r="Y4" s="5" t="n">
        <v>3.1</v>
      </c>
      <c r="Z4" s="5"/>
      <c r="AA4" s="5"/>
      <c r="AB4" s="5" t="n">
        <v>4</v>
      </c>
      <c r="AC4" s="5" t="n">
        <v>3</v>
      </c>
      <c r="AD4" s="5" t="n">
        <f aca="false">IF(AND(N(AB4)&gt;0,N(AC4)&gt;0),SQRT(2*AB4/AC4),"")</f>
        <v>1.63299316185545</v>
      </c>
      <c r="AE4" s="5" t="n">
        <v>19</v>
      </c>
      <c r="AF4" s="5" t="n">
        <v>2</v>
      </c>
      <c r="AG4" s="5" t="n">
        <v>43</v>
      </c>
      <c r="AH4" s="5" t="n">
        <v>800</v>
      </c>
      <c r="AI4" s="5" t="n">
        <v>29.017</v>
      </c>
      <c r="AJ4" s="5" t="n">
        <v>7</v>
      </c>
      <c r="AK4" s="5"/>
      <c r="AL4" s="5"/>
      <c r="AM4" s="5" t="n">
        <v>8.1</v>
      </c>
      <c r="AN4" s="5"/>
      <c r="AO4" s="5"/>
      <c r="AP4" s="5" t="n">
        <v>55</v>
      </c>
      <c r="AQ4" s="5" t="n">
        <v>26</v>
      </c>
      <c r="AR4" s="5" t="s">
        <v>793</v>
      </c>
      <c r="AS4" s="5" t="s">
        <v>2099</v>
      </c>
      <c r="AT4" s="5" t="s">
        <v>2784</v>
      </c>
      <c r="AU4" s="5" t="s">
        <v>2101</v>
      </c>
      <c r="AV4" s="5" t="s">
        <v>2785</v>
      </c>
      <c r="AW4" s="23" t="s">
        <v>2786</v>
      </c>
      <c r="AX4" s="5" t="s">
        <v>1038</v>
      </c>
      <c r="AY4" s="5" t="s">
        <v>2787</v>
      </c>
    </row>
    <row r="5" customFormat="false" ht="14.25" hidden="false" customHeight="true" outlineLevel="0" collapsed="false">
      <c r="A5" s="5" t="s">
        <v>1018</v>
      </c>
      <c r="B5" s="5" t="s">
        <v>1018</v>
      </c>
      <c r="C5" s="5" t="s">
        <v>1019</v>
      </c>
      <c r="D5" s="5" t="n">
        <v>2011</v>
      </c>
      <c r="E5" s="5" t="s">
        <v>1020</v>
      </c>
      <c r="F5" s="5" t="s">
        <v>887</v>
      </c>
      <c r="G5" s="5" t="s">
        <v>1023</v>
      </c>
      <c r="H5" s="5" t="n">
        <v>29.017</v>
      </c>
      <c r="I5" s="5" t="n">
        <v>77.75</v>
      </c>
      <c r="J5" s="5" t="s">
        <v>83</v>
      </c>
      <c r="K5" s="5" t="s">
        <v>2355</v>
      </c>
      <c r="L5" s="5" t="s">
        <v>84</v>
      </c>
      <c r="M5" s="5" t="s">
        <v>85</v>
      </c>
      <c r="N5" s="5" t="s">
        <v>86</v>
      </c>
      <c r="O5" s="5" t="s">
        <v>2106</v>
      </c>
      <c r="P5" s="5"/>
      <c r="Q5" s="5" t="n">
        <v>3.48</v>
      </c>
      <c r="R5" s="5" t="n">
        <v>3.88</v>
      </c>
      <c r="S5" s="5"/>
      <c r="T5" s="5"/>
      <c r="U5" s="5" t="n">
        <v>4.71</v>
      </c>
      <c r="V5" s="5"/>
      <c r="W5" s="5"/>
      <c r="X5" s="5"/>
      <c r="Y5" s="5" t="n">
        <v>3.1</v>
      </c>
      <c r="Z5" s="5"/>
      <c r="AA5" s="5"/>
      <c r="AB5" s="5" t="n">
        <v>4</v>
      </c>
      <c r="AC5" s="5" t="n">
        <v>3</v>
      </c>
      <c r="AD5" s="5" t="n">
        <f aca="false">IF(AND(N(AB5)&gt;0,N(AC5)&gt;0),SQRT(2*AB5/AC5),"")</f>
        <v>1.63299316185545</v>
      </c>
      <c r="AE5" s="5" t="n">
        <v>19</v>
      </c>
      <c r="AF5" s="5" t="n">
        <v>2</v>
      </c>
      <c r="AG5" s="5" t="n">
        <v>43</v>
      </c>
      <c r="AH5" s="5" t="n">
        <v>800</v>
      </c>
      <c r="AI5" s="5" t="n">
        <v>29.017</v>
      </c>
      <c r="AJ5" s="5" t="n">
        <v>7</v>
      </c>
      <c r="AK5" s="5"/>
      <c r="AL5" s="5"/>
      <c r="AM5" s="5" t="n">
        <v>8.1</v>
      </c>
      <c r="AN5" s="5"/>
      <c r="AO5" s="5"/>
      <c r="AP5" s="5" t="n">
        <v>55</v>
      </c>
      <c r="AQ5" s="5" t="n">
        <v>26</v>
      </c>
      <c r="AR5" s="5" t="s">
        <v>793</v>
      </c>
      <c r="AS5" s="5" t="s">
        <v>2099</v>
      </c>
      <c r="AT5" s="5" t="s">
        <v>2784</v>
      </c>
      <c r="AU5" s="5" t="s">
        <v>2101</v>
      </c>
      <c r="AV5" s="5" t="s">
        <v>2785</v>
      </c>
      <c r="AW5" s="23" t="s">
        <v>2789</v>
      </c>
      <c r="AX5" s="5" t="s">
        <v>1038</v>
      </c>
      <c r="AY5" s="5" t="s">
        <v>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2790</v>
      </c>
      <c r="Q1" s="27" t="s">
        <v>2791</v>
      </c>
      <c r="R1" s="27" t="s">
        <v>2792</v>
      </c>
      <c r="S1" s="27" t="s">
        <v>2793</v>
      </c>
      <c r="T1" s="27" t="s">
        <v>2794</v>
      </c>
      <c r="U1" s="27" t="s">
        <v>2795</v>
      </c>
      <c r="V1" s="27" t="s">
        <v>2796</v>
      </c>
      <c r="W1" s="27" t="s">
        <v>2797</v>
      </c>
      <c r="X1" s="30" t="s">
        <v>2798</v>
      </c>
      <c r="Y1" s="30" t="s">
        <v>2799</v>
      </c>
      <c r="Z1" s="30" t="s">
        <v>2800</v>
      </c>
      <c r="AA1" s="30" t="s">
        <v>2801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1018</v>
      </c>
      <c r="B2" s="5" t="s">
        <v>1018</v>
      </c>
      <c r="C2" s="5" t="s">
        <v>1019</v>
      </c>
      <c r="D2" s="5" t="n">
        <v>2011</v>
      </c>
      <c r="E2" s="5" t="s">
        <v>1020</v>
      </c>
      <c r="F2" s="5" t="s">
        <v>887</v>
      </c>
      <c r="G2" s="5" t="s">
        <v>1023</v>
      </c>
      <c r="H2" s="5" t="n">
        <v>29.017</v>
      </c>
      <c r="I2" s="5" t="n">
        <v>77.75</v>
      </c>
      <c r="J2" s="5" t="s">
        <v>83</v>
      </c>
      <c r="K2" s="5" t="s">
        <v>2802</v>
      </c>
      <c r="L2" s="5" t="s">
        <v>84</v>
      </c>
      <c r="M2" s="5" t="s">
        <v>85</v>
      </c>
      <c r="N2" s="5" t="s">
        <v>86</v>
      </c>
      <c r="O2" s="5" t="s">
        <v>2637</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2803</v>
      </c>
      <c r="AK2" s="5"/>
      <c r="AL2" s="5"/>
      <c r="AM2" s="5" t="n">
        <v>8.1</v>
      </c>
      <c r="AN2" s="5"/>
      <c r="AO2" s="5"/>
      <c r="AP2" s="5" t="n">
        <v>55</v>
      </c>
      <c r="AQ2" s="5" t="n">
        <v>26</v>
      </c>
      <c r="AR2" s="5" t="s">
        <v>2804</v>
      </c>
      <c r="AS2" s="5" t="s">
        <v>2099</v>
      </c>
      <c r="AT2" s="5" t="s">
        <v>2805</v>
      </c>
      <c r="AU2" s="5" t="s">
        <v>2101</v>
      </c>
      <c r="AV2" s="5" t="s">
        <v>2806</v>
      </c>
      <c r="AW2" s="23" t="s">
        <v>2807</v>
      </c>
      <c r="AX2" s="5" t="s">
        <v>1038</v>
      </c>
      <c r="AY2" s="5" t="s">
        <v>2808</v>
      </c>
      <c r="BA2" s="14" t="s">
        <v>2809</v>
      </c>
    </row>
    <row r="3" customFormat="false" ht="14.25" hidden="false" customHeight="true" outlineLevel="0" collapsed="false">
      <c r="A3" s="5" t="s">
        <v>1018</v>
      </c>
      <c r="B3" s="5" t="s">
        <v>1018</v>
      </c>
      <c r="C3" s="5" t="s">
        <v>1019</v>
      </c>
      <c r="D3" s="5" t="n">
        <v>2011</v>
      </c>
      <c r="E3" s="5" t="s">
        <v>1020</v>
      </c>
      <c r="F3" s="5" t="s">
        <v>887</v>
      </c>
      <c r="G3" s="5" t="s">
        <v>1023</v>
      </c>
      <c r="H3" s="5" t="n">
        <v>29.017</v>
      </c>
      <c r="I3" s="5" t="n">
        <v>77.75</v>
      </c>
      <c r="J3" s="5" t="s">
        <v>83</v>
      </c>
      <c r="K3" s="5" t="s">
        <v>2802</v>
      </c>
      <c r="L3" s="5" t="s">
        <v>84</v>
      </c>
      <c r="M3" s="5" t="s">
        <v>85</v>
      </c>
      <c r="N3" s="5" t="s">
        <v>86</v>
      </c>
      <c r="O3" s="5" t="s">
        <v>2637</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2803</v>
      </c>
      <c r="AK3" s="5"/>
      <c r="AL3" s="5"/>
      <c r="AM3" s="5" t="n">
        <v>8.1</v>
      </c>
      <c r="AN3" s="5"/>
      <c r="AO3" s="5"/>
      <c r="AP3" s="5" t="n">
        <v>55</v>
      </c>
      <c r="AQ3" s="5" t="n">
        <v>26</v>
      </c>
      <c r="AR3" s="5" t="s">
        <v>2804</v>
      </c>
      <c r="AS3" s="5" t="s">
        <v>2099</v>
      </c>
      <c r="AT3" s="5" t="s">
        <v>2810</v>
      </c>
      <c r="AU3" s="5" t="s">
        <v>2101</v>
      </c>
      <c r="AV3" s="5" t="s">
        <v>2806</v>
      </c>
      <c r="AW3" s="23" t="s">
        <v>2807</v>
      </c>
      <c r="AX3" s="5" t="s">
        <v>1038</v>
      </c>
      <c r="AY3" s="5" t="s">
        <v>2808</v>
      </c>
    </row>
    <row r="4" customFormat="false" ht="14.25" hidden="false" customHeight="true" outlineLevel="0" collapsed="false">
      <c r="A4" s="5" t="s">
        <v>1018</v>
      </c>
      <c r="B4" s="5" t="s">
        <v>1018</v>
      </c>
      <c r="C4" s="5" t="s">
        <v>1019</v>
      </c>
      <c r="D4" s="5" t="n">
        <v>2011</v>
      </c>
      <c r="E4" s="5" t="s">
        <v>1020</v>
      </c>
      <c r="F4" s="5" t="s">
        <v>887</v>
      </c>
      <c r="G4" s="5" t="s">
        <v>1023</v>
      </c>
      <c r="H4" s="5" t="n">
        <v>29.017</v>
      </c>
      <c r="I4" s="5" t="n">
        <v>77.75</v>
      </c>
      <c r="J4" s="5" t="s">
        <v>83</v>
      </c>
      <c r="K4" s="5" t="s">
        <v>2802</v>
      </c>
      <c r="L4" s="5" t="s">
        <v>84</v>
      </c>
      <c r="M4" s="5" t="s">
        <v>85</v>
      </c>
      <c r="N4" s="5" t="s">
        <v>86</v>
      </c>
      <c r="O4" s="5" t="s">
        <v>2637</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2803</v>
      </c>
      <c r="AK4" s="5"/>
      <c r="AL4" s="5"/>
      <c r="AM4" s="5" t="n">
        <v>8.1</v>
      </c>
      <c r="AN4" s="5"/>
      <c r="AO4" s="5"/>
      <c r="AP4" s="5" t="n">
        <v>55</v>
      </c>
      <c r="AQ4" s="5" t="n">
        <v>26</v>
      </c>
      <c r="AR4" s="5" t="s">
        <v>2804</v>
      </c>
      <c r="AS4" s="5" t="s">
        <v>2099</v>
      </c>
      <c r="AT4" s="5" t="s">
        <v>2811</v>
      </c>
      <c r="AU4" s="5" t="s">
        <v>2101</v>
      </c>
      <c r="AV4" s="5" t="s">
        <v>2806</v>
      </c>
      <c r="AW4" s="23" t="s">
        <v>2807</v>
      </c>
      <c r="AX4" s="5" t="s">
        <v>1038</v>
      </c>
      <c r="AY4" s="5" t="s">
        <v>2808</v>
      </c>
    </row>
    <row r="5" customFormat="false" ht="14.25" hidden="false" customHeight="true" outlineLevel="0" collapsed="false">
      <c r="A5" s="5" t="s">
        <v>1018</v>
      </c>
      <c r="B5" s="5" t="s">
        <v>1018</v>
      </c>
      <c r="C5" s="5" t="s">
        <v>1019</v>
      </c>
      <c r="D5" s="5" t="n">
        <v>2011</v>
      </c>
      <c r="E5" s="5" t="s">
        <v>1020</v>
      </c>
      <c r="F5" s="5" t="s">
        <v>887</v>
      </c>
      <c r="G5" s="5" t="s">
        <v>1023</v>
      </c>
      <c r="H5" s="5" t="n">
        <v>29.017</v>
      </c>
      <c r="I5" s="5" t="n">
        <v>77.75</v>
      </c>
      <c r="J5" s="5" t="s">
        <v>83</v>
      </c>
      <c r="K5" s="5" t="s">
        <v>2802</v>
      </c>
      <c r="L5" s="5" t="s">
        <v>84</v>
      </c>
      <c r="M5" s="5" t="s">
        <v>85</v>
      </c>
      <c r="N5" s="5" t="s">
        <v>86</v>
      </c>
      <c r="O5" s="5" t="s">
        <v>2637</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2803</v>
      </c>
      <c r="AK5" s="5"/>
      <c r="AL5" s="5"/>
      <c r="AM5" s="5" t="n">
        <v>8.1</v>
      </c>
      <c r="AN5" s="5"/>
      <c r="AO5" s="5"/>
      <c r="AP5" s="5" t="n">
        <v>55</v>
      </c>
      <c r="AQ5" s="5" t="n">
        <v>26</v>
      </c>
      <c r="AR5" s="5" t="s">
        <v>2804</v>
      </c>
      <c r="AS5" s="5" t="s">
        <v>2099</v>
      </c>
      <c r="AT5" s="5" t="s">
        <v>2812</v>
      </c>
      <c r="AU5" s="5" t="s">
        <v>2101</v>
      </c>
      <c r="AV5" s="5" t="s">
        <v>2806</v>
      </c>
      <c r="AW5" s="23" t="s">
        <v>2807</v>
      </c>
      <c r="AX5" s="5" t="s">
        <v>1038</v>
      </c>
      <c r="AY5" s="5" t="s">
        <v>2808</v>
      </c>
    </row>
    <row r="6" customFormat="false" ht="14.25" hidden="false" customHeight="true" outlineLevel="0" collapsed="false">
      <c r="A6" s="5" t="s">
        <v>1018</v>
      </c>
      <c r="B6" s="5" t="s">
        <v>1018</v>
      </c>
      <c r="C6" s="5" t="s">
        <v>1019</v>
      </c>
      <c r="D6" s="5" t="n">
        <v>2011</v>
      </c>
      <c r="E6" s="5" t="s">
        <v>1020</v>
      </c>
      <c r="F6" s="5" t="s">
        <v>887</v>
      </c>
      <c r="G6" s="5" t="s">
        <v>1023</v>
      </c>
      <c r="H6" s="5" t="n">
        <v>29.017</v>
      </c>
      <c r="I6" s="5" t="n">
        <v>77.75</v>
      </c>
      <c r="J6" s="5" t="s">
        <v>83</v>
      </c>
      <c r="K6" s="5" t="s">
        <v>2802</v>
      </c>
      <c r="L6" s="5" t="s">
        <v>84</v>
      </c>
      <c r="M6" s="5" t="s">
        <v>85</v>
      </c>
      <c r="N6" s="5" t="s">
        <v>86</v>
      </c>
      <c r="O6" s="5" t="s">
        <v>2637</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2803</v>
      </c>
      <c r="AK6" s="5"/>
      <c r="AL6" s="5"/>
      <c r="AM6" s="5" t="n">
        <v>8.1</v>
      </c>
      <c r="AN6" s="5"/>
      <c r="AO6" s="5"/>
      <c r="AP6" s="5" t="n">
        <v>55</v>
      </c>
      <c r="AQ6" s="5" t="n">
        <v>26</v>
      </c>
      <c r="AR6" s="5" t="s">
        <v>2804</v>
      </c>
      <c r="AS6" s="5" t="s">
        <v>2099</v>
      </c>
      <c r="AT6" s="5" t="s">
        <v>2813</v>
      </c>
      <c r="AU6" s="5" t="s">
        <v>2101</v>
      </c>
      <c r="AV6" s="5" t="s">
        <v>2806</v>
      </c>
      <c r="AW6" s="23" t="s">
        <v>2807</v>
      </c>
      <c r="AX6" s="5" t="s">
        <v>1038</v>
      </c>
      <c r="AY6" s="5" t="s">
        <v>2808</v>
      </c>
    </row>
    <row r="7" customFormat="false" ht="14.25" hidden="false" customHeight="true" outlineLevel="0" collapsed="false">
      <c r="A7" s="5" t="s">
        <v>1018</v>
      </c>
      <c r="B7" s="5" t="s">
        <v>1018</v>
      </c>
      <c r="C7" s="5" t="s">
        <v>1019</v>
      </c>
      <c r="D7" s="5" t="n">
        <v>2011</v>
      </c>
      <c r="E7" s="5" t="s">
        <v>1020</v>
      </c>
      <c r="F7" s="5" t="s">
        <v>887</v>
      </c>
      <c r="G7" s="5" t="s">
        <v>1023</v>
      </c>
      <c r="H7" s="5" t="n">
        <v>29.017</v>
      </c>
      <c r="I7" s="5" t="n">
        <v>77.75</v>
      </c>
      <c r="J7" s="5" t="s">
        <v>83</v>
      </c>
      <c r="K7" s="5" t="s">
        <v>2802</v>
      </c>
      <c r="L7" s="5" t="s">
        <v>84</v>
      </c>
      <c r="M7" s="5" t="s">
        <v>85</v>
      </c>
      <c r="N7" s="5" t="s">
        <v>86</v>
      </c>
      <c r="O7" s="5" t="s">
        <v>2637</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2803</v>
      </c>
      <c r="AK7" s="5"/>
      <c r="AL7" s="5"/>
      <c r="AM7" s="5" t="n">
        <v>8.1</v>
      </c>
      <c r="AN7" s="5"/>
      <c r="AO7" s="5"/>
      <c r="AP7" s="5" t="n">
        <v>55</v>
      </c>
      <c r="AQ7" s="5" t="n">
        <v>26</v>
      </c>
      <c r="AR7" s="5" t="s">
        <v>2804</v>
      </c>
      <c r="AS7" s="5" t="s">
        <v>2099</v>
      </c>
      <c r="AT7" s="5" t="s">
        <v>2814</v>
      </c>
      <c r="AU7" s="5" t="s">
        <v>2101</v>
      </c>
      <c r="AV7" s="5" t="s">
        <v>2806</v>
      </c>
      <c r="AW7" s="23" t="s">
        <v>2807</v>
      </c>
      <c r="AX7" s="5" t="s">
        <v>1038</v>
      </c>
      <c r="AY7" s="5" t="s">
        <v>2808</v>
      </c>
    </row>
    <row r="8" customFormat="false" ht="14.25" hidden="false" customHeight="true" outlineLevel="0" collapsed="false">
      <c r="A8" s="5" t="s">
        <v>1018</v>
      </c>
      <c r="B8" s="5" t="s">
        <v>1018</v>
      </c>
      <c r="C8" s="5" t="s">
        <v>1019</v>
      </c>
      <c r="D8" s="5" t="n">
        <v>2011</v>
      </c>
      <c r="E8" s="5" t="s">
        <v>1020</v>
      </c>
      <c r="F8" s="5" t="s">
        <v>887</v>
      </c>
      <c r="G8" s="5" t="s">
        <v>1023</v>
      </c>
      <c r="H8" s="5" t="n">
        <v>29.017</v>
      </c>
      <c r="I8" s="5" t="n">
        <v>77.75</v>
      </c>
      <c r="J8" s="5" t="s">
        <v>83</v>
      </c>
      <c r="K8" s="5" t="s">
        <v>2802</v>
      </c>
      <c r="L8" s="5" t="s">
        <v>84</v>
      </c>
      <c r="M8" s="5" t="s">
        <v>85</v>
      </c>
      <c r="N8" s="5" t="s">
        <v>86</v>
      </c>
      <c r="O8" s="5" t="s">
        <v>2637</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2803</v>
      </c>
      <c r="AK8" s="5"/>
      <c r="AL8" s="5"/>
      <c r="AM8" s="5" t="n">
        <v>8.1</v>
      </c>
      <c r="AN8" s="5"/>
      <c r="AO8" s="5"/>
      <c r="AP8" s="5" t="n">
        <v>55</v>
      </c>
      <c r="AQ8" s="5" t="n">
        <v>26</v>
      </c>
      <c r="AR8" s="5" t="s">
        <v>2804</v>
      </c>
      <c r="AS8" s="5" t="s">
        <v>2099</v>
      </c>
      <c r="AT8" s="5" t="s">
        <v>2815</v>
      </c>
      <c r="AU8" s="5" t="s">
        <v>2101</v>
      </c>
      <c r="AV8" s="5" t="s">
        <v>2806</v>
      </c>
      <c r="AW8" s="23" t="s">
        <v>2807</v>
      </c>
      <c r="AX8" s="5" t="s">
        <v>1038</v>
      </c>
      <c r="AY8" s="5" t="s">
        <v>2808</v>
      </c>
    </row>
    <row r="9" customFormat="false" ht="14.25" hidden="false" customHeight="true" outlineLevel="0" collapsed="false">
      <c r="A9" s="5" t="s">
        <v>1018</v>
      </c>
      <c r="B9" s="5" t="s">
        <v>1018</v>
      </c>
      <c r="C9" s="5" t="s">
        <v>1019</v>
      </c>
      <c r="D9" s="5" t="n">
        <v>2011</v>
      </c>
      <c r="E9" s="5" t="s">
        <v>1020</v>
      </c>
      <c r="F9" s="5" t="s">
        <v>887</v>
      </c>
      <c r="G9" s="5" t="s">
        <v>1023</v>
      </c>
      <c r="H9" s="5" t="n">
        <v>29.017</v>
      </c>
      <c r="I9" s="5" t="n">
        <v>77.75</v>
      </c>
      <c r="J9" s="5" t="s">
        <v>83</v>
      </c>
      <c r="K9" s="5" t="s">
        <v>2802</v>
      </c>
      <c r="L9" s="5" t="s">
        <v>84</v>
      </c>
      <c r="M9" s="5" t="s">
        <v>85</v>
      </c>
      <c r="N9" s="5" t="s">
        <v>86</v>
      </c>
      <c r="O9" s="5" t="s">
        <v>2637</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2803</v>
      </c>
      <c r="AK9" s="5"/>
      <c r="AL9" s="5"/>
      <c r="AM9" s="5" t="n">
        <v>8.1</v>
      </c>
      <c r="AN9" s="5"/>
      <c r="AO9" s="5"/>
      <c r="AP9" s="5" t="n">
        <v>55</v>
      </c>
      <c r="AQ9" s="5" t="n">
        <v>26</v>
      </c>
      <c r="AR9" s="5" t="s">
        <v>2804</v>
      </c>
      <c r="AS9" s="5" t="s">
        <v>2099</v>
      </c>
      <c r="AT9" s="5" t="s">
        <v>2816</v>
      </c>
      <c r="AU9" s="5" t="s">
        <v>2101</v>
      </c>
      <c r="AV9" s="5" t="s">
        <v>2806</v>
      </c>
      <c r="AW9" s="23" t="s">
        <v>2807</v>
      </c>
      <c r="AX9" s="5" t="s">
        <v>1038</v>
      </c>
      <c r="AY9" s="5" t="s">
        <v>2808</v>
      </c>
    </row>
    <row r="10" customFormat="false" ht="14.25" hidden="false" customHeight="true" outlineLevel="0" collapsed="false">
      <c r="A10" s="5" t="s">
        <v>1018</v>
      </c>
      <c r="B10" s="5" t="s">
        <v>1018</v>
      </c>
      <c r="C10" s="5" t="s">
        <v>1019</v>
      </c>
      <c r="D10" s="5" t="n">
        <v>2011</v>
      </c>
      <c r="E10" s="5" t="s">
        <v>1020</v>
      </c>
      <c r="F10" s="5" t="s">
        <v>887</v>
      </c>
      <c r="G10" s="5" t="s">
        <v>1023</v>
      </c>
      <c r="H10" s="5" t="n">
        <v>29.017</v>
      </c>
      <c r="I10" s="5" t="n">
        <v>77.75</v>
      </c>
      <c r="J10" s="5" t="s">
        <v>83</v>
      </c>
      <c r="K10" s="5" t="s">
        <v>2802</v>
      </c>
      <c r="L10" s="5" t="s">
        <v>84</v>
      </c>
      <c r="M10" s="5" t="s">
        <v>85</v>
      </c>
      <c r="N10" s="5" t="s">
        <v>86</v>
      </c>
      <c r="O10" s="5" t="s">
        <v>2637</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2803</v>
      </c>
      <c r="AK10" s="5"/>
      <c r="AL10" s="5"/>
      <c r="AM10" s="5" t="n">
        <v>8.1</v>
      </c>
      <c r="AN10" s="5"/>
      <c r="AO10" s="5"/>
      <c r="AP10" s="5" t="n">
        <v>55</v>
      </c>
      <c r="AQ10" s="5" t="n">
        <v>26</v>
      </c>
      <c r="AR10" s="5" t="s">
        <v>2804</v>
      </c>
      <c r="AS10" s="5" t="s">
        <v>2099</v>
      </c>
      <c r="AT10" s="5" t="s">
        <v>2817</v>
      </c>
      <c r="AU10" s="5" t="s">
        <v>2101</v>
      </c>
      <c r="AV10" s="5" t="s">
        <v>2806</v>
      </c>
      <c r="AW10" s="23" t="s">
        <v>2807</v>
      </c>
      <c r="AX10" s="5" t="s">
        <v>1038</v>
      </c>
      <c r="AY10" s="5" t="s">
        <v>2808</v>
      </c>
    </row>
    <row r="11" customFormat="false" ht="14.25" hidden="false" customHeight="true" outlineLevel="0" collapsed="false">
      <c r="A11" s="5" t="s">
        <v>1018</v>
      </c>
      <c r="B11" s="5" t="s">
        <v>1018</v>
      </c>
      <c r="C11" s="5" t="s">
        <v>1019</v>
      </c>
      <c r="D11" s="5" t="n">
        <v>2011</v>
      </c>
      <c r="E11" s="5" t="s">
        <v>1020</v>
      </c>
      <c r="F11" s="5" t="s">
        <v>887</v>
      </c>
      <c r="G11" s="5" t="s">
        <v>1023</v>
      </c>
      <c r="H11" s="5" t="n">
        <v>29.017</v>
      </c>
      <c r="I11" s="5" t="n">
        <v>77.75</v>
      </c>
      <c r="J11" s="5" t="s">
        <v>83</v>
      </c>
      <c r="K11" s="5" t="s">
        <v>2802</v>
      </c>
      <c r="L11" s="5" t="s">
        <v>84</v>
      </c>
      <c r="M11" s="5" t="s">
        <v>85</v>
      </c>
      <c r="N11" s="5" t="s">
        <v>86</v>
      </c>
      <c r="O11" s="5" t="s">
        <v>2637</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2803</v>
      </c>
      <c r="AK11" s="5"/>
      <c r="AL11" s="5"/>
      <c r="AM11" s="5" t="n">
        <v>8.1</v>
      </c>
      <c r="AN11" s="5"/>
      <c r="AO11" s="5"/>
      <c r="AP11" s="5" t="n">
        <v>55</v>
      </c>
      <c r="AQ11" s="5" t="n">
        <v>26</v>
      </c>
      <c r="AR11" s="5" t="s">
        <v>2804</v>
      </c>
      <c r="AS11" s="5" t="s">
        <v>2099</v>
      </c>
      <c r="AT11" s="5" t="s">
        <v>2818</v>
      </c>
      <c r="AU11" s="5" t="s">
        <v>2101</v>
      </c>
      <c r="AV11" s="5" t="s">
        <v>2806</v>
      </c>
      <c r="AW11" s="23" t="s">
        <v>2807</v>
      </c>
      <c r="AX11" s="5" t="s">
        <v>1038</v>
      </c>
      <c r="AY11" s="5" t="s">
        <v>2808</v>
      </c>
    </row>
    <row r="12" customFormat="false" ht="14.25" hidden="false" customHeight="true" outlineLevel="0" collapsed="false">
      <c r="A12" s="5" t="s">
        <v>1018</v>
      </c>
      <c r="B12" s="5" t="s">
        <v>1018</v>
      </c>
      <c r="C12" s="5" t="s">
        <v>1019</v>
      </c>
      <c r="D12" s="5" t="n">
        <v>2011</v>
      </c>
      <c r="E12" s="5" t="s">
        <v>1020</v>
      </c>
      <c r="F12" s="5" t="s">
        <v>887</v>
      </c>
      <c r="G12" s="5" t="s">
        <v>1023</v>
      </c>
      <c r="H12" s="5" t="n">
        <v>29.017</v>
      </c>
      <c r="I12" s="5" t="n">
        <v>77.75</v>
      </c>
      <c r="J12" s="5" t="s">
        <v>83</v>
      </c>
      <c r="K12" s="5" t="s">
        <v>2802</v>
      </c>
      <c r="L12" s="5" t="s">
        <v>84</v>
      </c>
      <c r="M12" s="5" t="s">
        <v>85</v>
      </c>
      <c r="N12" s="5" t="s">
        <v>86</v>
      </c>
      <c r="O12" s="5" t="s">
        <v>2637</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2803</v>
      </c>
      <c r="AK12" s="5"/>
      <c r="AL12" s="5"/>
      <c r="AM12" s="5" t="n">
        <v>8.1</v>
      </c>
      <c r="AN12" s="5"/>
      <c r="AO12" s="5"/>
      <c r="AP12" s="5" t="n">
        <v>55</v>
      </c>
      <c r="AQ12" s="5" t="n">
        <v>26</v>
      </c>
      <c r="AR12" s="5" t="s">
        <v>2804</v>
      </c>
      <c r="AS12" s="5" t="s">
        <v>2099</v>
      </c>
      <c r="AT12" s="5" t="s">
        <v>2819</v>
      </c>
      <c r="AU12" s="5" t="s">
        <v>2101</v>
      </c>
      <c r="AV12" s="5" t="s">
        <v>2806</v>
      </c>
      <c r="AW12" s="23" t="s">
        <v>2807</v>
      </c>
      <c r="AX12" s="5" t="s">
        <v>1038</v>
      </c>
      <c r="AY12" s="5" t="s">
        <v>2808</v>
      </c>
    </row>
    <row r="13" customFormat="false" ht="14.25" hidden="false" customHeight="true" outlineLevel="0" collapsed="false">
      <c r="A13" s="5" t="s">
        <v>1018</v>
      </c>
      <c r="B13" s="5" t="s">
        <v>1018</v>
      </c>
      <c r="C13" s="5" t="s">
        <v>1019</v>
      </c>
      <c r="D13" s="5" t="n">
        <v>2011</v>
      </c>
      <c r="E13" s="5" t="s">
        <v>1020</v>
      </c>
      <c r="F13" s="5" t="s">
        <v>887</v>
      </c>
      <c r="G13" s="5" t="s">
        <v>1023</v>
      </c>
      <c r="H13" s="5" t="n">
        <v>29.017</v>
      </c>
      <c r="I13" s="5" t="n">
        <v>77.75</v>
      </c>
      <c r="J13" s="5" t="s">
        <v>83</v>
      </c>
      <c r="K13" s="5" t="s">
        <v>2802</v>
      </c>
      <c r="L13" s="5" t="s">
        <v>84</v>
      </c>
      <c r="M13" s="5" t="s">
        <v>85</v>
      </c>
      <c r="N13" s="5" t="s">
        <v>86</v>
      </c>
      <c r="O13" s="5" t="s">
        <v>2637</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2803</v>
      </c>
      <c r="AK13" s="5"/>
      <c r="AL13" s="5"/>
      <c r="AM13" s="5" t="n">
        <v>8.1</v>
      </c>
      <c r="AN13" s="5"/>
      <c r="AO13" s="5"/>
      <c r="AP13" s="5" t="n">
        <v>55</v>
      </c>
      <c r="AQ13" s="5" t="n">
        <v>26</v>
      </c>
      <c r="AR13" s="5" t="s">
        <v>2804</v>
      </c>
      <c r="AS13" s="5" t="s">
        <v>2099</v>
      </c>
      <c r="AT13" s="5" t="s">
        <v>2820</v>
      </c>
      <c r="AU13" s="5" t="s">
        <v>2101</v>
      </c>
      <c r="AV13" s="5" t="s">
        <v>2806</v>
      </c>
      <c r="AW13" s="23" t="s">
        <v>2807</v>
      </c>
      <c r="AX13" s="5" t="s">
        <v>1038</v>
      </c>
      <c r="AY13" s="5" t="s">
        <v>2808</v>
      </c>
    </row>
    <row r="14" customFormat="false" ht="14.25" hidden="false" customHeight="true" outlineLevel="0" collapsed="false">
      <c r="A14" s="5" t="s">
        <v>1018</v>
      </c>
      <c r="B14" s="5" t="s">
        <v>1018</v>
      </c>
      <c r="C14" s="5" t="s">
        <v>1019</v>
      </c>
      <c r="D14" s="5" t="n">
        <v>2011</v>
      </c>
      <c r="E14" s="5" t="s">
        <v>1020</v>
      </c>
      <c r="F14" s="5" t="s">
        <v>887</v>
      </c>
      <c r="G14" s="5" t="s">
        <v>1023</v>
      </c>
      <c r="H14" s="5" t="n">
        <v>29.017</v>
      </c>
      <c r="I14" s="5" t="n">
        <v>77.75</v>
      </c>
      <c r="J14" s="5" t="s">
        <v>83</v>
      </c>
      <c r="K14" s="5" t="s">
        <v>2802</v>
      </c>
      <c r="L14" s="5" t="s">
        <v>84</v>
      </c>
      <c r="M14" s="5" t="s">
        <v>85</v>
      </c>
      <c r="N14" s="5" t="s">
        <v>86</v>
      </c>
      <c r="O14" s="5" t="s">
        <v>2637</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2803</v>
      </c>
      <c r="AK14" s="5"/>
      <c r="AL14" s="5"/>
      <c r="AM14" s="5" t="n">
        <v>8.1</v>
      </c>
      <c r="AN14" s="5"/>
      <c r="AO14" s="5"/>
      <c r="AP14" s="5" t="n">
        <v>55</v>
      </c>
      <c r="AQ14" s="5" t="n">
        <v>26</v>
      </c>
      <c r="AR14" s="5" t="s">
        <v>2804</v>
      </c>
      <c r="AS14" s="5" t="s">
        <v>2099</v>
      </c>
      <c r="AT14" s="5" t="s">
        <v>2821</v>
      </c>
      <c r="AU14" s="5" t="s">
        <v>2101</v>
      </c>
      <c r="AV14" s="5" t="s">
        <v>2806</v>
      </c>
      <c r="AW14" s="23" t="s">
        <v>2807</v>
      </c>
      <c r="AX14" s="5" t="s">
        <v>1038</v>
      </c>
      <c r="AY14" s="5" t="s">
        <v>2808</v>
      </c>
    </row>
    <row r="15" customFormat="false" ht="14.25" hidden="false" customHeight="true" outlineLevel="0" collapsed="false">
      <c r="A15" s="5" t="s">
        <v>1018</v>
      </c>
      <c r="B15" s="5" t="s">
        <v>1018</v>
      </c>
      <c r="C15" s="5" t="s">
        <v>1019</v>
      </c>
      <c r="D15" s="5" t="n">
        <v>2011</v>
      </c>
      <c r="E15" s="5" t="s">
        <v>1020</v>
      </c>
      <c r="F15" s="5" t="s">
        <v>887</v>
      </c>
      <c r="G15" s="5" t="s">
        <v>1023</v>
      </c>
      <c r="H15" s="5" t="n">
        <v>29.017</v>
      </c>
      <c r="I15" s="5" t="n">
        <v>77.75</v>
      </c>
      <c r="J15" s="5" t="s">
        <v>83</v>
      </c>
      <c r="K15" s="5" t="s">
        <v>2802</v>
      </c>
      <c r="L15" s="5" t="s">
        <v>84</v>
      </c>
      <c r="M15" s="5" t="s">
        <v>85</v>
      </c>
      <c r="N15" s="5" t="s">
        <v>86</v>
      </c>
      <c r="O15" s="5" t="s">
        <v>2637</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2803</v>
      </c>
      <c r="AK15" s="5"/>
      <c r="AL15" s="5"/>
      <c r="AM15" s="5" t="n">
        <v>8.1</v>
      </c>
      <c r="AN15" s="5"/>
      <c r="AO15" s="5"/>
      <c r="AP15" s="5" t="n">
        <v>55</v>
      </c>
      <c r="AQ15" s="5" t="n">
        <v>26</v>
      </c>
      <c r="AR15" s="5" t="s">
        <v>2804</v>
      </c>
      <c r="AS15" s="5" t="s">
        <v>2099</v>
      </c>
      <c r="AT15" s="5" t="s">
        <v>2822</v>
      </c>
      <c r="AU15" s="5" t="s">
        <v>2101</v>
      </c>
      <c r="AV15" s="5" t="s">
        <v>2806</v>
      </c>
      <c r="AW15" s="23" t="s">
        <v>2807</v>
      </c>
      <c r="AX15" s="5" t="s">
        <v>1038</v>
      </c>
      <c r="AY15" s="5" t="s">
        <v>2808</v>
      </c>
    </row>
    <row r="16" customFormat="false" ht="14.25" hidden="false" customHeight="true" outlineLevel="0" collapsed="false">
      <c r="A16" s="5" t="s">
        <v>1018</v>
      </c>
      <c r="B16" s="5" t="s">
        <v>1018</v>
      </c>
      <c r="C16" s="5" t="s">
        <v>1019</v>
      </c>
      <c r="D16" s="5" t="n">
        <v>2011</v>
      </c>
      <c r="E16" s="5" t="s">
        <v>1020</v>
      </c>
      <c r="F16" s="5" t="s">
        <v>887</v>
      </c>
      <c r="G16" s="5" t="s">
        <v>1023</v>
      </c>
      <c r="H16" s="5" t="n">
        <v>29.017</v>
      </c>
      <c r="I16" s="5" t="n">
        <v>77.75</v>
      </c>
      <c r="J16" s="5" t="s">
        <v>83</v>
      </c>
      <c r="K16" s="5" t="s">
        <v>2802</v>
      </c>
      <c r="L16" s="5" t="s">
        <v>84</v>
      </c>
      <c r="M16" s="5" t="s">
        <v>85</v>
      </c>
      <c r="N16" s="5" t="s">
        <v>86</v>
      </c>
      <c r="O16" s="5" t="s">
        <v>2637</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2803</v>
      </c>
      <c r="AK16" s="5"/>
      <c r="AL16" s="5"/>
      <c r="AM16" s="5" t="n">
        <v>8.1</v>
      </c>
      <c r="AN16" s="5"/>
      <c r="AO16" s="5"/>
      <c r="AP16" s="5" t="n">
        <v>55</v>
      </c>
      <c r="AQ16" s="5" t="n">
        <v>26</v>
      </c>
      <c r="AR16" s="5" t="s">
        <v>2804</v>
      </c>
      <c r="AS16" s="5" t="s">
        <v>2099</v>
      </c>
      <c r="AT16" s="5" t="s">
        <v>2823</v>
      </c>
      <c r="AU16" s="5" t="s">
        <v>2101</v>
      </c>
      <c r="AV16" s="5" t="s">
        <v>2806</v>
      </c>
      <c r="AW16" s="23" t="s">
        <v>2807</v>
      </c>
      <c r="AX16" s="5" t="s">
        <v>1038</v>
      </c>
      <c r="AY16" s="5" t="s">
        <v>2808</v>
      </c>
    </row>
    <row r="17" customFormat="false" ht="14.25" hidden="false" customHeight="true" outlineLevel="0" collapsed="false">
      <c r="A17" s="5" t="s">
        <v>1018</v>
      </c>
      <c r="B17" s="5" t="s">
        <v>1018</v>
      </c>
      <c r="C17" s="5" t="s">
        <v>1019</v>
      </c>
      <c r="D17" s="5" t="n">
        <v>2011</v>
      </c>
      <c r="E17" s="5" t="s">
        <v>1020</v>
      </c>
      <c r="F17" s="5" t="s">
        <v>887</v>
      </c>
      <c r="G17" s="5" t="s">
        <v>1023</v>
      </c>
      <c r="H17" s="5" t="n">
        <v>29.017</v>
      </c>
      <c r="I17" s="5" t="n">
        <v>77.75</v>
      </c>
      <c r="J17" s="5" t="s">
        <v>83</v>
      </c>
      <c r="K17" s="5" t="s">
        <v>2802</v>
      </c>
      <c r="L17" s="5" t="s">
        <v>84</v>
      </c>
      <c r="M17" s="5" t="s">
        <v>85</v>
      </c>
      <c r="N17" s="5" t="s">
        <v>86</v>
      </c>
      <c r="O17" s="5" t="s">
        <v>2637</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2803</v>
      </c>
      <c r="AK17" s="5"/>
      <c r="AL17" s="5"/>
      <c r="AM17" s="5" t="n">
        <v>8.1</v>
      </c>
      <c r="AN17" s="5"/>
      <c r="AO17" s="5"/>
      <c r="AP17" s="5" t="n">
        <v>55</v>
      </c>
      <c r="AQ17" s="5" t="n">
        <v>26</v>
      </c>
      <c r="AR17" s="5" t="s">
        <v>2804</v>
      </c>
      <c r="AS17" s="5" t="s">
        <v>2099</v>
      </c>
      <c r="AT17" s="5" t="s">
        <v>2824</v>
      </c>
      <c r="AU17" s="5" t="s">
        <v>2101</v>
      </c>
      <c r="AV17" s="5" t="s">
        <v>2806</v>
      </c>
      <c r="AW17" s="23" t="s">
        <v>2807</v>
      </c>
      <c r="AX17" s="5" t="s">
        <v>1038</v>
      </c>
      <c r="AY17" s="5" t="s">
        <v>2808</v>
      </c>
    </row>
    <row r="18" customFormat="false" ht="14.25" hidden="false" customHeight="true" outlineLevel="0" collapsed="false">
      <c r="A18" s="5" t="s">
        <v>1018</v>
      </c>
      <c r="B18" s="5" t="s">
        <v>1018</v>
      </c>
      <c r="C18" s="5" t="s">
        <v>1019</v>
      </c>
      <c r="D18" s="5" t="n">
        <v>2011</v>
      </c>
      <c r="E18" s="5" t="s">
        <v>1020</v>
      </c>
      <c r="F18" s="5" t="s">
        <v>887</v>
      </c>
      <c r="G18" s="5" t="s">
        <v>1023</v>
      </c>
      <c r="H18" s="5" t="n">
        <v>29.017</v>
      </c>
      <c r="I18" s="5" t="n">
        <v>77.75</v>
      </c>
      <c r="J18" s="5" t="s">
        <v>83</v>
      </c>
      <c r="K18" s="5" t="s">
        <v>2802</v>
      </c>
      <c r="L18" s="5" t="s">
        <v>84</v>
      </c>
      <c r="M18" s="5" t="s">
        <v>85</v>
      </c>
      <c r="N18" s="5" t="s">
        <v>86</v>
      </c>
      <c r="O18" s="5" t="s">
        <v>2637</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2803</v>
      </c>
      <c r="AK18" s="5"/>
      <c r="AL18" s="5"/>
      <c r="AM18" s="5" t="n">
        <v>8.1</v>
      </c>
      <c r="AN18" s="5"/>
      <c r="AO18" s="5"/>
      <c r="AP18" s="5" t="n">
        <v>55</v>
      </c>
      <c r="AQ18" s="5" t="n">
        <v>26</v>
      </c>
      <c r="AR18" s="5" t="s">
        <v>2804</v>
      </c>
      <c r="AS18" s="5" t="s">
        <v>2099</v>
      </c>
      <c r="AT18" s="5" t="s">
        <v>2825</v>
      </c>
      <c r="AU18" s="5" t="s">
        <v>2101</v>
      </c>
      <c r="AV18" s="5" t="s">
        <v>2806</v>
      </c>
      <c r="AW18" s="23" t="s">
        <v>2807</v>
      </c>
      <c r="AX18" s="5" t="s">
        <v>1038</v>
      </c>
      <c r="AY18" s="5" t="s">
        <v>2808</v>
      </c>
    </row>
    <row r="19" customFormat="false" ht="14.25" hidden="false" customHeight="true" outlineLevel="0" collapsed="false">
      <c r="A19" s="5" t="s">
        <v>1018</v>
      </c>
      <c r="B19" s="5" t="s">
        <v>1018</v>
      </c>
      <c r="C19" s="5" t="s">
        <v>1019</v>
      </c>
      <c r="D19" s="5" t="n">
        <v>2011</v>
      </c>
      <c r="E19" s="5" t="s">
        <v>1020</v>
      </c>
      <c r="F19" s="5" t="s">
        <v>887</v>
      </c>
      <c r="G19" s="5" t="s">
        <v>1023</v>
      </c>
      <c r="H19" s="5" t="n">
        <v>29.017</v>
      </c>
      <c r="I19" s="5" t="n">
        <v>77.75</v>
      </c>
      <c r="J19" s="5" t="s">
        <v>83</v>
      </c>
      <c r="K19" s="5" t="s">
        <v>2802</v>
      </c>
      <c r="L19" s="5" t="s">
        <v>84</v>
      </c>
      <c r="M19" s="5" t="s">
        <v>85</v>
      </c>
      <c r="N19" s="5" t="s">
        <v>86</v>
      </c>
      <c r="O19" s="5" t="s">
        <v>2637</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2803</v>
      </c>
      <c r="AK19" s="5"/>
      <c r="AL19" s="5"/>
      <c r="AM19" s="5" t="n">
        <v>8.1</v>
      </c>
      <c r="AN19" s="5"/>
      <c r="AO19" s="5"/>
      <c r="AP19" s="5" t="n">
        <v>55</v>
      </c>
      <c r="AQ19" s="5" t="n">
        <v>26</v>
      </c>
      <c r="AR19" s="5" t="s">
        <v>2804</v>
      </c>
      <c r="AS19" s="5" t="s">
        <v>2099</v>
      </c>
      <c r="AT19" s="5" t="s">
        <v>2826</v>
      </c>
      <c r="AU19" s="5" t="s">
        <v>2101</v>
      </c>
      <c r="AV19" s="5" t="s">
        <v>2806</v>
      </c>
      <c r="AW19" s="23" t="s">
        <v>2807</v>
      </c>
      <c r="AX19" s="5" t="s">
        <v>1038</v>
      </c>
      <c r="AY19" s="5" t="s">
        <v>2808</v>
      </c>
    </row>
    <row r="20" customFormat="false" ht="14.25" hidden="false" customHeight="true" outlineLevel="0" collapsed="false">
      <c r="A20" s="5" t="s">
        <v>1018</v>
      </c>
      <c r="B20" s="5" t="s">
        <v>1018</v>
      </c>
      <c r="C20" s="5" t="s">
        <v>1019</v>
      </c>
      <c r="D20" s="5" t="n">
        <v>2011</v>
      </c>
      <c r="E20" s="5" t="s">
        <v>1020</v>
      </c>
      <c r="F20" s="5" t="s">
        <v>887</v>
      </c>
      <c r="G20" s="5" t="s">
        <v>1023</v>
      </c>
      <c r="H20" s="5" t="n">
        <v>29.017</v>
      </c>
      <c r="I20" s="5" t="n">
        <v>77.75</v>
      </c>
      <c r="J20" s="5" t="s">
        <v>83</v>
      </c>
      <c r="K20" s="5" t="s">
        <v>2802</v>
      </c>
      <c r="L20" s="5" t="s">
        <v>84</v>
      </c>
      <c r="M20" s="5" t="s">
        <v>85</v>
      </c>
      <c r="N20" s="5" t="s">
        <v>86</v>
      </c>
      <c r="O20" s="5" t="s">
        <v>2637</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2803</v>
      </c>
      <c r="AK20" s="5"/>
      <c r="AL20" s="5"/>
      <c r="AM20" s="5" t="n">
        <v>8.1</v>
      </c>
      <c r="AN20" s="5"/>
      <c r="AO20" s="5"/>
      <c r="AP20" s="5" t="n">
        <v>55</v>
      </c>
      <c r="AQ20" s="5" t="n">
        <v>26</v>
      </c>
      <c r="AR20" s="5" t="s">
        <v>2804</v>
      </c>
      <c r="AS20" s="5" t="s">
        <v>2099</v>
      </c>
      <c r="AT20" s="5" t="s">
        <v>2827</v>
      </c>
      <c r="AU20" s="5" t="s">
        <v>2101</v>
      </c>
      <c r="AV20" s="5" t="s">
        <v>2806</v>
      </c>
      <c r="AW20" s="23" t="s">
        <v>2807</v>
      </c>
      <c r="AX20" s="5" t="s">
        <v>1038</v>
      </c>
      <c r="AY20" s="5" t="s">
        <v>2808</v>
      </c>
    </row>
    <row r="21" customFormat="false" ht="14.25" hidden="false" customHeight="true" outlineLevel="0" collapsed="false">
      <c r="A21" s="5" t="s">
        <v>1018</v>
      </c>
      <c r="B21" s="5" t="s">
        <v>1018</v>
      </c>
      <c r="C21" s="5" t="s">
        <v>1019</v>
      </c>
      <c r="D21" s="5" t="n">
        <v>2011</v>
      </c>
      <c r="E21" s="5" t="s">
        <v>1020</v>
      </c>
      <c r="F21" s="5" t="s">
        <v>887</v>
      </c>
      <c r="G21" s="5" t="s">
        <v>1023</v>
      </c>
      <c r="H21" s="5" t="n">
        <v>29.017</v>
      </c>
      <c r="I21" s="5" t="n">
        <v>77.75</v>
      </c>
      <c r="J21" s="5" t="s">
        <v>83</v>
      </c>
      <c r="K21" s="5" t="s">
        <v>2802</v>
      </c>
      <c r="L21" s="5" t="s">
        <v>84</v>
      </c>
      <c r="M21" s="5" t="s">
        <v>85</v>
      </c>
      <c r="N21" s="5" t="s">
        <v>86</v>
      </c>
      <c r="O21" s="5" t="s">
        <v>2637</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2803</v>
      </c>
      <c r="AK21" s="5"/>
      <c r="AL21" s="5"/>
      <c r="AM21" s="5" t="n">
        <v>8.1</v>
      </c>
      <c r="AN21" s="5"/>
      <c r="AO21" s="5"/>
      <c r="AP21" s="5" t="n">
        <v>55</v>
      </c>
      <c r="AQ21" s="5" t="n">
        <v>26</v>
      </c>
      <c r="AR21" s="5" t="s">
        <v>2804</v>
      </c>
      <c r="AS21" s="5" t="s">
        <v>2099</v>
      </c>
      <c r="AT21" s="5" t="s">
        <v>2828</v>
      </c>
      <c r="AU21" s="5" t="s">
        <v>2101</v>
      </c>
      <c r="AV21" s="5" t="s">
        <v>2806</v>
      </c>
      <c r="AW21" s="23" t="s">
        <v>2807</v>
      </c>
      <c r="AX21" s="5" t="s">
        <v>1038</v>
      </c>
      <c r="AY21" s="5" t="s">
        <v>2808</v>
      </c>
    </row>
    <row r="22" customFormat="false" ht="14.25" hidden="false" customHeight="true" outlineLevel="0" collapsed="false">
      <c r="A22" s="5" t="s">
        <v>1018</v>
      </c>
      <c r="B22" s="5" t="s">
        <v>1018</v>
      </c>
      <c r="C22" s="5" t="s">
        <v>1019</v>
      </c>
      <c r="D22" s="5" t="n">
        <v>2011</v>
      </c>
      <c r="E22" s="5" t="s">
        <v>1020</v>
      </c>
      <c r="F22" s="5" t="s">
        <v>887</v>
      </c>
      <c r="G22" s="5" t="s">
        <v>1023</v>
      </c>
      <c r="H22" s="5" t="n">
        <v>29.017</v>
      </c>
      <c r="I22" s="5" t="n">
        <v>77.75</v>
      </c>
      <c r="J22" s="5" t="s">
        <v>83</v>
      </c>
      <c r="K22" s="5" t="s">
        <v>2802</v>
      </c>
      <c r="L22" s="5" t="s">
        <v>84</v>
      </c>
      <c r="M22" s="5" t="s">
        <v>85</v>
      </c>
      <c r="N22" s="5" t="s">
        <v>86</v>
      </c>
      <c r="O22" s="5" t="s">
        <v>2637</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2803</v>
      </c>
      <c r="AK22" s="5"/>
      <c r="AL22" s="5"/>
      <c r="AM22" s="5" t="n">
        <v>8.1</v>
      </c>
      <c r="AN22" s="5"/>
      <c r="AO22" s="5"/>
      <c r="AP22" s="5" t="n">
        <v>55</v>
      </c>
      <c r="AQ22" s="5" t="n">
        <v>26</v>
      </c>
      <c r="AR22" s="5" t="s">
        <v>2804</v>
      </c>
      <c r="AS22" s="5" t="s">
        <v>2099</v>
      </c>
      <c r="AT22" s="5" t="s">
        <v>2829</v>
      </c>
      <c r="AU22" s="5" t="s">
        <v>2101</v>
      </c>
      <c r="AV22" s="5" t="s">
        <v>2806</v>
      </c>
      <c r="AW22" s="23" t="s">
        <v>2807</v>
      </c>
      <c r="AX22" s="5" t="s">
        <v>1038</v>
      </c>
      <c r="AY22" s="5" t="s">
        <v>2808</v>
      </c>
    </row>
    <row r="23" customFormat="false" ht="14.25" hidden="false" customHeight="true" outlineLevel="0" collapsed="false">
      <c r="A23" s="5" t="s">
        <v>1018</v>
      </c>
      <c r="B23" s="5" t="s">
        <v>1018</v>
      </c>
      <c r="C23" s="5" t="s">
        <v>1019</v>
      </c>
      <c r="D23" s="5" t="n">
        <v>2011</v>
      </c>
      <c r="E23" s="5" t="s">
        <v>1020</v>
      </c>
      <c r="F23" s="5" t="s">
        <v>887</v>
      </c>
      <c r="G23" s="5" t="s">
        <v>1023</v>
      </c>
      <c r="H23" s="5" t="n">
        <v>29.017</v>
      </c>
      <c r="I23" s="5" t="n">
        <v>77.75</v>
      </c>
      <c r="J23" s="5" t="s">
        <v>83</v>
      </c>
      <c r="K23" s="5" t="s">
        <v>2802</v>
      </c>
      <c r="L23" s="5" t="s">
        <v>84</v>
      </c>
      <c r="M23" s="5" t="s">
        <v>85</v>
      </c>
      <c r="N23" s="5" t="s">
        <v>86</v>
      </c>
      <c r="O23" s="5" t="s">
        <v>2637</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2803</v>
      </c>
      <c r="AK23" s="5"/>
      <c r="AL23" s="5"/>
      <c r="AM23" s="5" t="n">
        <v>8.1</v>
      </c>
      <c r="AN23" s="5"/>
      <c r="AO23" s="5"/>
      <c r="AP23" s="5" t="n">
        <v>55</v>
      </c>
      <c r="AQ23" s="5" t="n">
        <v>26</v>
      </c>
      <c r="AR23" s="5" t="s">
        <v>2804</v>
      </c>
      <c r="AS23" s="5" t="s">
        <v>2099</v>
      </c>
      <c r="AT23" s="5" t="s">
        <v>2830</v>
      </c>
      <c r="AU23" s="5" t="s">
        <v>2101</v>
      </c>
      <c r="AV23" s="5" t="s">
        <v>2806</v>
      </c>
      <c r="AW23" s="23" t="s">
        <v>2807</v>
      </c>
      <c r="AX23" s="5" t="s">
        <v>1038</v>
      </c>
      <c r="AY23" s="5" t="s">
        <v>2808</v>
      </c>
    </row>
    <row r="24" customFormat="false" ht="14.25" hidden="false" customHeight="true" outlineLevel="0" collapsed="false">
      <c r="A24" s="5" t="s">
        <v>1018</v>
      </c>
      <c r="B24" s="5" t="s">
        <v>1018</v>
      </c>
      <c r="C24" s="5" t="s">
        <v>1019</v>
      </c>
      <c r="D24" s="5" t="n">
        <v>2011</v>
      </c>
      <c r="E24" s="5" t="s">
        <v>1020</v>
      </c>
      <c r="F24" s="5" t="s">
        <v>887</v>
      </c>
      <c r="G24" s="5" t="s">
        <v>1023</v>
      </c>
      <c r="H24" s="5" t="n">
        <v>29.017</v>
      </c>
      <c r="I24" s="5" t="n">
        <v>77.75</v>
      </c>
      <c r="J24" s="5" t="s">
        <v>83</v>
      </c>
      <c r="K24" s="5" t="s">
        <v>2802</v>
      </c>
      <c r="L24" s="5" t="s">
        <v>84</v>
      </c>
      <c r="M24" s="5" t="s">
        <v>85</v>
      </c>
      <c r="N24" s="5" t="s">
        <v>86</v>
      </c>
      <c r="O24" s="5" t="s">
        <v>2637</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2803</v>
      </c>
      <c r="AK24" s="5"/>
      <c r="AL24" s="5"/>
      <c r="AM24" s="5" t="n">
        <v>8.1</v>
      </c>
      <c r="AN24" s="5"/>
      <c r="AO24" s="5"/>
      <c r="AP24" s="5" t="n">
        <v>55</v>
      </c>
      <c r="AQ24" s="5" t="n">
        <v>26</v>
      </c>
      <c r="AR24" s="5" t="s">
        <v>2804</v>
      </c>
      <c r="AS24" s="5" t="s">
        <v>2099</v>
      </c>
      <c r="AT24" s="5" t="s">
        <v>2831</v>
      </c>
      <c r="AU24" s="5" t="s">
        <v>2101</v>
      </c>
      <c r="AV24" s="5" t="s">
        <v>2806</v>
      </c>
      <c r="AW24" s="23" t="s">
        <v>2807</v>
      </c>
      <c r="AX24" s="5" t="s">
        <v>1038</v>
      </c>
      <c r="AY24" s="5" t="s">
        <v>2808</v>
      </c>
    </row>
    <row r="25" customFormat="false" ht="14.25" hidden="false" customHeight="true" outlineLevel="0" collapsed="false">
      <c r="A25" s="5" t="s">
        <v>1018</v>
      </c>
      <c r="B25" s="5" t="s">
        <v>1018</v>
      </c>
      <c r="C25" s="5" t="s">
        <v>1019</v>
      </c>
      <c r="D25" s="5" t="n">
        <v>2011</v>
      </c>
      <c r="E25" s="5" t="s">
        <v>1020</v>
      </c>
      <c r="F25" s="5" t="s">
        <v>887</v>
      </c>
      <c r="G25" s="5" t="s">
        <v>1023</v>
      </c>
      <c r="H25" s="5" t="n">
        <v>29.017</v>
      </c>
      <c r="I25" s="5" t="n">
        <v>77.75</v>
      </c>
      <c r="J25" s="5" t="s">
        <v>83</v>
      </c>
      <c r="K25" s="5" t="s">
        <v>2802</v>
      </c>
      <c r="L25" s="5" t="s">
        <v>84</v>
      </c>
      <c r="M25" s="5" t="s">
        <v>85</v>
      </c>
      <c r="N25" s="5" t="s">
        <v>86</v>
      </c>
      <c r="O25" s="5" t="s">
        <v>2637</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2803</v>
      </c>
      <c r="AK25" s="5"/>
      <c r="AL25" s="5"/>
      <c r="AM25" s="5" t="n">
        <v>8.1</v>
      </c>
      <c r="AN25" s="5"/>
      <c r="AO25" s="5"/>
      <c r="AP25" s="5" t="n">
        <v>55</v>
      </c>
      <c r="AQ25" s="5" t="n">
        <v>26</v>
      </c>
      <c r="AR25" s="5" t="s">
        <v>2804</v>
      </c>
      <c r="AS25" s="5" t="s">
        <v>2099</v>
      </c>
      <c r="AT25" s="5" t="s">
        <v>2832</v>
      </c>
      <c r="AU25" s="5" t="s">
        <v>2101</v>
      </c>
      <c r="AV25" s="5" t="s">
        <v>2806</v>
      </c>
      <c r="AW25" s="23" t="s">
        <v>2807</v>
      </c>
      <c r="AX25" s="5" t="s">
        <v>1038</v>
      </c>
      <c r="AY25" s="5" t="s">
        <v>2808</v>
      </c>
    </row>
    <row r="26" customFormat="false" ht="14.25" hidden="false" customHeight="true" outlineLevel="0" collapsed="false">
      <c r="A26" s="5" t="s">
        <v>1018</v>
      </c>
      <c r="B26" s="5" t="s">
        <v>1018</v>
      </c>
      <c r="C26" s="5" t="s">
        <v>1019</v>
      </c>
      <c r="D26" s="5" t="n">
        <v>2011</v>
      </c>
      <c r="E26" s="5" t="s">
        <v>1020</v>
      </c>
      <c r="F26" s="5" t="s">
        <v>887</v>
      </c>
      <c r="G26" s="5" t="s">
        <v>1023</v>
      </c>
      <c r="H26" s="5" t="n">
        <v>29.017</v>
      </c>
      <c r="I26" s="5" t="n">
        <v>77.75</v>
      </c>
      <c r="J26" s="5" t="s">
        <v>83</v>
      </c>
      <c r="K26" s="5" t="s">
        <v>2802</v>
      </c>
      <c r="L26" s="5" t="s">
        <v>84</v>
      </c>
      <c r="M26" s="5" t="s">
        <v>85</v>
      </c>
      <c r="N26" s="5" t="s">
        <v>86</v>
      </c>
      <c r="O26" s="5" t="s">
        <v>2637</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2803</v>
      </c>
      <c r="AK26" s="5"/>
      <c r="AL26" s="5"/>
      <c r="AM26" s="5" t="n">
        <v>8.1</v>
      </c>
      <c r="AN26" s="5"/>
      <c r="AO26" s="5"/>
      <c r="AP26" s="5" t="n">
        <v>55</v>
      </c>
      <c r="AQ26" s="5" t="n">
        <v>26</v>
      </c>
      <c r="AR26" s="5" t="s">
        <v>2804</v>
      </c>
      <c r="AS26" s="5" t="s">
        <v>2099</v>
      </c>
      <c r="AT26" s="5" t="s">
        <v>2833</v>
      </c>
      <c r="AU26" s="5" t="s">
        <v>2101</v>
      </c>
      <c r="AV26" s="5" t="s">
        <v>2806</v>
      </c>
      <c r="AW26" s="23" t="s">
        <v>2807</v>
      </c>
      <c r="AX26" s="5" t="s">
        <v>1038</v>
      </c>
      <c r="AY26" s="5" t="s">
        <v>2808</v>
      </c>
    </row>
    <row r="27" customFormat="false" ht="14.25" hidden="false" customHeight="true" outlineLevel="0" collapsed="false">
      <c r="A27" s="5" t="s">
        <v>1018</v>
      </c>
      <c r="B27" s="5" t="s">
        <v>1018</v>
      </c>
      <c r="C27" s="5" t="s">
        <v>1019</v>
      </c>
      <c r="D27" s="5" t="n">
        <v>2011</v>
      </c>
      <c r="E27" s="5" t="s">
        <v>1020</v>
      </c>
      <c r="F27" s="5" t="s">
        <v>887</v>
      </c>
      <c r="G27" s="5" t="s">
        <v>1023</v>
      </c>
      <c r="H27" s="5" t="n">
        <v>29.017</v>
      </c>
      <c r="I27" s="5" t="n">
        <v>77.75</v>
      </c>
      <c r="J27" s="5" t="s">
        <v>83</v>
      </c>
      <c r="K27" s="5" t="s">
        <v>2802</v>
      </c>
      <c r="L27" s="5" t="s">
        <v>84</v>
      </c>
      <c r="M27" s="5" t="s">
        <v>85</v>
      </c>
      <c r="N27" s="5" t="s">
        <v>86</v>
      </c>
      <c r="O27" s="5" t="s">
        <v>2637</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2803</v>
      </c>
      <c r="AK27" s="5"/>
      <c r="AL27" s="5"/>
      <c r="AM27" s="5" t="n">
        <v>8.1</v>
      </c>
      <c r="AN27" s="5"/>
      <c r="AO27" s="5"/>
      <c r="AP27" s="5" t="n">
        <v>55</v>
      </c>
      <c r="AQ27" s="5" t="n">
        <v>26</v>
      </c>
      <c r="AR27" s="5" t="s">
        <v>2804</v>
      </c>
      <c r="AS27" s="5" t="s">
        <v>2099</v>
      </c>
      <c r="AT27" s="5" t="s">
        <v>2834</v>
      </c>
      <c r="AU27" s="5" t="s">
        <v>2101</v>
      </c>
      <c r="AV27" s="5" t="s">
        <v>2806</v>
      </c>
      <c r="AW27" s="23" t="s">
        <v>2807</v>
      </c>
      <c r="AX27" s="5" t="s">
        <v>1038</v>
      </c>
      <c r="AY27" s="5" t="s">
        <v>2808</v>
      </c>
    </row>
    <row r="28" customFormat="false" ht="14.25" hidden="false" customHeight="true" outlineLevel="0" collapsed="false">
      <c r="A28" s="5" t="s">
        <v>1018</v>
      </c>
      <c r="B28" s="5" t="s">
        <v>1018</v>
      </c>
      <c r="C28" s="5" t="s">
        <v>1019</v>
      </c>
      <c r="D28" s="5" t="n">
        <v>2011</v>
      </c>
      <c r="E28" s="5" t="s">
        <v>1020</v>
      </c>
      <c r="F28" s="5" t="s">
        <v>887</v>
      </c>
      <c r="G28" s="5" t="s">
        <v>1023</v>
      </c>
      <c r="H28" s="5" t="n">
        <v>29.017</v>
      </c>
      <c r="I28" s="5" t="n">
        <v>77.75</v>
      </c>
      <c r="J28" s="5" t="s">
        <v>83</v>
      </c>
      <c r="K28" s="5" t="s">
        <v>2802</v>
      </c>
      <c r="L28" s="5" t="s">
        <v>84</v>
      </c>
      <c r="M28" s="5" t="s">
        <v>85</v>
      </c>
      <c r="N28" s="5" t="s">
        <v>86</v>
      </c>
      <c r="O28" s="5" t="s">
        <v>2637</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2803</v>
      </c>
      <c r="AK28" s="5"/>
      <c r="AL28" s="5"/>
      <c r="AM28" s="5" t="n">
        <v>8.1</v>
      </c>
      <c r="AN28" s="5"/>
      <c r="AO28" s="5"/>
      <c r="AP28" s="5" t="n">
        <v>55</v>
      </c>
      <c r="AQ28" s="5" t="n">
        <v>26</v>
      </c>
      <c r="AR28" s="5" t="s">
        <v>2804</v>
      </c>
      <c r="AS28" s="5" t="s">
        <v>2099</v>
      </c>
      <c r="AT28" s="5" t="s">
        <v>2835</v>
      </c>
      <c r="AU28" s="5" t="s">
        <v>2101</v>
      </c>
      <c r="AV28" s="5" t="s">
        <v>2806</v>
      </c>
      <c r="AW28" s="23" t="s">
        <v>2807</v>
      </c>
      <c r="AX28" s="5" t="s">
        <v>1038</v>
      </c>
      <c r="AY28" s="5" t="s">
        <v>2808</v>
      </c>
    </row>
    <row r="29" customFormat="false" ht="14.25" hidden="false" customHeight="true" outlineLevel="0" collapsed="false">
      <c r="A29" s="5" t="s">
        <v>1018</v>
      </c>
      <c r="B29" s="5" t="s">
        <v>1018</v>
      </c>
      <c r="C29" s="5" t="s">
        <v>1019</v>
      </c>
      <c r="D29" s="5" t="n">
        <v>2011</v>
      </c>
      <c r="E29" s="5" t="s">
        <v>1020</v>
      </c>
      <c r="F29" s="5" t="s">
        <v>887</v>
      </c>
      <c r="G29" s="5" t="s">
        <v>1023</v>
      </c>
      <c r="H29" s="5" t="n">
        <v>29.017</v>
      </c>
      <c r="I29" s="5" t="n">
        <v>77.75</v>
      </c>
      <c r="J29" s="5" t="s">
        <v>83</v>
      </c>
      <c r="K29" s="5" t="s">
        <v>2802</v>
      </c>
      <c r="L29" s="5" t="s">
        <v>84</v>
      </c>
      <c r="M29" s="5" t="s">
        <v>85</v>
      </c>
      <c r="N29" s="5" t="s">
        <v>86</v>
      </c>
      <c r="O29" s="5" t="s">
        <v>2637</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2803</v>
      </c>
      <c r="AK29" s="5"/>
      <c r="AL29" s="5"/>
      <c r="AM29" s="5" t="n">
        <v>8.1</v>
      </c>
      <c r="AN29" s="5"/>
      <c r="AO29" s="5"/>
      <c r="AP29" s="5" t="n">
        <v>55</v>
      </c>
      <c r="AQ29" s="5" t="n">
        <v>26</v>
      </c>
      <c r="AR29" s="5" t="s">
        <v>2804</v>
      </c>
      <c r="AS29" s="5" t="s">
        <v>2099</v>
      </c>
      <c r="AT29" s="5" t="s">
        <v>2836</v>
      </c>
      <c r="AU29" s="5" t="s">
        <v>2101</v>
      </c>
      <c r="AV29" s="5" t="s">
        <v>2806</v>
      </c>
      <c r="AW29" s="23" t="s">
        <v>2807</v>
      </c>
      <c r="AX29" s="5" t="s">
        <v>1038</v>
      </c>
      <c r="AY29" s="5" t="s">
        <v>2808</v>
      </c>
    </row>
    <row r="30" customFormat="false" ht="14.25" hidden="false" customHeight="true" outlineLevel="0" collapsed="false">
      <c r="A30" s="5" t="s">
        <v>1018</v>
      </c>
      <c r="B30" s="5" t="s">
        <v>1018</v>
      </c>
      <c r="C30" s="5" t="s">
        <v>1019</v>
      </c>
      <c r="D30" s="5" t="n">
        <v>2011</v>
      </c>
      <c r="E30" s="5" t="s">
        <v>1020</v>
      </c>
      <c r="F30" s="5" t="s">
        <v>887</v>
      </c>
      <c r="G30" s="5" t="s">
        <v>1023</v>
      </c>
      <c r="H30" s="5" t="n">
        <v>29.017</v>
      </c>
      <c r="I30" s="5" t="n">
        <v>77.75</v>
      </c>
      <c r="J30" s="5" t="s">
        <v>83</v>
      </c>
      <c r="K30" s="5" t="s">
        <v>2802</v>
      </c>
      <c r="L30" s="5" t="s">
        <v>84</v>
      </c>
      <c r="M30" s="5" t="s">
        <v>85</v>
      </c>
      <c r="N30" s="5" t="s">
        <v>86</v>
      </c>
      <c r="O30" s="5" t="s">
        <v>2637</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2803</v>
      </c>
      <c r="AK30" s="5"/>
      <c r="AL30" s="5"/>
      <c r="AM30" s="5" t="n">
        <v>8.1</v>
      </c>
      <c r="AN30" s="5"/>
      <c r="AO30" s="5"/>
      <c r="AP30" s="5" t="n">
        <v>55</v>
      </c>
      <c r="AQ30" s="5" t="n">
        <v>26</v>
      </c>
      <c r="AR30" s="5" t="s">
        <v>2804</v>
      </c>
      <c r="AS30" s="5" t="s">
        <v>2099</v>
      </c>
      <c r="AT30" s="5" t="s">
        <v>2837</v>
      </c>
      <c r="AU30" s="5" t="s">
        <v>2101</v>
      </c>
      <c r="AV30" s="5" t="s">
        <v>2806</v>
      </c>
      <c r="AW30" s="23" t="s">
        <v>2807</v>
      </c>
      <c r="AX30" s="5" t="s">
        <v>1038</v>
      </c>
      <c r="AY30" s="5" t="s">
        <v>2808</v>
      </c>
    </row>
    <row r="31" customFormat="false" ht="14.25" hidden="false" customHeight="true" outlineLevel="0" collapsed="false">
      <c r="A31" s="5" t="s">
        <v>1018</v>
      </c>
      <c r="B31" s="5" t="s">
        <v>1018</v>
      </c>
      <c r="C31" s="5" t="s">
        <v>1019</v>
      </c>
      <c r="D31" s="5" t="n">
        <v>2011</v>
      </c>
      <c r="E31" s="5" t="s">
        <v>1020</v>
      </c>
      <c r="F31" s="5" t="s">
        <v>887</v>
      </c>
      <c r="G31" s="5" t="s">
        <v>1023</v>
      </c>
      <c r="H31" s="5" t="n">
        <v>29.017</v>
      </c>
      <c r="I31" s="5" t="n">
        <v>77.75</v>
      </c>
      <c r="J31" s="5" t="s">
        <v>83</v>
      </c>
      <c r="K31" s="5" t="s">
        <v>2802</v>
      </c>
      <c r="L31" s="5" t="s">
        <v>84</v>
      </c>
      <c r="M31" s="5" t="s">
        <v>85</v>
      </c>
      <c r="N31" s="5" t="s">
        <v>86</v>
      </c>
      <c r="O31" s="5" t="s">
        <v>2637</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2803</v>
      </c>
      <c r="AK31" s="5"/>
      <c r="AL31" s="5"/>
      <c r="AM31" s="5" t="n">
        <v>8.1</v>
      </c>
      <c r="AN31" s="5"/>
      <c r="AO31" s="5"/>
      <c r="AP31" s="5" t="n">
        <v>55</v>
      </c>
      <c r="AQ31" s="5" t="n">
        <v>26</v>
      </c>
      <c r="AR31" s="5" t="s">
        <v>2804</v>
      </c>
      <c r="AS31" s="5" t="s">
        <v>2099</v>
      </c>
      <c r="AT31" s="5" t="s">
        <v>2838</v>
      </c>
      <c r="AU31" s="5" t="s">
        <v>2101</v>
      </c>
      <c r="AV31" s="5" t="s">
        <v>2806</v>
      </c>
      <c r="AW31" s="23" t="s">
        <v>2807</v>
      </c>
      <c r="AX31" s="5" t="s">
        <v>1038</v>
      </c>
      <c r="AY31" s="5" t="s">
        <v>2808</v>
      </c>
    </row>
    <row r="32" customFormat="false" ht="14.25" hidden="false" customHeight="true" outlineLevel="0" collapsed="false">
      <c r="A32" s="5" t="s">
        <v>1018</v>
      </c>
      <c r="B32" s="5" t="s">
        <v>1018</v>
      </c>
      <c r="C32" s="5" t="s">
        <v>1019</v>
      </c>
      <c r="D32" s="5" t="n">
        <v>2011</v>
      </c>
      <c r="E32" s="5" t="s">
        <v>1020</v>
      </c>
      <c r="F32" s="5" t="s">
        <v>887</v>
      </c>
      <c r="G32" s="5" t="s">
        <v>1023</v>
      </c>
      <c r="H32" s="5" t="n">
        <v>29.017</v>
      </c>
      <c r="I32" s="5" t="n">
        <v>77.75</v>
      </c>
      <c r="J32" s="5" t="s">
        <v>83</v>
      </c>
      <c r="K32" s="5" t="s">
        <v>2802</v>
      </c>
      <c r="L32" s="5" t="s">
        <v>84</v>
      </c>
      <c r="M32" s="5" t="s">
        <v>85</v>
      </c>
      <c r="N32" s="5" t="s">
        <v>86</v>
      </c>
      <c r="O32" s="5" t="s">
        <v>2637</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2803</v>
      </c>
      <c r="AK32" s="5"/>
      <c r="AL32" s="5"/>
      <c r="AM32" s="5" t="n">
        <v>8.1</v>
      </c>
      <c r="AN32" s="5"/>
      <c r="AO32" s="5"/>
      <c r="AP32" s="5" t="n">
        <v>55</v>
      </c>
      <c r="AQ32" s="5" t="n">
        <v>26</v>
      </c>
      <c r="AR32" s="5" t="s">
        <v>2804</v>
      </c>
      <c r="AS32" s="5" t="s">
        <v>2099</v>
      </c>
      <c r="AT32" s="5" t="s">
        <v>2839</v>
      </c>
      <c r="AU32" s="5" t="s">
        <v>2101</v>
      </c>
      <c r="AV32" s="5" t="s">
        <v>2806</v>
      </c>
      <c r="AW32" s="23" t="s">
        <v>2807</v>
      </c>
      <c r="AX32" s="5" t="s">
        <v>1038</v>
      </c>
      <c r="AY32" s="5" t="s">
        <v>2808</v>
      </c>
    </row>
    <row r="33" customFormat="false" ht="14.25" hidden="false" customHeight="true" outlineLevel="0" collapsed="false">
      <c r="A33" s="5" t="s">
        <v>1018</v>
      </c>
      <c r="B33" s="5" t="s">
        <v>1018</v>
      </c>
      <c r="C33" s="5" t="s">
        <v>1019</v>
      </c>
      <c r="D33" s="5" t="n">
        <v>2011</v>
      </c>
      <c r="E33" s="5" t="s">
        <v>1020</v>
      </c>
      <c r="F33" s="5" t="s">
        <v>887</v>
      </c>
      <c r="G33" s="5" t="s">
        <v>1023</v>
      </c>
      <c r="H33" s="5" t="n">
        <v>29.017</v>
      </c>
      <c r="I33" s="5" t="n">
        <v>77.75</v>
      </c>
      <c r="J33" s="5" t="s">
        <v>83</v>
      </c>
      <c r="K33" s="5" t="s">
        <v>2802</v>
      </c>
      <c r="L33" s="5" t="s">
        <v>84</v>
      </c>
      <c r="M33" s="5" t="s">
        <v>85</v>
      </c>
      <c r="N33" s="5" t="s">
        <v>86</v>
      </c>
      <c r="O33" s="5" t="s">
        <v>2637</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2803</v>
      </c>
      <c r="AK33" s="5"/>
      <c r="AL33" s="5"/>
      <c r="AM33" s="5" t="n">
        <v>8.1</v>
      </c>
      <c r="AN33" s="5"/>
      <c r="AO33" s="5"/>
      <c r="AP33" s="5" t="n">
        <v>55</v>
      </c>
      <c r="AQ33" s="5" t="n">
        <v>26</v>
      </c>
      <c r="AR33" s="5" t="s">
        <v>2804</v>
      </c>
      <c r="AS33" s="5" t="s">
        <v>2099</v>
      </c>
      <c r="AT33" s="5" t="s">
        <v>2840</v>
      </c>
      <c r="AU33" s="5" t="s">
        <v>2101</v>
      </c>
      <c r="AV33" s="5" t="s">
        <v>2806</v>
      </c>
      <c r="AW33" s="23" t="s">
        <v>2807</v>
      </c>
      <c r="AX33" s="5" t="s">
        <v>1038</v>
      </c>
      <c r="AY33" s="5" t="s">
        <v>2808</v>
      </c>
    </row>
    <row r="34" customFormat="false" ht="14.25" hidden="false" customHeight="true" outlineLevel="0" collapsed="false">
      <c r="A34" s="5" t="s">
        <v>1018</v>
      </c>
      <c r="B34" s="5" t="s">
        <v>1018</v>
      </c>
      <c r="C34" s="5" t="s">
        <v>1019</v>
      </c>
      <c r="D34" s="5" t="n">
        <v>2011</v>
      </c>
      <c r="E34" s="5" t="s">
        <v>1020</v>
      </c>
      <c r="F34" s="5" t="s">
        <v>887</v>
      </c>
      <c r="G34" s="5" t="s">
        <v>1023</v>
      </c>
      <c r="H34" s="5" t="n">
        <v>29.017</v>
      </c>
      <c r="I34" s="5" t="n">
        <v>77.75</v>
      </c>
      <c r="J34" s="5" t="s">
        <v>83</v>
      </c>
      <c r="K34" s="5" t="s">
        <v>2802</v>
      </c>
      <c r="L34" s="5" t="s">
        <v>84</v>
      </c>
      <c r="M34" s="5" t="s">
        <v>85</v>
      </c>
      <c r="N34" s="5" t="s">
        <v>86</v>
      </c>
      <c r="O34" s="5" t="s">
        <v>2637</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2803</v>
      </c>
      <c r="AK34" s="5"/>
      <c r="AL34" s="5"/>
      <c r="AM34" s="5" t="n">
        <v>8.1</v>
      </c>
      <c r="AN34" s="5"/>
      <c r="AO34" s="5"/>
      <c r="AP34" s="5" t="n">
        <v>55</v>
      </c>
      <c r="AQ34" s="5" t="n">
        <v>26</v>
      </c>
      <c r="AR34" s="5" t="s">
        <v>2804</v>
      </c>
      <c r="AS34" s="5" t="s">
        <v>2099</v>
      </c>
      <c r="AT34" s="5" t="s">
        <v>2841</v>
      </c>
      <c r="AU34" s="5" t="s">
        <v>2101</v>
      </c>
      <c r="AV34" s="5" t="s">
        <v>2806</v>
      </c>
      <c r="AW34" s="23" t="s">
        <v>2807</v>
      </c>
      <c r="AX34" s="5" t="s">
        <v>1038</v>
      </c>
      <c r="AY34" s="5" t="s">
        <v>2808</v>
      </c>
    </row>
    <row r="35" customFormat="false" ht="14.25" hidden="false" customHeight="true" outlineLevel="0" collapsed="false">
      <c r="A35" s="5" t="s">
        <v>1018</v>
      </c>
      <c r="B35" s="5" t="s">
        <v>1018</v>
      </c>
      <c r="C35" s="5" t="s">
        <v>1019</v>
      </c>
      <c r="D35" s="5" t="n">
        <v>2011</v>
      </c>
      <c r="E35" s="5" t="s">
        <v>1020</v>
      </c>
      <c r="F35" s="5" t="s">
        <v>887</v>
      </c>
      <c r="G35" s="5" t="s">
        <v>1023</v>
      </c>
      <c r="H35" s="5" t="n">
        <v>29.017</v>
      </c>
      <c r="I35" s="5" t="n">
        <v>77.75</v>
      </c>
      <c r="J35" s="5" t="s">
        <v>83</v>
      </c>
      <c r="K35" s="5" t="s">
        <v>2802</v>
      </c>
      <c r="L35" s="5" t="s">
        <v>84</v>
      </c>
      <c r="M35" s="5" t="s">
        <v>85</v>
      </c>
      <c r="N35" s="5" t="s">
        <v>86</v>
      </c>
      <c r="O35" s="5" t="s">
        <v>2637</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2803</v>
      </c>
      <c r="AK35" s="5"/>
      <c r="AL35" s="5"/>
      <c r="AM35" s="5" t="n">
        <v>8.1</v>
      </c>
      <c r="AN35" s="5"/>
      <c r="AO35" s="5"/>
      <c r="AP35" s="5" t="n">
        <v>55</v>
      </c>
      <c r="AQ35" s="5" t="n">
        <v>26</v>
      </c>
      <c r="AR35" s="5" t="s">
        <v>2804</v>
      </c>
      <c r="AS35" s="5" t="s">
        <v>2099</v>
      </c>
      <c r="AT35" s="5" t="s">
        <v>2842</v>
      </c>
      <c r="AU35" s="5" t="s">
        <v>2101</v>
      </c>
      <c r="AV35" s="5" t="s">
        <v>2806</v>
      </c>
      <c r="AW35" s="23" t="s">
        <v>2807</v>
      </c>
      <c r="AX35" s="5" t="s">
        <v>1038</v>
      </c>
      <c r="AY35" s="5" t="s">
        <v>2808</v>
      </c>
    </row>
    <row r="36" customFormat="false" ht="14.25" hidden="false" customHeight="true" outlineLevel="0" collapsed="false">
      <c r="A36" s="5" t="s">
        <v>1018</v>
      </c>
      <c r="B36" s="5" t="s">
        <v>1018</v>
      </c>
      <c r="C36" s="5" t="s">
        <v>1019</v>
      </c>
      <c r="D36" s="5" t="n">
        <v>2011</v>
      </c>
      <c r="E36" s="5" t="s">
        <v>1020</v>
      </c>
      <c r="F36" s="5" t="s">
        <v>887</v>
      </c>
      <c r="G36" s="5" t="s">
        <v>1023</v>
      </c>
      <c r="H36" s="5" t="n">
        <v>29.017</v>
      </c>
      <c r="I36" s="5" t="n">
        <v>77.75</v>
      </c>
      <c r="J36" s="5" t="s">
        <v>83</v>
      </c>
      <c r="K36" s="5" t="s">
        <v>2802</v>
      </c>
      <c r="L36" s="5" t="s">
        <v>84</v>
      </c>
      <c r="M36" s="5" t="s">
        <v>85</v>
      </c>
      <c r="N36" s="5" t="s">
        <v>86</v>
      </c>
      <c r="O36" s="5" t="s">
        <v>2637</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2803</v>
      </c>
      <c r="AK36" s="5"/>
      <c r="AL36" s="5"/>
      <c r="AM36" s="5" t="n">
        <v>8.1</v>
      </c>
      <c r="AN36" s="5"/>
      <c r="AO36" s="5"/>
      <c r="AP36" s="5" t="n">
        <v>55</v>
      </c>
      <c r="AQ36" s="5" t="n">
        <v>26</v>
      </c>
      <c r="AR36" s="5" t="s">
        <v>2804</v>
      </c>
      <c r="AS36" s="5" t="s">
        <v>2099</v>
      </c>
      <c r="AT36" s="5" t="s">
        <v>2843</v>
      </c>
      <c r="AU36" s="5" t="s">
        <v>2101</v>
      </c>
      <c r="AV36" s="5" t="s">
        <v>2806</v>
      </c>
      <c r="AW36" s="23" t="s">
        <v>2807</v>
      </c>
      <c r="AX36" s="5" t="s">
        <v>1038</v>
      </c>
      <c r="AY36" s="5" t="s">
        <v>2808</v>
      </c>
    </row>
    <row r="37" customFormat="false" ht="14.25" hidden="false" customHeight="true" outlineLevel="0" collapsed="false">
      <c r="A37" s="5" t="s">
        <v>1018</v>
      </c>
      <c r="B37" s="5" t="s">
        <v>1018</v>
      </c>
      <c r="C37" s="5" t="s">
        <v>1019</v>
      </c>
      <c r="D37" s="5" t="n">
        <v>2011</v>
      </c>
      <c r="E37" s="5" t="s">
        <v>1020</v>
      </c>
      <c r="F37" s="5" t="s">
        <v>887</v>
      </c>
      <c r="G37" s="5" t="s">
        <v>1023</v>
      </c>
      <c r="H37" s="5" t="n">
        <v>29.017</v>
      </c>
      <c r="I37" s="5" t="n">
        <v>77.75</v>
      </c>
      <c r="J37" s="5" t="s">
        <v>83</v>
      </c>
      <c r="K37" s="5" t="s">
        <v>2802</v>
      </c>
      <c r="L37" s="5" t="s">
        <v>84</v>
      </c>
      <c r="M37" s="5" t="s">
        <v>85</v>
      </c>
      <c r="N37" s="5" t="s">
        <v>86</v>
      </c>
      <c r="O37" s="5" t="s">
        <v>2637</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2803</v>
      </c>
      <c r="AK37" s="5"/>
      <c r="AL37" s="5"/>
      <c r="AM37" s="5" t="n">
        <v>8.1</v>
      </c>
      <c r="AN37" s="5"/>
      <c r="AO37" s="5"/>
      <c r="AP37" s="5" t="n">
        <v>55</v>
      </c>
      <c r="AQ37" s="5" t="n">
        <v>26</v>
      </c>
      <c r="AR37" s="5" t="s">
        <v>2804</v>
      </c>
      <c r="AS37" s="5" t="s">
        <v>2099</v>
      </c>
      <c r="AT37" s="5" t="s">
        <v>2844</v>
      </c>
      <c r="AU37" s="5" t="s">
        <v>2101</v>
      </c>
      <c r="AV37" s="5" t="s">
        <v>2806</v>
      </c>
      <c r="AW37" s="23" t="s">
        <v>2807</v>
      </c>
      <c r="AX37" s="5" t="s">
        <v>1038</v>
      </c>
      <c r="AY37" s="5" t="s">
        <v>2808</v>
      </c>
    </row>
    <row r="38" customFormat="false" ht="14.25" hidden="false" customHeight="true" outlineLevel="0" collapsed="false">
      <c r="A38" s="5" t="s">
        <v>1018</v>
      </c>
      <c r="B38" s="5" t="s">
        <v>1018</v>
      </c>
      <c r="C38" s="5" t="s">
        <v>1019</v>
      </c>
      <c r="D38" s="5" t="n">
        <v>2011</v>
      </c>
      <c r="E38" s="5" t="s">
        <v>1020</v>
      </c>
      <c r="F38" s="5" t="s">
        <v>887</v>
      </c>
      <c r="G38" s="5" t="s">
        <v>1023</v>
      </c>
      <c r="H38" s="5" t="n">
        <v>29.017</v>
      </c>
      <c r="I38" s="5" t="n">
        <v>77.75</v>
      </c>
      <c r="J38" s="5" t="s">
        <v>83</v>
      </c>
      <c r="K38" s="5" t="s">
        <v>2802</v>
      </c>
      <c r="L38" s="5" t="s">
        <v>84</v>
      </c>
      <c r="M38" s="5" t="s">
        <v>85</v>
      </c>
      <c r="N38" s="5" t="s">
        <v>86</v>
      </c>
      <c r="O38" s="5" t="s">
        <v>2637</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2803</v>
      </c>
      <c r="AK38" s="5"/>
      <c r="AL38" s="5"/>
      <c r="AM38" s="5" t="n">
        <v>8.1</v>
      </c>
      <c r="AN38" s="5"/>
      <c r="AO38" s="5"/>
      <c r="AP38" s="5" t="n">
        <v>55</v>
      </c>
      <c r="AQ38" s="5" t="n">
        <v>26</v>
      </c>
      <c r="AR38" s="5" t="s">
        <v>2804</v>
      </c>
      <c r="AS38" s="5" t="s">
        <v>2099</v>
      </c>
      <c r="AT38" s="5" t="s">
        <v>2845</v>
      </c>
      <c r="AU38" s="5" t="s">
        <v>2101</v>
      </c>
      <c r="AV38" s="5" t="s">
        <v>2806</v>
      </c>
      <c r="AW38" s="23" t="s">
        <v>2807</v>
      </c>
      <c r="AX38" s="5" t="s">
        <v>1038</v>
      </c>
      <c r="AY38" s="5" t="s">
        <v>2808</v>
      </c>
    </row>
    <row r="39" customFormat="false" ht="14.25" hidden="false" customHeight="true" outlineLevel="0" collapsed="false">
      <c r="A39" s="5" t="s">
        <v>1018</v>
      </c>
      <c r="B39" s="5" t="s">
        <v>1018</v>
      </c>
      <c r="C39" s="5" t="s">
        <v>1019</v>
      </c>
      <c r="D39" s="5" t="n">
        <v>2011</v>
      </c>
      <c r="E39" s="5" t="s">
        <v>1020</v>
      </c>
      <c r="F39" s="5" t="s">
        <v>887</v>
      </c>
      <c r="G39" s="5" t="s">
        <v>1023</v>
      </c>
      <c r="H39" s="5" t="n">
        <v>29.017</v>
      </c>
      <c r="I39" s="5" t="n">
        <v>77.75</v>
      </c>
      <c r="J39" s="5" t="s">
        <v>83</v>
      </c>
      <c r="K39" s="5" t="s">
        <v>2802</v>
      </c>
      <c r="L39" s="5" t="s">
        <v>84</v>
      </c>
      <c r="M39" s="5" t="s">
        <v>85</v>
      </c>
      <c r="N39" s="5" t="s">
        <v>86</v>
      </c>
      <c r="O39" s="5" t="s">
        <v>2637</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2803</v>
      </c>
      <c r="AK39" s="5"/>
      <c r="AL39" s="5"/>
      <c r="AM39" s="5" t="n">
        <v>8.1</v>
      </c>
      <c r="AN39" s="5"/>
      <c r="AO39" s="5"/>
      <c r="AP39" s="5" t="n">
        <v>55</v>
      </c>
      <c r="AQ39" s="5" t="n">
        <v>26</v>
      </c>
      <c r="AR39" s="5" t="s">
        <v>2804</v>
      </c>
      <c r="AS39" s="5" t="s">
        <v>2099</v>
      </c>
      <c r="AT39" s="5" t="s">
        <v>2846</v>
      </c>
      <c r="AU39" s="5" t="s">
        <v>2101</v>
      </c>
      <c r="AV39" s="5" t="s">
        <v>2806</v>
      </c>
      <c r="AW39" s="23" t="s">
        <v>2807</v>
      </c>
      <c r="AX39" s="5" t="s">
        <v>1038</v>
      </c>
      <c r="AY39" s="5" t="s">
        <v>2808</v>
      </c>
    </row>
    <row r="40" customFormat="false" ht="14.25" hidden="false" customHeight="true" outlineLevel="0" collapsed="false">
      <c r="A40" s="5" t="s">
        <v>1018</v>
      </c>
      <c r="B40" s="5" t="s">
        <v>1018</v>
      </c>
      <c r="C40" s="5" t="s">
        <v>1019</v>
      </c>
      <c r="D40" s="5" t="n">
        <v>2011</v>
      </c>
      <c r="E40" s="5" t="s">
        <v>1020</v>
      </c>
      <c r="F40" s="5" t="s">
        <v>887</v>
      </c>
      <c r="G40" s="5" t="s">
        <v>1023</v>
      </c>
      <c r="H40" s="5" t="n">
        <v>29.017</v>
      </c>
      <c r="I40" s="5" t="n">
        <v>77.75</v>
      </c>
      <c r="J40" s="5" t="s">
        <v>83</v>
      </c>
      <c r="K40" s="5" t="s">
        <v>2802</v>
      </c>
      <c r="L40" s="5" t="s">
        <v>84</v>
      </c>
      <c r="M40" s="5" t="s">
        <v>85</v>
      </c>
      <c r="N40" s="5" t="s">
        <v>86</v>
      </c>
      <c r="O40" s="5" t="s">
        <v>2637</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2803</v>
      </c>
      <c r="AK40" s="5"/>
      <c r="AL40" s="5"/>
      <c r="AM40" s="5" t="n">
        <v>8.1</v>
      </c>
      <c r="AN40" s="5"/>
      <c r="AO40" s="5"/>
      <c r="AP40" s="5" t="n">
        <v>55</v>
      </c>
      <c r="AQ40" s="5" t="n">
        <v>26</v>
      </c>
      <c r="AR40" s="5" t="s">
        <v>2804</v>
      </c>
      <c r="AS40" s="5" t="s">
        <v>2099</v>
      </c>
      <c r="AT40" s="5" t="s">
        <v>2847</v>
      </c>
      <c r="AU40" s="5" t="s">
        <v>2101</v>
      </c>
      <c r="AV40" s="5" t="s">
        <v>2806</v>
      </c>
      <c r="AW40" s="23" t="s">
        <v>2807</v>
      </c>
      <c r="AX40" s="5" t="s">
        <v>1038</v>
      </c>
      <c r="AY40" s="5" t="s">
        <v>2808</v>
      </c>
    </row>
    <row r="41" customFormat="false" ht="14.25" hidden="false" customHeight="true" outlineLevel="0" collapsed="false">
      <c r="A41" s="5" t="s">
        <v>1018</v>
      </c>
      <c r="B41" s="5" t="s">
        <v>1018</v>
      </c>
      <c r="C41" s="5" t="s">
        <v>1019</v>
      </c>
      <c r="D41" s="5" t="n">
        <v>2011</v>
      </c>
      <c r="E41" s="5" t="s">
        <v>1020</v>
      </c>
      <c r="F41" s="5" t="s">
        <v>887</v>
      </c>
      <c r="G41" s="5" t="s">
        <v>1023</v>
      </c>
      <c r="H41" s="5" t="n">
        <v>29.017</v>
      </c>
      <c r="I41" s="5" t="n">
        <v>77.75</v>
      </c>
      <c r="J41" s="5" t="s">
        <v>83</v>
      </c>
      <c r="K41" s="5" t="s">
        <v>2802</v>
      </c>
      <c r="L41" s="5" t="s">
        <v>84</v>
      </c>
      <c r="M41" s="5" t="s">
        <v>85</v>
      </c>
      <c r="N41" s="5" t="s">
        <v>86</v>
      </c>
      <c r="O41" s="5" t="s">
        <v>2637</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2803</v>
      </c>
      <c r="AK41" s="5"/>
      <c r="AL41" s="5"/>
      <c r="AM41" s="5" t="n">
        <v>8.1</v>
      </c>
      <c r="AN41" s="5"/>
      <c r="AO41" s="5"/>
      <c r="AP41" s="5" t="n">
        <v>55</v>
      </c>
      <c r="AQ41" s="5" t="n">
        <v>26</v>
      </c>
      <c r="AR41" s="5" t="s">
        <v>2804</v>
      </c>
      <c r="AS41" s="5" t="s">
        <v>2099</v>
      </c>
      <c r="AT41" s="5" t="s">
        <v>2848</v>
      </c>
      <c r="AU41" s="5" t="s">
        <v>2101</v>
      </c>
      <c r="AV41" s="5" t="s">
        <v>2806</v>
      </c>
      <c r="AW41" s="23" t="s">
        <v>2807</v>
      </c>
      <c r="AX41" s="5" t="s">
        <v>1038</v>
      </c>
      <c r="AY41" s="5" t="s">
        <v>2808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2849</v>
      </c>
      <c r="Q1" s="27" t="s">
        <v>2850</v>
      </c>
      <c r="R1" s="27" t="s">
        <v>2851</v>
      </c>
      <c r="S1" s="27" t="s">
        <v>2852</v>
      </c>
      <c r="T1" s="27" t="s">
        <v>2853</v>
      </c>
      <c r="U1" s="27" t="s">
        <v>2854</v>
      </c>
      <c r="V1" s="27" t="s">
        <v>2855</v>
      </c>
      <c r="W1" s="27" t="s">
        <v>2856</v>
      </c>
      <c r="X1" s="30" t="s">
        <v>2857</v>
      </c>
      <c r="Y1" s="30" t="s">
        <v>2858</v>
      </c>
      <c r="Z1" s="30" t="s">
        <v>2859</v>
      </c>
      <c r="AA1" s="30" t="s">
        <v>2860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965</v>
      </c>
      <c r="B2" s="18" t="s">
        <v>965</v>
      </c>
      <c r="C2" s="18" t="s">
        <v>966</v>
      </c>
      <c r="D2" s="18" t="n">
        <v>2020</v>
      </c>
      <c r="E2" s="18" t="s">
        <v>967</v>
      </c>
      <c r="F2" s="18" t="s">
        <v>866</v>
      </c>
      <c r="G2" s="18" t="s">
        <v>970</v>
      </c>
      <c r="H2" s="18" t="n">
        <v>28.4</v>
      </c>
      <c r="I2" s="18" t="n">
        <v>77.1</v>
      </c>
      <c r="J2" s="18" t="s">
        <v>83</v>
      </c>
      <c r="K2" s="18" t="s">
        <v>2075</v>
      </c>
      <c r="L2" s="18" t="s">
        <v>853</v>
      </c>
      <c r="M2" s="18" t="s">
        <v>85</v>
      </c>
      <c r="N2" s="18" t="s">
        <v>86</v>
      </c>
      <c r="O2" s="18" t="s">
        <v>2043</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2861</v>
      </c>
      <c r="AS2" s="18" t="s">
        <v>2076</v>
      </c>
      <c r="AT2" s="18" t="s">
        <v>2077</v>
      </c>
      <c r="AU2" s="18" t="s">
        <v>2078</v>
      </c>
      <c r="AV2" s="18" t="s">
        <v>2079</v>
      </c>
      <c r="AW2" s="32" t="s">
        <v>2862</v>
      </c>
      <c r="AX2" s="18" t="s">
        <v>979</v>
      </c>
      <c r="AY2" s="18" t="s">
        <v>2863</v>
      </c>
      <c r="BA2" s="33" t="s">
        <v>1318</v>
      </c>
    </row>
    <row r="3" customFormat="false" ht="15" hidden="false" customHeight="true" outlineLevel="0" collapsed="false">
      <c r="A3" s="18" t="s">
        <v>965</v>
      </c>
      <c r="B3" s="18" t="s">
        <v>965</v>
      </c>
      <c r="C3" s="18" t="s">
        <v>966</v>
      </c>
      <c r="D3" s="18" t="n">
        <v>2020</v>
      </c>
      <c r="E3" s="18" t="s">
        <v>967</v>
      </c>
      <c r="F3" s="18" t="s">
        <v>866</v>
      </c>
      <c r="G3" s="18" t="s">
        <v>970</v>
      </c>
      <c r="H3" s="18" t="n">
        <v>28.4</v>
      </c>
      <c r="I3" s="18" t="n">
        <v>77.1</v>
      </c>
      <c r="J3" s="18" t="s">
        <v>83</v>
      </c>
      <c r="K3" s="18" t="s">
        <v>2075</v>
      </c>
      <c r="L3" s="18" t="s">
        <v>853</v>
      </c>
      <c r="M3" s="18" t="s">
        <v>85</v>
      </c>
      <c r="N3" s="18" t="s">
        <v>86</v>
      </c>
      <c r="O3" s="18" t="s">
        <v>2043</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2861</v>
      </c>
      <c r="AS3" s="18" t="s">
        <v>2082</v>
      </c>
      <c r="AT3" s="18" t="s">
        <v>2077</v>
      </c>
      <c r="AU3" s="18" t="s">
        <v>2078</v>
      </c>
      <c r="AV3" s="18" t="s">
        <v>2079</v>
      </c>
      <c r="AW3" s="32" t="s">
        <v>2864</v>
      </c>
      <c r="AX3" s="18" t="s">
        <v>979</v>
      </c>
      <c r="AY3" s="18" t="s">
        <v>2863</v>
      </c>
    </row>
    <row r="4" customFormat="false" ht="1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2861</v>
      </c>
      <c r="AS4" s="18" t="s">
        <v>2084</v>
      </c>
      <c r="AT4" s="18" t="s">
        <v>2077</v>
      </c>
      <c r="AU4" s="18" t="s">
        <v>2078</v>
      </c>
      <c r="AV4" s="18" t="s">
        <v>2079</v>
      </c>
      <c r="AW4" s="32" t="s">
        <v>2865</v>
      </c>
      <c r="AX4" s="18" t="s">
        <v>979</v>
      </c>
      <c r="AY4" s="18" t="s">
        <v>2863</v>
      </c>
    </row>
    <row r="5" customFormat="false" ht="14.2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2861</v>
      </c>
      <c r="AS5" s="18" t="s">
        <v>2086</v>
      </c>
      <c r="AT5" s="18" t="s">
        <v>2077</v>
      </c>
      <c r="AU5" s="18" t="s">
        <v>2078</v>
      </c>
      <c r="AV5" s="18" t="s">
        <v>2079</v>
      </c>
      <c r="AW5" s="32" t="s">
        <v>2866</v>
      </c>
      <c r="AX5" s="18" t="s">
        <v>979</v>
      </c>
      <c r="AY5" s="18" t="s">
        <v>2863</v>
      </c>
    </row>
    <row r="6" customFormat="false" ht="14.2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2861</v>
      </c>
      <c r="AS6" s="18" t="s">
        <v>2088</v>
      </c>
      <c r="AT6" s="18" t="s">
        <v>2077</v>
      </c>
      <c r="AU6" s="18" t="s">
        <v>2078</v>
      </c>
      <c r="AV6" s="18" t="s">
        <v>2079</v>
      </c>
      <c r="AW6" s="32" t="s">
        <v>2867</v>
      </c>
      <c r="AX6" s="18" t="s">
        <v>979</v>
      </c>
      <c r="AY6" s="18" t="s">
        <v>2863</v>
      </c>
    </row>
    <row r="7" customFormat="false" ht="14.2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2861</v>
      </c>
      <c r="AS7" s="18" t="s">
        <v>2090</v>
      </c>
      <c r="AT7" s="18" t="s">
        <v>2077</v>
      </c>
      <c r="AU7" s="18" t="s">
        <v>2078</v>
      </c>
      <c r="AV7" s="18" t="s">
        <v>2079</v>
      </c>
      <c r="AW7" s="32" t="s">
        <v>2868</v>
      </c>
      <c r="AX7" s="18" t="s">
        <v>979</v>
      </c>
      <c r="AY7" s="18" t="s">
        <v>2863</v>
      </c>
    </row>
    <row r="8" customFormat="false" ht="14.2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2861</v>
      </c>
      <c r="AS8" s="18" t="s">
        <v>2092</v>
      </c>
      <c r="AT8" s="18" t="s">
        <v>2077</v>
      </c>
      <c r="AU8" s="18" t="s">
        <v>2078</v>
      </c>
      <c r="AV8" s="18" t="s">
        <v>2079</v>
      </c>
      <c r="AW8" s="32" t="s">
        <v>2869</v>
      </c>
      <c r="AX8" s="18" t="s">
        <v>979</v>
      </c>
      <c r="AY8" s="18" t="s">
        <v>2863</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2861</v>
      </c>
      <c r="AS9" s="18" t="s">
        <v>2094</v>
      </c>
      <c r="AT9" s="18" t="s">
        <v>2077</v>
      </c>
      <c r="AU9" s="18" t="s">
        <v>2078</v>
      </c>
      <c r="AV9" s="18" t="s">
        <v>2079</v>
      </c>
      <c r="AW9" s="32" t="s">
        <v>2870</v>
      </c>
      <c r="AX9" s="18" t="s">
        <v>979</v>
      </c>
      <c r="AY9" s="18" t="s">
        <v>2863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2871</v>
      </c>
      <c r="Q1" s="27" t="s">
        <v>2872</v>
      </c>
      <c r="R1" s="27" t="s">
        <v>2873</v>
      </c>
      <c r="S1" s="27" t="s">
        <v>2874</v>
      </c>
      <c r="T1" s="27" t="s">
        <v>2875</v>
      </c>
      <c r="U1" s="27" t="s">
        <v>2876</v>
      </c>
      <c r="V1" s="27" t="s">
        <v>2877</v>
      </c>
      <c r="W1" s="27" t="s">
        <v>2878</v>
      </c>
      <c r="X1" s="30" t="s">
        <v>2879</v>
      </c>
      <c r="Y1" s="30" t="s">
        <v>2880</v>
      </c>
      <c r="Z1" s="30" t="s">
        <v>2881</v>
      </c>
      <c r="AA1" s="30" t="s">
        <v>2882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2883</v>
      </c>
      <c r="AS2" s="18" t="s">
        <v>2044</v>
      </c>
      <c r="AT2" s="18" t="s">
        <v>2045</v>
      </c>
      <c r="AU2" s="18" t="s">
        <v>2046</v>
      </c>
      <c r="AV2" s="18" t="s">
        <v>2884</v>
      </c>
      <c r="AW2" s="32" t="s">
        <v>2885</v>
      </c>
      <c r="AX2" s="18" t="s">
        <v>928</v>
      </c>
      <c r="AY2" s="18" t="s">
        <v>2742</v>
      </c>
      <c r="BA2" s="33" t="s">
        <v>1321</v>
      </c>
    </row>
    <row r="3" customFormat="false" ht="1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2317</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2886</v>
      </c>
      <c r="AS3" s="5" t="s">
        <v>2319</v>
      </c>
      <c r="AT3" s="5" t="s">
        <v>2320</v>
      </c>
      <c r="AU3" s="5" t="s">
        <v>2321</v>
      </c>
      <c r="AV3" s="5" t="s">
        <v>91</v>
      </c>
      <c r="AW3" s="23" t="s">
        <v>2887</v>
      </c>
      <c r="AX3" s="5" t="s">
        <v>899</v>
      </c>
      <c r="AY3" s="5" t="s">
        <v>2746</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2888</v>
      </c>
      <c r="AS4" s="5" t="s">
        <v>2319</v>
      </c>
      <c r="AT4" s="5" t="s">
        <v>2320</v>
      </c>
      <c r="AU4" s="5" t="s">
        <v>2321</v>
      </c>
      <c r="AV4" s="5" t="s">
        <v>91</v>
      </c>
      <c r="AW4" s="23" t="s">
        <v>2889</v>
      </c>
      <c r="AX4" s="5" t="s">
        <v>899</v>
      </c>
      <c r="AY4" s="5" t="s">
        <v>2749</v>
      </c>
    </row>
    <row r="5" customFormat="false" ht="14.2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2329</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2886</v>
      </c>
      <c r="AS5" s="5" t="s">
        <v>2319</v>
      </c>
      <c r="AT5" s="5" t="s">
        <v>2320</v>
      </c>
      <c r="AU5" s="5" t="s">
        <v>2321</v>
      </c>
      <c r="AV5" s="5" t="s">
        <v>91</v>
      </c>
      <c r="AW5" s="23" t="s">
        <v>2887</v>
      </c>
      <c r="AX5" s="5" t="s">
        <v>899</v>
      </c>
      <c r="AY5" s="5" t="s">
        <v>2746</v>
      </c>
    </row>
    <row r="6" customFormat="false" ht="14.2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86</v>
      </c>
      <c r="O6" s="5" t="s">
        <v>2329</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2888</v>
      </c>
      <c r="AS6" s="5" t="s">
        <v>2319</v>
      </c>
      <c r="AT6" s="5" t="s">
        <v>2320</v>
      </c>
      <c r="AU6" s="5" t="s">
        <v>2321</v>
      </c>
      <c r="AV6" s="5" t="s">
        <v>91</v>
      </c>
      <c r="AW6" s="23" t="s">
        <v>2889</v>
      </c>
      <c r="AX6" s="5" t="s">
        <v>899</v>
      </c>
      <c r="AY6" s="5" t="s">
        <v>2749</v>
      </c>
    </row>
    <row r="7" customFormat="false" ht="14.25" hidden="false" customHeight="true" outlineLevel="0" collapsed="false">
      <c r="A7" s="5" t="n">
        <v>166</v>
      </c>
      <c r="B7" s="5" t="n">
        <v>166</v>
      </c>
      <c r="C7" s="5" t="s">
        <v>883</v>
      </c>
      <c r="D7" s="5" t="n">
        <v>2014</v>
      </c>
      <c r="E7" s="5" t="s">
        <v>884</v>
      </c>
      <c r="F7" s="5" t="s">
        <v>887</v>
      </c>
      <c r="G7" s="5" t="s">
        <v>888</v>
      </c>
      <c r="H7" s="5" t="n">
        <v>29.067</v>
      </c>
      <c r="I7" s="5" t="n">
        <v>77.767</v>
      </c>
      <c r="J7" s="5" t="s">
        <v>83</v>
      </c>
      <c r="K7" s="5" t="n">
        <v>2011</v>
      </c>
      <c r="L7" s="5" t="s">
        <v>853</v>
      </c>
      <c r="M7" s="5" t="s">
        <v>85</v>
      </c>
      <c r="N7" s="5" t="s">
        <v>2050</v>
      </c>
      <c r="O7" s="5" t="s">
        <v>2051</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2886</v>
      </c>
      <c r="AS7" s="5" t="s">
        <v>2319</v>
      </c>
      <c r="AT7" s="5" t="s">
        <v>2320</v>
      </c>
      <c r="AU7" s="5" t="s">
        <v>2321</v>
      </c>
      <c r="AV7" s="5" t="s">
        <v>91</v>
      </c>
      <c r="AW7" s="23" t="s">
        <v>2890</v>
      </c>
      <c r="AX7" s="5" t="s">
        <v>899</v>
      </c>
      <c r="AY7" s="5" t="s">
        <v>2746</v>
      </c>
    </row>
    <row r="8" customFormat="false" ht="14.25" hidden="false" customHeight="true" outlineLevel="0" collapsed="false">
      <c r="A8" s="5" t="n">
        <v>166</v>
      </c>
      <c r="B8" s="5" t="n">
        <v>166</v>
      </c>
      <c r="C8" s="5" t="s">
        <v>883</v>
      </c>
      <c r="D8" s="5" t="n">
        <v>2014</v>
      </c>
      <c r="E8" s="5" t="s">
        <v>884</v>
      </c>
      <c r="F8" s="5" t="s">
        <v>887</v>
      </c>
      <c r="G8" s="5" t="s">
        <v>888</v>
      </c>
      <c r="H8" s="5" t="n">
        <v>29.067</v>
      </c>
      <c r="I8" s="5" t="n">
        <v>77.767</v>
      </c>
      <c r="J8" s="5" t="s">
        <v>83</v>
      </c>
      <c r="K8" s="5" t="n">
        <v>2011</v>
      </c>
      <c r="L8" s="5" t="s">
        <v>853</v>
      </c>
      <c r="M8" s="5" t="s">
        <v>85</v>
      </c>
      <c r="N8" s="5" t="s">
        <v>2050</v>
      </c>
      <c r="O8" s="5" t="s">
        <v>2051</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2888</v>
      </c>
      <c r="AS8" s="5" t="s">
        <v>2319</v>
      </c>
      <c r="AT8" s="5" t="s">
        <v>2320</v>
      </c>
      <c r="AU8" s="5" t="s">
        <v>2321</v>
      </c>
      <c r="AV8" s="5" t="s">
        <v>91</v>
      </c>
      <c r="AW8" s="23" t="s">
        <v>2891</v>
      </c>
      <c r="AX8" s="5" t="s">
        <v>899</v>
      </c>
      <c r="AY8" s="5" t="s">
        <v>2749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2892</v>
      </c>
      <c r="Q1" s="27" t="s">
        <v>2893</v>
      </c>
      <c r="R1" s="27" t="s">
        <v>2894</v>
      </c>
      <c r="S1" s="27" t="s">
        <v>2895</v>
      </c>
      <c r="T1" s="27" t="s">
        <v>2896</v>
      </c>
      <c r="U1" s="27" t="s">
        <v>2897</v>
      </c>
      <c r="V1" s="27" t="s">
        <v>2898</v>
      </c>
      <c r="W1" s="27" t="s">
        <v>2899</v>
      </c>
      <c r="X1" s="30" t="s">
        <v>2900</v>
      </c>
      <c r="Y1" s="30" t="s">
        <v>2901</v>
      </c>
      <c r="Z1" s="30" t="s">
        <v>2902</v>
      </c>
      <c r="AA1" s="30" t="s">
        <v>2903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2904</v>
      </c>
      <c r="AS2" s="18" t="s">
        <v>2044</v>
      </c>
      <c r="AT2" s="18" t="s">
        <v>2045</v>
      </c>
      <c r="AU2" s="18" t="s">
        <v>2046</v>
      </c>
      <c r="AV2" s="18" t="s">
        <v>2884</v>
      </c>
      <c r="AW2" s="32" t="s">
        <v>2885</v>
      </c>
      <c r="AX2" s="18" t="s">
        <v>928</v>
      </c>
      <c r="AY2" s="18" t="s">
        <v>2742</v>
      </c>
      <c r="BA2" s="33" t="s">
        <v>1323</v>
      </c>
    </row>
    <row r="3" customFormat="false" ht="1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2317</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2905</v>
      </c>
      <c r="AS3" s="5" t="s">
        <v>2319</v>
      </c>
      <c r="AT3" s="5" t="s">
        <v>2320</v>
      </c>
      <c r="AU3" s="5" t="s">
        <v>2321</v>
      </c>
      <c r="AV3" s="5" t="s">
        <v>91</v>
      </c>
      <c r="AW3" s="23" t="s">
        <v>2887</v>
      </c>
      <c r="AX3" s="5" t="s">
        <v>899</v>
      </c>
      <c r="AY3" s="5" t="s">
        <v>2746</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86</v>
      </c>
      <c r="O4" s="5" t="s">
        <v>2317</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2906</v>
      </c>
      <c r="AS4" s="5" t="s">
        <v>2319</v>
      </c>
      <c r="AT4" s="5" t="s">
        <v>2320</v>
      </c>
      <c r="AU4" s="5" t="s">
        <v>2321</v>
      </c>
      <c r="AV4" s="5" t="s">
        <v>91</v>
      </c>
      <c r="AW4" s="23" t="s">
        <v>2889</v>
      </c>
      <c r="AX4" s="5" t="s">
        <v>899</v>
      </c>
      <c r="AY4" s="5" t="s">
        <v>2749</v>
      </c>
    </row>
    <row r="5" customFormat="false" ht="14.25" hidden="false" customHeight="true" outlineLevel="0" collapsed="false">
      <c r="A5" s="5" t="n">
        <v>166</v>
      </c>
      <c r="B5" s="5" t="n">
        <v>166</v>
      </c>
      <c r="C5" s="5" t="s">
        <v>883</v>
      </c>
      <c r="D5" s="5" t="n">
        <v>2014</v>
      </c>
      <c r="E5" s="5" t="s">
        <v>884</v>
      </c>
      <c r="F5" s="5" t="s">
        <v>887</v>
      </c>
      <c r="G5" s="5" t="s">
        <v>888</v>
      </c>
      <c r="H5" s="5" t="n">
        <v>29.067</v>
      </c>
      <c r="I5" s="5" t="n">
        <v>77.767</v>
      </c>
      <c r="J5" s="5" t="s">
        <v>83</v>
      </c>
      <c r="K5" s="5" t="n">
        <v>2011</v>
      </c>
      <c r="L5" s="5" t="s">
        <v>853</v>
      </c>
      <c r="M5" s="5" t="s">
        <v>85</v>
      </c>
      <c r="N5" s="5" t="s">
        <v>86</v>
      </c>
      <c r="O5" s="5" t="s">
        <v>2329</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2905</v>
      </c>
      <c r="AS5" s="5" t="s">
        <v>2319</v>
      </c>
      <c r="AT5" s="5" t="s">
        <v>2320</v>
      </c>
      <c r="AU5" s="5" t="s">
        <v>2321</v>
      </c>
      <c r="AV5" s="5" t="s">
        <v>91</v>
      </c>
      <c r="AW5" s="23" t="s">
        <v>2887</v>
      </c>
      <c r="AX5" s="5" t="s">
        <v>899</v>
      </c>
      <c r="AY5" s="5" t="s">
        <v>2746</v>
      </c>
    </row>
    <row r="6" customFormat="false" ht="14.25" hidden="false" customHeight="true" outlineLevel="0" collapsed="false">
      <c r="A6" s="5" t="n">
        <v>166</v>
      </c>
      <c r="B6" s="5" t="n">
        <v>166</v>
      </c>
      <c r="C6" s="5" t="s">
        <v>883</v>
      </c>
      <c r="D6" s="5" t="n">
        <v>2014</v>
      </c>
      <c r="E6" s="5" t="s">
        <v>884</v>
      </c>
      <c r="F6" s="5" t="s">
        <v>887</v>
      </c>
      <c r="G6" s="5" t="s">
        <v>888</v>
      </c>
      <c r="H6" s="5" t="n">
        <v>29.067</v>
      </c>
      <c r="I6" s="5" t="n">
        <v>77.767</v>
      </c>
      <c r="J6" s="5" t="s">
        <v>83</v>
      </c>
      <c r="K6" s="5" t="n">
        <v>2011</v>
      </c>
      <c r="L6" s="5" t="s">
        <v>853</v>
      </c>
      <c r="M6" s="5" t="s">
        <v>85</v>
      </c>
      <c r="N6" s="5" t="s">
        <v>86</v>
      </c>
      <c r="O6" s="5" t="s">
        <v>2329</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2906</v>
      </c>
      <c r="AS6" s="5" t="s">
        <v>2319</v>
      </c>
      <c r="AT6" s="5" t="s">
        <v>2320</v>
      </c>
      <c r="AU6" s="5" t="s">
        <v>2321</v>
      </c>
      <c r="AV6" s="5" t="s">
        <v>91</v>
      </c>
      <c r="AW6" s="23" t="s">
        <v>2889</v>
      </c>
      <c r="AX6" s="5" t="s">
        <v>899</v>
      </c>
      <c r="AY6" s="5" t="s">
        <v>2749</v>
      </c>
    </row>
    <row r="7" customFormat="false" ht="14.25" hidden="false" customHeight="true" outlineLevel="0" collapsed="false">
      <c r="A7" s="5" t="n">
        <v>166</v>
      </c>
      <c r="B7" s="5" t="n">
        <v>166</v>
      </c>
      <c r="C7" s="5" t="s">
        <v>883</v>
      </c>
      <c r="D7" s="5" t="n">
        <v>2014</v>
      </c>
      <c r="E7" s="5" t="s">
        <v>884</v>
      </c>
      <c r="F7" s="5" t="s">
        <v>887</v>
      </c>
      <c r="G7" s="5" t="s">
        <v>888</v>
      </c>
      <c r="H7" s="5" t="n">
        <v>29.067</v>
      </c>
      <c r="I7" s="5" t="n">
        <v>77.767</v>
      </c>
      <c r="J7" s="5" t="s">
        <v>83</v>
      </c>
      <c r="K7" s="5" t="n">
        <v>2011</v>
      </c>
      <c r="L7" s="5" t="s">
        <v>853</v>
      </c>
      <c r="M7" s="5" t="s">
        <v>85</v>
      </c>
      <c r="N7" s="5" t="s">
        <v>2050</v>
      </c>
      <c r="O7" s="5" t="s">
        <v>2051</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2905</v>
      </c>
      <c r="AS7" s="5" t="s">
        <v>2319</v>
      </c>
      <c r="AT7" s="5" t="s">
        <v>2320</v>
      </c>
      <c r="AU7" s="5" t="s">
        <v>2321</v>
      </c>
      <c r="AV7" s="5" t="s">
        <v>91</v>
      </c>
      <c r="AW7" s="23" t="s">
        <v>2890</v>
      </c>
      <c r="AX7" s="5" t="s">
        <v>899</v>
      </c>
      <c r="AY7" s="5" t="s">
        <v>2746</v>
      </c>
    </row>
    <row r="8" customFormat="false" ht="14.25" hidden="false" customHeight="true" outlineLevel="0" collapsed="false">
      <c r="A8" s="5" t="n">
        <v>166</v>
      </c>
      <c r="B8" s="5" t="n">
        <v>166</v>
      </c>
      <c r="C8" s="5" t="s">
        <v>883</v>
      </c>
      <c r="D8" s="5" t="n">
        <v>2014</v>
      </c>
      <c r="E8" s="5" t="s">
        <v>884</v>
      </c>
      <c r="F8" s="5" t="s">
        <v>887</v>
      </c>
      <c r="G8" s="5" t="s">
        <v>888</v>
      </c>
      <c r="H8" s="5" t="n">
        <v>29.067</v>
      </c>
      <c r="I8" s="5" t="n">
        <v>77.767</v>
      </c>
      <c r="J8" s="5" t="s">
        <v>83</v>
      </c>
      <c r="K8" s="5" t="n">
        <v>2011</v>
      </c>
      <c r="L8" s="5" t="s">
        <v>853</v>
      </c>
      <c r="M8" s="5" t="s">
        <v>85</v>
      </c>
      <c r="N8" s="5" t="s">
        <v>2050</v>
      </c>
      <c r="O8" s="5" t="s">
        <v>2051</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2906</v>
      </c>
      <c r="AS8" s="5" t="s">
        <v>2319</v>
      </c>
      <c r="AT8" s="5" t="s">
        <v>2320</v>
      </c>
      <c r="AU8" s="5" t="s">
        <v>2321</v>
      </c>
      <c r="AV8" s="5" t="s">
        <v>91</v>
      </c>
      <c r="AW8" s="23" t="s">
        <v>2891</v>
      </c>
      <c r="AX8" s="5" t="s">
        <v>899</v>
      </c>
      <c r="AY8" s="5" t="s">
        <v>2749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2907</v>
      </c>
      <c r="Q1" s="27" t="s">
        <v>2908</v>
      </c>
      <c r="R1" s="27" t="s">
        <v>2909</v>
      </c>
      <c r="S1" s="27" t="s">
        <v>2910</v>
      </c>
      <c r="T1" s="27" t="s">
        <v>2911</v>
      </c>
      <c r="U1" s="27" t="s">
        <v>2912</v>
      </c>
      <c r="V1" s="27" t="s">
        <v>2913</v>
      </c>
      <c r="W1" s="27" t="s">
        <v>2914</v>
      </c>
      <c r="X1" s="30" t="s">
        <v>2915</v>
      </c>
      <c r="Y1" s="30" t="s">
        <v>2916</v>
      </c>
      <c r="Z1" s="30" t="s">
        <v>2917</v>
      </c>
      <c r="AA1" s="30" t="s">
        <v>2918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1325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2919</v>
      </c>
      <c r="Q1" s="27" t="s">
        <v>2920</v>
      </c>
      <c r="R1" s="27" t="s">
        <v>2921</v>
      </c>
      <c r="S1" s="27" t="s">
        <v>2922</v>
      </c>
      <c r="T1" s="27" t="s">
        <v>2923</v>
      </c>
      <c r="U1" s="27" t="s">
        <v>2924</v>
      </c>
      <c r="V1" s="27" t="s">
        <v>2925</v>
      </c>
      <c r="W1" s="27" t="s">
        <v>2926</v>
      </c>
      <c r="X1" s="30" t="s">
        <v>2927</v>
      </c>
      <c r="Y1" s="30" t="s">
        <v>2928</v>
      </c>
      <c r="Z1" s="30" t="s">
        <v>2929</v>
      </c>
      <c r="AA1" s="30" t="s">
        <v>2930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1064</v>
      </c>
      <c r="B2" s="5" t="s">
        <v>1064</v>
      </c>
      <c r="C2" s="5" t="s">
        <v>1065</v>
      </c>
      <c r="D2" s="5" t="n">
        <v>2022</v>
      </c>
      <c r="E2" s="5" t="s">
        <v>80</v>
      </c>
      <c r="F2" s="5" t="s">
        <v>942</v>
      </c>
      <c r="G2" s="5" t="s">
        <v>943</v>
      </c>
      <c r="H2" s="5" t="n">
        <v>29.706</v>
      </c>
      <c r="I2" s="5" t="n">
        <v>76.956</v>
      </c>
      <c r="J2" s="5" t="s">
        <v>83</v>
      </c>
      <c r="K2" s="5" t="n">
        <v>2019</v>
      </c>
      <c r="L2" s="5" t="s">
        <v>84</v>
      </c>
      <c r="M2" s="5" t="s">
        <v>85</v>
      </c>
      <c r="N2" s="5" t="s">
        <v>86</v>
      </c>
      <c r="O2" s="5" t="s">
        <v>2097</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2931</v>
      </c>
      <c r="AS2" s="5" t="s">
        <v>2119</v>
      </c>
      <c r="AT2" s="5" t="s">
        <v>2120</v>
      </c>
      <c r="AU2" s="5" t="s">
        <v>2121</v>
      </c>
      <c r="AV2" s="5" t="s">
        <v>2932</v>
      </c>
      <c r="AW2" s="23" t="s">
        <v>2933</v>
      </c>
      <c r="AX2" s="5" t="s">
        <v>1076</v>
      </c>
      <c r="AY2" s="5" t="s">
        <v>2934</v>
      </c>
      <c r="BA2" s="33" t="s">
        <v>1327</v>
      </c>
    </row>
    <row r="3" customFormat="false" ht="15" hidden="false" customHeight="true" outlineLevel="0" collapsed="false">
      <c r="A3" s="5" t="s">
        <v>1064</v>
      </c>
      <c r="B3" s="5" t="s">
        <v>1064</v>
      </c>
      <c r="C3" s="5" t="s">
        <v>1065</v>
      </c>
      <c r="D3" s="5" t="n">
        <v>2022</v>
      </c>
      <c r="E3" s="5" t="s">
        <v>80</v>
      </c>
      <c r="F3" s="5" t="s">
        <v>942</v>
      </c>
      <c r="G3" s="5" t="s">
        <v>943</v>
      </c>
      <c r="H3" s="5" t="n">
        <v>29.706</v>
      </c>
      <c r="I3" s="5" t="n">
        <v>76.956</v>
      </c>
      <c r="J3" s="5" t="s">
        <v>83</v>
      </c>
      <c r="K3" s="5" t="n">
        <v>2019</v>
      </c>
      <c r="L3" s="5" t="s">
        <v>84</v>
      </c>
      <c r="M3" s="5" t="s">
        <v>85</v>
      </c>
      <c r="N3" s="5" t="s">
        <v>86</v>
      </c>
      <c r="O3" s="5" t="s">
        <v>2124</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2931</v>
      </c>
      <c r="AS3" s="5" t="s">
        <v>2119</v>
      </c>
      <c r="AT3" s="5" t="s">
        <v>2120</v>
      </c>
      <c r="AU3" s="5" t="s">
        <v>2121</v>
      </c>
      <c r="AV3" s="5" t="s">
        <v>2932</v>
      </c>
      <c r="AW3" s="23" t="s">
        <v>2935</v>
      </c>
      <c r="AX3" s="5" t="s">
        <v>1076</v>
      </c>
      <c r="AY3" s="5" t="s">
        <v>2934</v>
      </c>
    </row>
    <row r="4" customFormat="false" ht="15" hidden="false" customHeight="true" outlineLevel="0" collapsed="false">
      <c r="A4" s="5" t="s">
        <v>1064</v>
      </c>
      <c r="B4" s="5" t="s">
        <v>1064</v>
      </c>
      <c r="C4" s="5" t="s">
        <v>1065</v>
      </c>
      <c r="D4" s="5" t="n">
        <v>2022</v>
      </c>
      <c r="E4" s="5" t="s">
        <v>80</v>
      </c>
      <c r="F4" s="5" t="s">
        <v>942</v>
      </c>
      <c r="G4" s="5" t="s">
        <v>943</v>
      </c>
      <c r="H4" s="5" t="n">
        <v>29.706</v>
      </c>
      <c r="I4" s="5" t="n">
        <v>76.956</v>
      </c>
      <c r="J4" s="5" t="s">
        <v>83</v>
      </c>
      <c r="K4" s="5" t="n">
        <v>2019</v>
      </c>
      <c r="L4" s="5" t="s">
        <v>84</v>
      </c>
      <c r="M4" s="5" t="s">
        <v>85</v>
      </c>
      <c r="N4" s="5" t="s">
        <v>2050</v>
      </c>
      <c r="O4" s="5" t="s">
        <v>2051</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2931</v>
      </c>
      <c r="AS4" s="5" t="s">
        <v>2119</v>
      </c>
      <c r="AT4" s="5" t="s">
        <v>2120</v>
      </c>
      <c r="AU4" s="5" t="s">
        <v>2121</v>
      </c>
      <c r="AV4" s="5" t="s">
        <v>2932</v>
      </c>
      <c r="AW4" s="23" t="s">
        <v>2936</v>
      </c>
      <c r="AX4" s="5" t="s">
        <v>1076</v>
      </c>
      <c r="AY4" s="5" t="s">
        <v>2934</v>
      </c>
    </row>
    <row r="5" customFormat="false" ht="15" hidden="false" customHeight="true" outlineLevel="0" collapsed="false">
      <c r="A5" s="18" t="n">
        <v>173</v>
      </c>
      <c r="B5" s="18" t="n">
        <v>173</v>
      </c>
      <c r="C5" s="18" t="s">
        <v>1133</v>
      </c>
      <c r="D5" s="18" t="n">
        <v>2023</v>
      </c>
      <c r="E5" s="18" t="s">
        <v>1134</v>
      </c>
      <c r="F5" s="18" t="s">
        <v>866</v>
      </c>
      <c r="G5" s="18" t="s">
        <v>1137</v>
      </c>
      <c r="H5" s="18" t="n">
        <v>28.633</v>
      </c>
      <c r="I5" s="18" t="n">
        <v>77.15</v>
      </c>
      <c r="J5" s="18" t="s">
        <v>83</v>
      </c>
      <c r="K5" s="18" t="n">
        <v>2020</v>
      </c>
      <c r="L5" s="18" t="s">
        <v>84</v>
      </c>
      <c r="M5" s="18" t="s">
        <v>85</v>
      </c>
      <c r="N5" s="18" t="s">
        <v>86</v>
      </c>
      <c r="O5" s="18" t="s">
        <v>2043</v>
      </c>
      <c r="P5" s="18" t="n">
        <f aca="false">ROUND(12.1/BD!P54,2)</f>
        <v>8.07</v>
      </c>
      <c r="Q5" s="18" t="n">
        <f aca="false">ROUND(11.3/BD!Q54,2)</f>
        <v>7.34</v>
      </c>
      <c r="R5" s="18"/>
      <c r="S5" s="18" t="n">
        <f aca="false">ROUND(11.6/BD!S54,2)</f>
        <v>7.63</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2931</v>
      </c>
      <c r="AS5" s="18" t="s">
        <v>2165</v>
      </c>
      <c r="AT5" s="18" t="s">
        <v>2166</v>
      </c>
      <c r="AU5" s="18" t="s">
        <v>2167</v>
      </c>
      <c r="AV5" s="18" t="s">
        <v>2623</v>
      </c>
      <c r="AW5" s="32" t="s">
        <v>2937</v>
      </c>
      <c r="AX5" s="18" t="s">
        <v>1148</v>
      </c>
      <c r="AY5" s="18" t="s">
        <v>2938</v>
      </c>
    </row>
    <row r="6" customFormat="false" ht="15" hidden="false" customHeight="true" outlineLevel="0" collapsed="false">
      <c r="A6" s="18" t="n">
        <v>173</v>
      </c>
      <c r="B6" s="18" t="n">
        <v>173</v>
      </c>
      <c r="C6" s="18" t="s">
        <v>1133</v>
      </c>
      <c r="D6" s="18" t="n">
        <v>2023</v>
      </c>
      <c r="E6" s="18" t="s">
        <v>1134</v>
      </c>
      <c r="F6" s="18" t="s">
        <v>866</v>
      </c>
      <c r="G6" s="18" t="s">
        <v>1137</v>
      </c>
      <c r="H6" s="18" t="n">
        <v>28.633</v>
      </c>
      <c r="I6" s="18" t="n">
        <v>77.15</v>
      </c>
      <c r="J6" s="18" t="s">
        <v>83</v>
      </c>
      <c r="K6" s="18" t="n">
        <v>2020</v>
      </c>
      <c r="L6" s="18" t="s">
        <v>84</v>
      </c>
      <c r="M6" s="18" t="s">
        <v>85</v>
      </c>
      <c r="N6" s="18" t="s">
        <v>86</v>
      </c>
      <c r="O6" s="18" t="s">
        <v>2043</v>
      </c>
      <c r="P6" s="18" t="n">
        <f aca="false">ROUND(12.3/BD!P55,2)</f>
        <v>8.15</v>
      </c>
      <c r="Q6" s="18" t="n">
        <f aca="false">ROUND(11.4/BD!Q55,2)</f>
        <v>7.5</v>
      </c>
      <c r="R6" s="18"/>
      <c r="S6" s="18" t="n">
        <f aca="false">ROUND(12/BD!S55,2)</f>
        <v>7.84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2931</v>
      </c>
      <c r="AS6" s="18" t="s">
        <v>2165</v>
      </c>
      <c r="AT6" s="18" t="s">
        <v>2166</v>
      </c>
      <c r="AU6" s="18" t="s">
        <v>2167</v>
      </c>
      <c r="AV6" s="18" t="s">
        <v>2623</v>
      </c>
      <c r="AW6" s="32" t="s">
        <v>2939</v>
      </c>
      <c r="AX6" s="18" t="s">
        <v>1148</v>
      </c>
      <c r="AY6" s="18" t="s">
        <v>2938</v>
      </c>
    </row>
    <row r="7" customFormat="false" ht="15" hidden="false" customHeight="true" outlineLevel="0" collapsed="false">
      <c r="A7" s="18" t="n">
        <v>173</v>
      </c>
      <c r="B7" s="18" t="n">
        <v>173</v>
      </c>
      <c r="C7" s="18" t="s">
        <v>1133</v>
      </c>
      <c r="D7" s="18" t="n">
        <v>2023</v>
      </c>
      <c r="E7" s="18" t="s">
        <v>1134</v>
      </c>
      <c r="F7" s="18" t="s">
        <v>866</v>
      </c>
      <c r="G7" s="18" t="s">
        <v>1137</v>
      </c>
      <c r="H7" s="18" t="n">
        <v>28.633</v>
      </c>
      <c r="I7" s="18" t="n">
        <v>77.15</v>
      </c>
      <c r="J7" s="18" t="s">
        <v>83</v>
      </c>
      <c r="K7" s="18" t="n">
        <v>2020</v>
      </c>
      <c r="L7" s="18" t="s">
        <v>84</v>
      </c>
      <c r="M7" s="18" t="s">
        <v>85</v>
      </c>
      <c r="N7" s="18" t="s">
        <v>86</v>
      </c>
      <c r="O7" s="18" t="s">
        <v>2043</v>
      </c>
      <c r="P7" s="18" t="n">
        <f aca="false">ROUND(14.2/BD!P56,2)</f>
        <v>9.59</v>
      </c>
      <c r="Q7" s="18" t="n">
        <f aca="false">ROUND(11.3/BD!Q56,2)</f>
        <v>7.34</v>
      </c>
      <c r="R7" s="18"/>
      <c r="S7" s="18" t="n">
        <f aca="false">ROUND(11.6/BD!S56,2)</f>
        <v>7.63</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2931</v>
      </c>
      <c r="AS7" s="18" t="s">
        <v>2165</v>
      </c>
      <c r="AT7" s="18" t="s">
        <v>2166</v>
      </c>
      <c r="AU7" s="18" t="s">
        <v>2167</v>
      </c>
      <c r="AV7" s="18" t="s">
        <v>2623</v>
      </c>
      <c r="AW7" s="32" t="s">
        <v>2940</v>
      </c>
      <c r="AX7" s="18" t="s">
        <v>1148</v>
      </c>
      <c r="AY7" s="18" t="s">
        <v>2938</v>
      </c>
    </row>
    <row r="8" customFormat="false" ht="15" hidden="false" customHeight="true" outlineLevel="0" collapsed="false">
      <c r="A8" s="18" t="n">
        <v>173</v>
      </c>
      <c r="B8" s="18" t="n">
        <v>173</v>
      </c>
      <c r="C8" s="18" t="s">
        <v>1133</v>
      </c>
      <c r="D8" s="18" t="n">
        <v>2023</v>
      </c>
      <c r="E8" s="18" t="s">
        <v>1134</v>
      </c>
      <c r="F8" s="18" t="s">
        <v>866</v>
      </c>
      <c r="G8" s="18" t="s">
        <v>1137</v>
      </c>
      <c r="H8" s="18" t="n">
        <v>28.633</v>
      </c>
      <c r="I8" s="18" t="n">
        <v>77.15</v>
      </c>
      <c r="J8" s="18" t="s">
        <v>83</v>
      </c>
      <c r="K8" s="18" t="n">
        <v>2020</v>
      </c>
      <c r="L8" s="18" t="s">
        <v>84</v>
      </c>
      <c r="M8" s="18" t="s">
        <v>85</v>
      </c>
      <c r="N8" s="18" t="s">
        <v>86</v>
      </c>
      <c r="O8" s="18" t="s">
        <v>2043</v>
      </c>
      <c r="P8" s="18" t="n">
        <f aca="false">ROUND(14/BD!P57,2)</f>
        <v>9.4</v>
      </c>
      <c r="Q8" s="18" t="n">
        <f aca="false">ROUND(11.4/BD!Q57,2)</f>
        <v>7.5</v>
      </c>
      <c r="R8" s="18"/>
      <c r="S8" s="18" t="n">
        <f aca="false">ROUND(12/BD!S57,2)</f>
        <v>7.84</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2931</v>
      </c>
      <c r="AS8" s="18" t="s">
        <v>2165</v>
      </c>
      <c r="AT8" s="18" t="s">
        <v>2166</v>
      </c>
      <c r="AU8" s="18" t="s">
        <v>2167</v>
      </c>
      <c r="AV8" s="18" t="s">
        <v>2623</v>
      </c>
      <c r="AW8" s="32" t="s">
        <v>2941</v>
      </c>
      <c r="AX8" s="18" t="s">
        <v>1148</v>
      </c>
      <c r="AY8" s="18" t="s">
        <v>2938</v>
      </c>
    </row>
    <row r="9" customFormat="false" ht="15" hidden="false" customHeight="true" outlineLevel="0" collapsed="false">
      <c r="A9" s="18" t="n">
        <v>173</v>
      </c>
      <c r="B9" s="18" t="n">
        <v>173</v>
      </c>
      <c r="C9" s="18" t="s">
        <v>1133</v>
      </c>
      <c r="D9" s="18" t="n">
        <v>2023</v>
      </c>
      <c r="E9" s="18" t="s">
        <v>1134</v>
      </c>
      <c r="F9" s="18" t="s">
        <v>866</v>
      </c>
      <c r="G9" s="18" t="s">
        <v>1137</v>
      </c>
      <c r="H9" s="18" t="n">
        <v>28.633</v>
      </c>
      <c r="I9" s="18" t="n">
        <v>77.15</v>
      </c>
      <c r="J9" s="18" t="s">
        <v>83</v>
      </c>
      <c r="K9" s="18" t="n">
        <v>2020</v>
      </c>
      <c r="L9" s="18" t="s">
        <v>84</v>
      </c>
      <c r="M9" s="18" t="s">
        <v>85</v>
      </c>
      <c r="N9" s="18" t="s">
        <v>2050</v>
      </c>
      <c r="O9" s="18" t="s">
        <v>2051</v>
      </c>
      <c r="P9" s="18" t="n">
        <f aca="false">ROUND(13/BD!P58,2)</f>
        <v>8.55</v>
      </c>
      <c r="Q9" s="18" t="n">
        <f aca="false">ROUND(12.9/BD!Q58,2)</f>
        <v>8.27</v>
      </c>
      <c r="R9" s="18"/>
      <c r="S9" s="18" t="n">
        <f aca="false">ROUND(12.9/BD!S58,2)</f>
        <v>8.32</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2931</v>
      </c>
      <c r="AS9" s="18" t="s">
        <v>2165</v>
      </c>
      <c r="AT9" s="18" t="s">
        <v>2166</v>
      </c>
      <c r="AU9" s="18" t="s">
        <v>2167</v>
      </c>
      <c r="AV9" s="18" t="s">
        <v>2623</v>
      </c>
      <c r="AW9" s="32" t="s">
        <v>2942</v>
      </c>
      <c r="AX9" s="18" t="s">
        <v>1148</v>
      </c>
      <c r="AY9" s="18" t="s">
        <v>2938</v>
      </c>
    </row>
    <row r="10" customFormat="false" ht="15" hidden="false" customHeight="true" outlineLevel="0" collapsed="false">
      <c r="A10" s="18" t="n">
        <v>173</v>
      </c>
      <c r="B10" s="18" t="n">
        <v>173</v>
      </c>
      <c r="C10" s="18" t="s">
        <v>1133</v>
      </c>
      <c r="D10" s="18" t="n">
        <v>2023</v>
      </c>
      <c r="E10" s="18" t="s">
        <v>1134</v>
      </c>
      <c r="F10" s="18" t="s">
        <v>866</v>
      </c>
      <c r="G10" s="18" t="s">
        <v>1137</v>
      </c>
      <c r="H10" s="18" t="n">
        <v>28.633</v>
      </c>
      <c r="I10" s="18" t="n">
        <v>77.15</v>
      </c>
      <c r="J10" s="18" t="s">
        <v>83</v>
      </c>
      <c r="K10" s="18" t="n">
        <v>2020</v>
      </c>
      <c r="L10" s="18" t="s">
        <v>84</v>
      </c>
      <c r="M10" s="18" t="s">
        <v>85</v>
      </c>
      <c r="N10" s="18" t="s">
        <v>2050</v>
      </c>
      <c r="O10" s="18" t="s">
        <v>2051</v>
      </c>
      <c r="P10" s="18" t="n">
        <f aca="false">ROUND(13.4/BD!P59,2)</f>
        <v>8.7</v>
      </c>
      <c r="Q10" s="18" t="n">
        <f aca="false">ROUND(12.1/BD!Q59,2)</f>
        <v>7.86</v>
      </c>
      <c r="R10" s="18"/>
      <c r="S10" s="18" t="n">
        <f aca="false">ROUND(11.6/BD!S59,2)</f>
        <v>7.44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2931</v>
      </c>
      <c r="AS10" s="18" t="s">
        <v>2165</v>
      </c>
      <c r="AT10" s="18" t="s">
        <v>2166</v>
      </c>
      <c r="AU10" s="18" t="s">
        <v>2167</v>
      </c>
      <c r="AV10" s="18" t="s">
        <v>2623</v>
      </c>
      <c r="AW10" s="32" t="s">
        <v>2943</v>
      </c>
      <c r="AX10" s="18" t="s">
        <v>1148</v>
      </c>
      <c r="AY10" s="18" t="s">
        <v>2938</v>
      </c>
    </row>
    <row r="11" customFormat="false" ht="15" hidden="false" customHeight="true" outlineLevel="0" collapsed="false">
      <c r="A11" s="18" t="n">
        <v>173</v>
      </c>
      <c r="B11" s="18" t="n">
        <v>173</v>
      </c>
      <c r="C11" s="18" t="s">
        <v>1133</v>
      </c>
      <c r="D11" s="18" t="n">
        <v>2023</v>
      </c>
      <c r="E11" s="18" t="s">
        <v>1134</v>
      </c>
      <c r="F11" s="18" t="s">
        <v>866</v>
      </c>
      <c r="G11" s="18" t="s">
        <v>1137</v>
      </c>
      <c r="H11" s="18" t="n">
        <v>28.633</v>
      </c>
      <c r="I11" s="18" t="n">
        <v>77.15</v>
      </c>
      <c r="J11" s="18" t="s">
        <v>83</v>
      </c>
      <c r="K11" s="18" t="n">
        <v>2020</v>
      </c>
      <c r="L11" s="18" t="s">
        <v>84</v>
      </c>
      <c r="M11" s="18" t="s">
        <v>85</v>
      </c>
      <c r="N11" s="18" t="s">
        <v>2050</v>
      </c>
      <c r="O11" s="18" t="s">
        <v>2051</v>
      </c>
      <c r="P11" s="18" t="n">
        <f aca="false">ROUND(15.1/BD!P60,2)</f>
        <v>10.07</v>
      </c>
      <c r="Q11" s="18" t="n">
        <f aca="false">ROUND(12.9/BD!Q60,2)</f>
        <v>8.27</v>
      </c>
      <c r="R11" s="18"/>
      <c r="S11" s="18" t="n">
        <f aca="false">ROUND(12.9/BD!S60,2)</f>
        <v>8.32</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2931</v>
      </c>
      <c r="AS11" s="18" t="s">
        <v>2165</v>
      </c>
      <c r="AT11" s="18" t="s">
        <v>2166</v>
      </c>
      <c r="AU11" s="18" t="s">
        <v>2167</v>
      </c>
      <c r="AV11" s="18" t="s">
        <v>2623</v>
      </c>
      <c r="AW11" s="32" t="s">
        <v>2944</v>
      </c>
      <c r="AX11" s="18" t="s">
        <v>1148</v>
      </c>
      <c r="AY11" s="18" t="s">
        <v>2938</v>
      </c>
    </row>
    <row r="12" customFormat="false" ht="15" hidden="false" customHeight="true" outlineLevel="0" collapsed="false">
      <c r="A12" s="18" t="n">
        <v>173</v>
      </c>
      <c r="B12" s="18" t="n">
        <v>173</v>
      </c>
      <c r="C12" s="18" t="s">
        <v>1133</v>
      </c>
      <c r="D12" s="18" t="n">
        <v>2023</v>
      </c>
      <c r="E12" s="18" t="s">
        <v>1134</v>
      </c>
      <c r="F12" s="18" t="s">
        <v>866</v>
      </c>
      <c r="G12" s="18" t="s">
        <v>1137</v>
      </c>
      <c r="H12" s="18" t="n">
        <v>28.633</v>
      </c>
      <c r="I12" s="18" t="n">
        <v>77.15</v>
      </c>
      <c r="J12" s="18" t="s">
        <v>83</v>
      </c>
      <c r="K12" s="18" t="n">
        <v>2020</v>
      </c>
      <c r="L12" s="18" t="s">
        <v>84</v>
      </c>
      <c r="M12" s="18" t="s">
        <v>85</v>
      </c>
      <c r="N12" s="18" t="s">
        <v>2050</v>
      </c>
      <c r="O12" s="18" t="s">
        <v>2051</v>
      </c>
      <c r="P12" s="18" t="n">
        <f aca="false">ROUND(14/BD!P61,2)</f>
        <v>9.27</v>
      </c>
      <c r="Q12" s="18" t="n">
        <f aca="false">ROUND(12.1/BD!Q61,2)</f>
        <v>7.86</v>
      </c>
      <c r="R12" s="18"/>
      <c r="S12" s="18" t="n">
        <f aca="false">ROUND(11.6/BD!S61,2)</f>
        <v>7.44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2931</v>
      </c>
      <c r="AS12" s="18" t="s">
        <v>2165</v>
      </c>
      <c r="AT12" s="18" t="s">
        <v>2166</v>
      </c>
      <c r="AU12" s="18" t="s">
        <v>2167</v>
      </c>
      <c r="AV12" s="18" t="s">
        <v>2623</v>
      </c>
      <c r="AW12" s="32" t="s">
        <v>2945</v>
      </c>
      <c r="AX12" s="18" t="s">
        <v>1148</v>
      </c>
      <c r="AY12" s="18" t="s">
        <v>2938</v>
      </c>
    </row>
    <row r="13" customFormat="false" ht="15" hidden="false" customHeight="true" outlineLevel="0" collapsed="false">
      <c r="A13" s="18" t="n">
        <v>173</v>
      </c>
      <c r="B13" s="18" t="n">
        <v>173</v>
      </c>
      <c r="C13" s="18" t="s">
        <v>1133</v>
      </c>
      <c r="D13" s="18" t="n">
        <v>2023</v>
      </c>
      <c r="E13" s="18" t="s">
        <v>1134</v>
      </c>
      <c r="F13" s="18" t="s">
        <v>866</v>
      </c>
      <c r="G13" s="18" t="s">
        <v>1137</v>
      </c>
      <c r="H13" s="18" t="n">
        <v>28.633</v>
      </c>
      <c r="I13" s="18" t="n">
        <v>77.15</v>
      </c>
      <c r="J13" s="18" t="s">
        <v>83</v>
      </c>
      <c r="K13" s="18" t="n">
        <v>2020</v>
      </c>
      <c r="L13" s="18" t="s">
        <v>84</v>
      </c>
      <c r="M13" s="18" t="s">
        <v>85</v>
      </c>
      <c r="N13" s="18" t="s">
        <v>2177</v>
      </c>
      <c r="O13" s="18" t="s">
        <v>2178</v>
      </c>
      <c r="P13" s="18" t="n">
        <f aca="false">ROUND(14.1/BD!P62,2)</f>
        <v>8.92</v>
      </c>
      <c r="Q13" s="18" t="n">
        <f aca="false">ROUND(12.6/BD!Q62,2)</f>
        <v>7.92</v>
      </c>
      <c r="R13" s="18"/>
      <c r="S13" s="18" t="n">
        <f aca="false">ROUND(15.1/BD!S62,2)</f>
        <v>9.5</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2931</v>
      </c>
      <c r="AS13" s="18" t="s">
        <v>2165</v>
      </c>
      <c r="AT13" s="18" t="s">
        <v>2166</v>
      </c>
      <c r="AU13" s="18" t="s">
        <v>2167</v>
      </c>
      <c r="AV13" s="18" t="s">
        <v>2623</v>
      </c>
      <c r="AW13" s="32" t="s">
        <v>2946</v>
      </c>
      <c r="AX13" s="18" t="s">
        <v>1148</v>
      </c>
      <c r="AY13" s="18" t="s">
        <v>2938</v>
      </c>
    </row>
    <row r="14" customFormat="false" ht="14.25" hidden="false" customHeight="true" outlineLevel="0" collapsed="false">
      <c r="A14" s="18" t="n">
        <v>173</v>
      </c>
      <c r="B14" s="18" t="n">
        <v>173</v>
      </c>
      <c r="C14" s="18" t="s">
        <v>1133</v>
      </c>
      <c r="D14" s="18" t="n">
        <v>2023</v>
      </c>
      <c r="E14" s="18" t="s">
        <v>1134</v>
      </c>
      <c r="F14" s="18" t="s">
        <v>866</v>
      </c>
      <c r="G14" s="18" t="s">
        <v>1137</v>
      </c>
      <c r="H14" s="18" t="n">
        <v>28.633</v>
      </c>
      <c r="I14" s="18" t="n">
        <v>77.15</v>
      </c>
      <c r="J14" s="18" t="s">
        <v>83</v>
      </c>
      <c r="K14" s="18" t="n">
        <v>2020</v>
      </c>
      <c r="L14" s="18" t="s">
        <v>84</v>
      </c>
      <c r="M14" s="18" t="s">
        <v>85</v>
      </c>
      <c r="N14" s="18" t="s">
        <v>2177</v>
      </c>
      <c r="O14" s="18" t="s">
        <v>2178</v>
      </c>
      <c r="P14" s="18" t="n">
        <f aca="false">ROUND(12.3/BD!P63,2)</f>
        <v>7.83</v>
      </c>
      <c r="Q14" s="18" t="n">
        <f aca="false">ROUND(13.9/BD!Q63,2)</f>
        <v>8.8</v>
      </c>
      <c r="R14" s="18"/>
      <c r="S14" s="18" t="n">
        <f aca="false">ROUND(14.6/BD!S63,2)</f>
        <v>9.18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2931</v>
      </c>
      <c r="AS14" s="18" t="s">
        <v>2165</v>
      </c>
      <c r="AT14" s="18" t="s">
        <v>2166</v>
      </c>
      <c r="AU14" s="18" t="s">
        <v>2167</v>
      </c>
      <c r="AV14" s="18" t="s">
        <v>2623</v>
      </c>
      <c r="AW14" s="32" t="s">
        <v>2947</v>
      </c>
      <c r="AX14" s="18" t="s">
        <v>1148</v>
      </c>
      <c r="AY14" s="18" t="s">
        <v>2938</v>
      </c>
    </row>
    <row r="15" customFormat="false" ht="14.25" hidden="false" customHeight="true" outlineLevel="0" collapsed="false">
      <c r="A15" s="18" t="n">
        <v>173</v>
      </c>
      <c r="B15" s="18" t="n">
        <v>173</v>
      </c>
      <c r="C15" s="18" t="s">
        <v>1133</v>
      </c>
      <c r="D15" s="18" t="n">
        <v>2023</v>
      </c>
      <c r="E15" s="18" t="s">
        <v>1134</v>
      </c>
      <c r="F15" s="18" t="s">
        <v>866</v>
      </c>
      <c r="G15" s="18" t="s">
        <v>1137</v>
      </c>
      <c r="H15" s="18" t="n">
        <v>28.633</v>
      </c>
      <c r="I15" s="18" t="n">
        <v>77.15</v>
      </c>
      <c r="J15" s="18" t="s">
        <v>83</v>
      </c>
      <c r="K15" s="18" t="n">
        <v>2020</v>
      </c>
      <c r="L15" s="18" t="s">
        <v>84</v>
      </c>
      <c r="M15" s="18" t="s">
        <v>85</v>
      </c>
      <c r="N15" s="18" t="s">
        <v>2177</v>
      </c>
      <c r="O15" s="18" t="s">
        <v>2178</v>
      </c>
      <c r="P15" s="18" t="n">
        <f aca="false">ROUND(16.1/BD!P64,2)</f>
        <v>10.32</v>
      </c>
      <c r="Q15" s="18" t="n">
        <f aca="false">ROUND(12.6/BD!Q64,2)</f>
        <v>7.92</v>
      </c>
      <c r="R15" s="18"/>
      <c r="S15" s="18" t="n">
        <f aca="false">ROUND(15.1/BD!S64,2)</f>
        <v>9.5</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2931</v>
      </c>
      <c r="AS15" s="18" t="s">
        <v>2165</v>
      </c>
      <c r="AT15" s="18" t="s">
        <v>2166</v>
      </c>
      <c r="AU15" s="18" t="s">
        <v>2167</v>
      </c>
      <c r="AV15" s="18" t="s">
        <v>2623</v>
      </c>
      <c r="AW15" s="32" t="s">
        <v>2948</v>
      </c>
      <c r="AX15" s="18" t="s">
        <v>1148</v>
      </c>
      <c r="AY15" s="18" t="s">
        <v>2938</v>
      </c>
    </row>
    <row r="16" customFormat="false" ht="14.25" hidden="false" customHeight="true" outlineLevel="0" collapsed="false">
      <c r="A16" s="18" t="n">
        <v>173</v>
      </c>
      <c r="B16" s="18" t="n">
        <v>173</v>
      </c>
      <c r="C16" s="18" t="s">
        <v>1133</v>
      </c>
      <c r="D16" s="18" t="n">
        <v>2023</v>
      </c>
      <c r="E16" s="18" t="s">
        <v>1134</v>
      </c>
      <c r="F16" s="18" t="s">
        <v>866</v>
      </c>
      <c r="G16" s="18" t="s">
        <v>1137</v>
      </c>
      <c r="H16" s="18" t="n">
        <v>28.633</v>
      </c>
      <c r="I16" s="18" t="n">
        <v>77.15</v>
      </c>
      <c r="J16" s="18" t="s">
        <v>83</v>
      </c>
      <c r="K16" s="18" t="n">
        <v>2020</v>
      </c>
      <c r="L16" s="18" t="s">
        <v>84</v>
      </c>
      <c r="M16" s="18" t="s">
        <v>85</v>
      </c>
      <c r="N16" s="18" t="s">
        <v>2177</v>
      </c>
      <c r="O16" s="18" t="s">
        <v>2178</v>
      </c>
      <c r="P16" s="18" t="n">
        <f aca="false">ROUND(15.5/BD!P65,2)</f>
        <v>9.81</v>
      </c>
      <c r="Q16" s="18" t="n">
        <f aca="false">ROUND(13.9/BD!Q65,2)</f>
        <v>8.8</v>
      </c>
      <c r="R16" s="18"/>
      <c r="S16" s="18" t="n">
        <f aca="false">ROUND(14.6/BD!S65,2)</f>
        <v>9.18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2931</v>
      </c>
      <c r="AS16" s="18" t="s">
        <v>2165</v>
      </c>
      <c r="AT16" s="18" t="s">
        <v>2166</v>
      </c>
      <c r="AU16" s="18" t="s">
        <v>2167</v>
      </c>
      <c r="AV16" s="18" t="s">
        <v>2623</v>
      </c>
      <c r="AW16" s="32" t="s">
        <v>2949</v>
      </c>
      <c r="AX16" s="18" t="s">
        <v>1148</v>
      </c>
      <c r="AY16" s="18" t="s">
        <v>2938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2950</v>
      </c>
      <c r="Q1" s="27" t="s">
        <v>2951</v>
      </c>
      <c r="R1" s="27" t="s">
        <v>2952</v>
      </c>
      <c r="S1" s="27" t="s">
        <v>2953</v>
      </c>
      <c r="T1" s="27" t="s">
        <v>2954</v>
      </c>
      <c r="U1" s="27" t="s">
        <v>2955</v>
      </c>
      <c r="V1" s="27" t="s">
        <v>2956</v>
      </c>
      <c r="W1" s="27" t="s">
        <v>2957</v>
      </c>
      <c r="X1" s="30" t="s">
        <v>2958</v>
      </c>
      <c r="Y1" s="30" t="s">
        <v>2959</v>
      </c>
      <c r="Z1" s="30" t="s">
        <v>2960</v>
      </c>
      <c r="AA1" s="30" t="s">
        <v>2961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1330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826</v>
      </c>
      <c r="U1" s="21" t="s">
        <v>827</v>
      </c>
      <c r="V1" s="21" t="s">
        <v>74</v>
      </c>
      <c r="W1" s="21" t="s">
        <v>2036</v>
      </c>
      <c r="X1" s="21" t="s">
        <v>2037</v>
      </c>
      <c r="Y1" s="21" t="s">
        <v>828</v>
      </c>
      <c r="Z1" s="21" t="s">
        <v>829</v>
      </c>
      <c r="AA1" s="21" t="s">
        <v>75</v>
      </c>
      <c r="AB1" s="21" t="s">
        <v>824</v>
      </c>
      <c r="AC1" s="21" t="s">
        <v>825</v>
      </c>
      <c r="AD1" s="21" t="s">
        <v>822</v>
      </c>
      <c r="AE1" s="21" t="s">
        <v>823</v>
      </c>
      <c r="AF1" s="22" t="s">
        <v>76</v>
      </c>
      <c r="AG1" s="22" t="s">
        <v>77</v>
      </c>
      <c r="AH1" s="22" t="s">
        <v>2038</v>
      </c>
      <c r="AI1" s="22" t="s">
        <v>2039</v>
      </c>
      <c r="AJ1" s="22" t="s">
        <v>78</v>
      </c>
      <c r="AK1" s="22" t="s">
        <v>841</v>
      </c>
      <c r="AL1" s="22" t="s">
        <v>2040</v>
      </c>
      <c r="AM1" s="22" t="s">
        <v>2041</v>
      </c>
      <c r="AO1" s="31" t="s">
        <v>2042</v>
      </c>
    </row>
    <row r="2" customFormat="false" ht="15" hidden="false" customHeight="true" outlineLevel="0" collapsed="false">
      <c r="AO2" s="33" t="s">
        <v>1332</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2962</v>
      </c>
      <c r="Q1" s="27" t="s">
        <v>2963</v>
      </c>
      <c r="R1" s="27" t="s">
        <v>2964</v>
      </c>
      <c r="S1" s="27" t="s">
        <v>2965</v>
      </c>
      <c r="T1" s="27" t="s">
        <v>2966</v>
      </c>
      <c r="U1" s="27" t="s">
        <v>2967</v>
      </c>
      <c r="V1" s="27" t="s">
        <v>2968</v>
      </c>
      <c r="W1" s="27" t="s">
        <v>2969</v>
      </c>
      <c r="X1" s="30" t="s">
        <v>2970</v>
      </c>
      <c r="Y1" s="30" t="s">
        <v>2971</v>
      </c>
      <c r="Z1" s="30" t="s">
        <v>2972</v>
      </c>
      <c r="AA1" s="30" t="s">
        <v>2973</v>
      </c>
      <c r="AB1" s="27" t="s">
        <v>2974</v>
      </c>
      <c r="AC1" s="27" t="s">
        <v>2975</v>
      </c>
      <c r="AD1" s="27" t="s">
        <v>2976</v>
      </c>
      <c r="AE1" s="28" t="s">
        <v>35</v>
      </c>
      <c r="AF1" s="28" t="s">
        <v>33</v>
      </c>
      <c r="AG1" s="28" t="s">
        <v>37</v>
      </c>
      <c r="AH1" s="21" t="s">
        <v>73</v>
      </c>
      <c r="AI1" s="21" t="s">
        <v>826</v>
      </c>
      <c r="AJ1" s="21" t="s">
        <v>827</v>
      </c>
      <c r="AK1" s="21" t="s">
        <v>74</v>
      </c>
      <c r="AL1" s="21" t="s">
        <v>2036</v>
      </c>
      <c r="AM1" s="21" t="s">
        <v>2037</v>
      </c>
      <c r="AN1" s="21" t="s">
        <v>828</v>
      </c>
      <c r="AO1" s="21" t="s">
        <v>829</v>
      </c>
      <c r="AP1" s="21" t="s">
        <v>75</v>
      </c>
      <c r="AQ1" s="21" t="s">
        <v>824</v>
      </c>
      <c r="AR1" s="21" t="s">
        <v>825</v>
      </c>
      <c r="AS1" s="21" t="s">
        <v>822</v>
      </c>
      <c r="AT1" s="21" t="s">
        <v>823</v>
      </c>
      <c r="AU1" s="22" t="s">
        <v>76</v>
      </c>
      <c r="AV1" s="22" t="s">
        <v>77</v>
      </c>
      <c r="AW1" s="22" t="s">
        <v>2038</v>
      </c>
      <c r="AX1" s="22" t="s">
        <v>2039</v>
      </c>
      <c r="AY1" s="22" t="s">
        <v>78</v>
      </c>
      <c r="AZ1" s="22" t="s">
        <v>841</v>
      </c>
      <c r="BA1" s="22" t="s">
        <v>2040</v>
      </c>
      <c r="BB1" s="22" t="s">
        <v>2041</v>
      </c>
      <c r="BD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2043</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723</v>
      </c>
      <c r="AV2" s="18" t="s">
        <v>2044</v>
      </c>
      <c r="AW2" s="18" t="s">
        <v>2045</v>
      </c>
      <c r="AX2" s="18" t="s">
        <v>2046</v>
      </c>
      <c r="AY2" s="18" t="s">
        <v>2102</v>
      </c>
      <c r="AZ2" s="32" t="s">
        <v>2977</v>
      </c>
      <c r="BA2" s="18" t="s">
        <v>928</v>
      </c>
      <c r="BB2" s="18" t="s">
        <v>2978</v>
      </c>
      <c r="BD2" s="33" t="s">
        <v>723</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2050</v>
      </c>
      <c r="O3" s="18" t="s">
        <v>2051</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723</v>
      </c>
      <c r="AV3" s="18" t="s">
        <v>2044</v>
      </c>
      <c r="AW3" s="18" t="s">
        <v>2045</v>
      </c>
      <c r="AX3" s="18" t="s">
        <v>2046</v>
      </c>
      <c r="AY3" s="18" t="s">
        <v>2102</v>
      </c>
      <c r="AZ3" s="32" t="s">
        <v>2977</v>
      </c>
      <c r="BA3" s="18" t="s">
        <v>928</v>
      </c>
      <c r="BB3" s="18" t="s">
        <v>2978</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2183</v>
      </c>
      <c r="L4" s="5" t="s">
        <v>872</v>
      </c>
      <c r="M4" s="5" t="s">
        <v>85</v>
      </c>
      <c r="N4" s="5" t="s">
        <v>86</v>
      </c>
      <c r="O4" s="5" t="s">
        <v>2979</v>
      </c>
      <c r="P4" s="5"/>
      <c r="Q4" s="5" t="n">
        <v>5.65</v>
      </c>
      <c r="R4" s="5"/>
      <c r="S4" s="5"/>
      <c r="T4" s="5"/>
      <c r="U4" s="5"/>
      <c r="V4" s="5" t="n">
        <v>6.28</v>
      </c>
      <c r="W4" s="5"/>
      <c r="X4" s="5"/>
      <c r="Y4" s="5"/>
      <c r="Z4" s="5"/>
      <c r="AA4" s="5"/>
      <c r="AB4" s="5"/>
      <c r="AC4" s="5"/>
      <c r="AD4" s="5"/>
      <c r="AE4" s="5" t="n">
        <v>2</v>
      </c>
      <c r="AF4" s="5" t="n">
        <v>3</v>
      </c>
      <c r="AG4" s="5" t="n">
        <f aca="false">IF(AND(N(AE4)&gt;0,N(AF4)&gt;0),SQRT(2*AE4/AF4),"")</f>
        <v>1.15470053837925</v>
      </c>
      <c r="AH4" s="5" t="n">
        <v>25.4</v>
      </c>
      <c r="AI4" s="5"/>
      <c r="AJ4" s="5"/>
      <c r="AK4" s="5"/>
      <c r="AL4" s="5" t="n">
        <v>28.633</v>
      </c>
      <c r="AM4" s="5" t="n">
        <v>1</v>
      </c>
      <c r="AN4" s="5"/>
      <c r="AO4" s="5"/>
      <c r="AP4" s="5" t="n">
        <v>8.16</v>
      </c>
      <c r="AQ4" s="5" t="n">
        <v>5.2</v>
      </c>
      <c r="AR4" s="5" t="n">
        <v>1.5</v>
      </c>
      <c r="AS4" s="5" t="n">
        <v>52.06</v>
      </c>
      <c r="AT4" s="5" t="n">
        <v>22.54</v>
      </c>
      <c r="AU4" s="5" t="s">
        <v>723</v>
      </c>
      <c r="AV4" s="5" t="s">
        <v>2053</v>
      </c>
      <c r="AW4" s="5" t="s">
        <v>2980</v>
      </c>
      <c r="AX4" s="5" t="s">
        <v>2055</v>
      </c>
      <c r="AY4" s="5" t="s">
        <v>2115</v>
      </c>
      <c r="AZ4" s="23" t="s">
        <v>2981</v>
      </c>
      <c r="BA4" s="5" t="s">
        <v>880</v>
      </c>
      <c r="BB4" s="5" t="s">
        <v>2982</v>
      </c>
    </row>
    <row r="5" customFormat="false" ht="15" hidden="false" customHeight="true" outlineLevel="0" collapsed="false">
      <c r="A5" s="5" t="n">
        <v>165</v>
      </c>
      <c r="B5" s="5" t="n">
        <v>165</v>
      </c>
      <c r="C5" s="5" t="s">
        <v>862</v>
      </c>
      <c r="D5" s="5" t="n">
        <v>2012</v>
      </c>
      <c r="E5" s="5" t="s">
        <v>863</v>
      </c>
      <c r="F5" s="5" t="s">
        <v>866</v>
      </c>
      <c r="G5" s="5" t="s">
        <v>867</v>
      </c>
      <c r="H5" s="5" t="n">
        <v>28.633</v>
      </c>
      <c r="I5" s="5" t="n">
        <v>77.183</v>
      </c>
      <c r="J5" s="5" t="s">
        <v>83</v>
      </c>
      <c r="K5" s="5" t="s">
        <v>2183</v>
      </c>
      <c r="L5" s="5" t="s">
        <v>872</v>
      </c>
      <c r="M5" s="5" t="s">
        <v>85</v>
      </c>
      <c r="N5" s="5" t="s">
        <v>86</v>
      </c>
      <c r="O5" s="5" t="s">
        <v>2979</v>
      </c>
      <c r="P5" s="5"/>
      <c r="Q5" s="5" t="n">
        <v>5.73</v>
      </c>
      <c r="R5" s="5"/>
      <c r="S5" s="5"/>
      <c r="T5" s="5"/>
      <c r="U5" s="5"/>
      <c r="V5" s="5" t="n">
        <v>6.45</v>
      </c>
      <c r="W5" s="5"/>
      <c r="X5" s="5"/>
      <c r="Y5" s="5"/>
      <c r="Z5" s="5"/>
      <c r="AA5" s="5"/>
      <c r="AB5" s="5"/>
      <c r="AC5" s="5"/>
      <c r="AD5" s="5"/>
      <c r="AE5" s="5" t="n">
        <v>2</v>
      </c>
      <c r="AF5" s="5" t="n">
        <v>3</v>
      </c>
      <c r="AG5" s="5" t="n">
        <f aca="false">IF(AND(N(AE5)&gt;0,N(AF5)&gt;0),SQRT(2*AE5/AF5),"")</f>
        <v>1.15470053837925</v>
      </c>
      <c r="AH5" s="5" t="n">
        <v>25.4</v>
      </c>
      <c r="AI5" s="5"/>
      <c r="AJ5" s="5"/>
      <c r="AK5" s="5"/>
      <c r="AL5" s="5" t="n">
        <v>28.633</v>
      </c>
      <c r="AM5" s="5" t="n">
        <v>1</v>
      </c>
      <c r="AN5" s="5"/>
      <c r="AO5" s="5"/>
      <c r="AP5" s="5" t="n">
        <v>8.16</v>
      </c>
      <c r="AQ5" s="5" t="n">
        <v>5.2</v>
      </c>
      <c r="AR5" s="5" t="n">
        <v>1.5</v>
      </c>
      <c r="AS5" s="5" t="n">
        <v>52.06</v>
      </c>
      <c r="AT5" s="5" t="n">
        <v>22.54</v>
      </c>
      <c r="AU5" s="5" t="s">
        <v>723</v>
      </c>
      <c r="AV5" s="5" t="s">
        <v>2059</v>
      </c>
      <c r="AW5" s="5" t="s">
        <v>2983</v>
      </c>
      <c r="AX5" s="5" t="s">
        <v>2055</v>
      </c>
      <c r="AY5" s="5" t="s">
        <v>2115</v>
      </c>
      <c r="AZ5" s="23" t="s">
        <v>2984</v>
      </c>
      <c r="BA5" s="5" t="s">
        <v>880</v>
      </c>
      <c r="BB5" s="5" t="s">
        <v>2982</v>
      </c>
    </row>
    <row r="6" customFormat="false" ht="15" hidden="false" customHeight="true" outlineLevel="0" collapsed="false">
      <c r="A6" s="5" t="n">
        <v>165</v>
      </c>
      <c r="B6" s="5" t="n">
        <v>165</v>
      </c>
      <c r="C6" s="5" t="s">
        <v>862</v>
      </c>
      <c r="D6" s="5" t="n">
        <v>2012</v>
      </c>
      <c r="E6" s="5" t="s">
        <v>863</v>
      </c>
      <c r="F6" s="5" t="s">
        <v>866</v>
      </c>
      <c r="G6" s="5" t="s">
        <v>867</v>
      </c>
      <c r="H6" s="5" t="n">
        <v>28.633</v>
      </c>
      <c r="I6" s="5" t="n">
        <v>77.183</v>
      </c>
      <c r="J6" s="5" t="s">
        <v>83</v>
      </c>
      <c r="K6" s="5" t="s">
        <v>2052</v>
      </c>
      <c r="L6" s="5" t="s">
        <v>872</v>
      </c>
      <c r="M6" s="5" t="s">
        <v>85</v>
      </c>
      <c r="N6" s="5" t="s">
        <v>86</v>
      </c>
      <c r="O6" s="5" t="s">
        <v>2979</v>
      </c>
      <c r="P6" s="5"/>
      <c r="Q6" s="5" t="n">
        <v>6.08</v>
      </c>
      <c r="R6" s="5"/>
      <c r="S6" s="5"/>
      <c r="T6" s="5"/>
      <c r="U6" s="5"/>
      <c r="V6" s="5" t="n">
        <v>6.75</v>
      </c>
      <c r="W6" s="5"/>
      <c r="X6" s="5"/>
      <c r="Y6" s="5"/>
      <c r="Z6" s="5"/>
      <c r="AA6" s="5"/>
      <c r="AB6" s="5"/>
      <c r="AC6" s="5"/>
      <c r="AD6" s="5"/>
      <c r="AE6" s="5" t="n">
        <v>2</v>
      </c>
      <c r="AF6" s="5" t="n">
        <v>3</v>
      </c>
      <c r="AG6" s="5" t="n">
        <f aca="false">IF(AND(N(AE6)&gt;0,N(AF6)&gt;0),SQRT(2*AE6/AF6),"")</f>
        <v>1.15470053837925</v>
      </c>
      <c r="AH6" s="5" t="n">
        <v>25.4</v>
      </c>
      <c r="AI6" s="5"/>
      <c r="AJ6" s="5"/>
      <c r="AK6" s="5"/>
      <c r="AL6" s="5" t="n">
        <v>28.633</v>
      </c>
      <c r="AM6" s="5" t="n">
        <v>2</v>
      </c>
      <c r="AN6" s="5"/>
      <c r="AO6" s="5"/>
      <c r="AP6" s="5" t="n">
        <v>8.16</v>
      </c>
      <c r="AQ6" s="5" t="n">
        <v>5.2</v>
      </c>
      <c r="AR6" s="5" t="n">
        <v>1.5</v>
      </c>
      <c r="AS6" s="5" t="n">
        <v>52.06</v>
      </c>
      <c r="AT6" s="5" t="n">
        <v>22.54</v>
      </c>
      <c r="AU6" s="5" t="s">
        <v>723</v>
      </c>
      <c r="AV6" s="5" t="s">
        <v>2053</v>
      </c>
      <c r="AW6" s="5" t="s">
        <v>2985</v>
      </c>
      <c r="AX6" s="5" t="s">
        <v>2055</v>
      </c>
      <c r="AY6" s="5" t="s">
        <v>2115</v>
      </c>
      <c r="AZ6" s="23" t="s">
        <v>2981</v>
      </c>
      <c r="BA6" s="5" t="s">
        <v>880</v>
      </c>
      <c r="BB6" s="5" t="s">
        <v>2982</v>
      </c>
    </row>
    <row r="7" customFormat="false" ht="15" hidden="false" customHeight="true" outlineLevel="0" collapsed="false">
      <c r="A7" s="5" t="n">
        <v>165</v>
      </c>
      <c r="B7" s="5" t="n">
        <v>165</v>
      </c>
      <c r="C7" s="5" t="s">
        <v>862</v>
      </c>
      <c r="D7" s="5" t="n">
        <v>2012</v>
      </c>
      <c r="E7" s="5" t="s">
        <v>863</v>
      </c>
      <c r="F7" s="5" t="s">
        <v>866</v>
      </c>
      <c r="G7" s="5" t="s">
        <v>867</v>
      </c>
      <c r="H7" s="5" t="n">
        <v>28.633</v>
      </c>
      <c r="I7" s="5" t="n">
        <v>77.183</v>
      </c>
      <c r="J7" s="5" t="s">
        <v>83</v>
      </c>
      <c r="K7" s="5" t="s">
        <v>2052</v>
      </c>
      <c r="L7" s="5" t="s">
        <v>872</v>
      </c>
      <c r="M7" s="5" t="s">
        <v>85</v>
      </c>
      <c r="N7" s="5" t="s">
        <v>86</v>
      </c>
      <c r="O7" s="5" t="s">
        <v>2979</v>
      </c>
      <c r="P7" s="5"/>
      <c r="Q7" s="5" t="n">
        <v>6.21</v>
      </c>
      <c r="R7" s="5"/>
      <c r="S7" s="5"/>
      <c r="T7" s="5"/>
      <c r="U7" s="5"/>
      <c r="V7" s="5" t="n">
        <v>6.93</v>
      </c>
      <c r="W7" s="5"/>
      <c r="X7" s="5"/>
      <c r="Y7" s="5"/>
      <c r="Z7" s="5"/>
      <c r="AA7" s="5"/>
      <c r="AB7" s="5"/>
      <c r="AC7" s="5"/>
      <c r="AD7" s="5"/>
      <c r="AE7" s="5" t="n">
        <v>2</v>
      </c>
      <c r="AF7" s="5" t="n">
        <v>3</v>
      </c>
      <c r="AG7" s="5" t="n">
        <f aca="false">IF(AND(N(AE7)&gt;0,N(AF7)&gt;0),SQRT(2*AE7/AF7),"")</f>
        <v>1.15470053837925</v>
      </c>
      <c r="AH7" s="5" t="n">
        <v>25.4</v>
      </c>
      <c r="AI7" s="5"/>
      <c r="AJ7" s="5"/>
      <c r="AK7" s="5"/>
      <c r="AL7" s="5" t="n">
        <v>28.633</v>
      </c>
      <c r="AM7" s="5" t="n">
        <v>2</v>
      </c>
      <c r="AN7" s="5"/>
      <c r="AO7" s="5"/>
      <c r="AP7" s="5" t="n">
        <v>8.16</v>
      </c>
      <c r="AQ7" s="5" t="n">
        <v>5.2</v>
      </c>
      <c r="AR7" s="5" t="n">
        <v>1.5</v>
      </c>
      <c r="AS7" s="5" t="n">
        <v>52.06</v>
      </c>
      <c r="AT7" s="5" t="n">
        <v>22.54</v>
      </c>
      <c r="AU7" s="5" t="s">
        <v>723</v>
      </c>
      <c r="AV7" s="5" t="s">
        <v>2059</v>
      </c>
      <c r="AW7" s="5" t="s">
        <v>2986</v>
      </c>
      <c r="AX7" s="5" t="s">
        <v>2055</v>
      </c>
      <c r="AY7" s="5" t="s">
        <v>2115</v>
      </c>
      <c r="AZ7" s="23" t="s">
        <v>2984</v>
      </c>
      <c r="BA7" s="5" t="s">
        <v>880</v>
      </c>
      <c r="BB7" s="5" t="s">
        <v>2982</v>
      </c>
    </row>
    <row r="8" customFormat="false" ht="15" hidden="false" customHeight="true" outlineLevel="0" collapsed="false">
      <c r="A8" s="5" t="n">
        <v>164</v>
      </c>
      <c r="B8" s="5" t="n">
        <v>164</v>
      </c>
      <c r="C8" s="5" t="s">
        <v>842</v>
      </c>
      <c r="D8" s="5" t="n">
        <v>2000</v>
      </c>
      <c r="E8" s="5" t="s">
        <v>843</v>
      </c>
      <c r="F8" s="5" t="s">
        <v>917</v>
      </c>
      <c r="G8" s="5" t="s">
        <v>2987</v>
      </c>
      <c r="H8" s="5" t="n">
        <v>30.933</v>
      </c>
      <c r="I8" s="5" t="n">
        <v>75.867</v>
      </c>
      <c r="J8" s="5" t="s">
        <v>921</v>
      </c>
      <c r="K8" s="5" t="s">
        <v>2988</v>
      </c>
      <c r="L8" s="5" t="s">
        <v>853</v>
      </c>
      <c r="M8" s="5" t="s">
        <v>85</v>
      </c>
      <c r="N8" s="5" t="s">
        <v>86</v>
      </c>
      <c r="O8" s="5" t="s">
        <v>2043</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723</v>
      </c>
      <c r="AV8" s="5" t="s">
        <v>2989</v>
      </c>
      <c r="AW8" s="5" t="s">
        <v>2990</v>
      </c>
      <c r="AX8" s="5" t="s">
        <v>2991</v>
      </c>
      <c r="AY8" s="5" t="s">
        <v>2992</v>
      </c>
      <c r="AZ8" s="23" t="s">
        <v>2993</v>
      </c>
      <c r="BA8" s="5" t="s">
        <v>858</v>
      </c>
      <c r="BB8" s="5" t="s">
        <v>2994</v>
      </c>
    </row>
    <row r="9" customFormat="false" ht="15" hidden="false" customHeight="true" outlineLevel="0" collapsed="false">
      <c r="A9" s="5" t="n">
        <v>164</v>
      </c>
      <c r="B9" s="5" t="n">
        <v>164</v>
      </c>
      <c r="C9" s="5" t="s">
        <v>842</v>
      </c>
      <c r="D9" s="5" t="n">
        <v>2000</v>
      </c>
      <c r="E9" s="5" t="s">
        <v>843</v>
      </c>
      <c r="F9" s="5" t="s">
        <v>1964</v>
      </c>
      <c r="G9" s="5" t="s">
        <v>2995</v>
      </c>
      <c r="H9" s="5" t="n">
        <v>29</v>
      </c>
      <c r="I9" s="5" t="n">
        <v>79.083</v>
      </c>
      <c r="J9" s="5" t="s">
        <v>83</v>
      </c>
      <c r="K9" s="5" t="s">
        <v>2988</v>
      </c>
      <c r="L9" s="5" t="s">
        <v>853</v>
      </c>
      <c r="M9" s="5" t="s">
        <v>85</v>
      </c>
      <c r="N9" s="5" t="s">
        <v>86</v>
      </c>
      <c r="O9" s="5" t="s">
        <v>2043</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723</v>
      </c>
      <c r="AV9" s="5" t="s">
        <v>2989</v>
      </c>
      <c r="AW9" s="5" t="s">
        <v>2990</v>
      </c>
      <c r="AX9" s="5" t="s">
        <v>2996</v>
      </c>
      <c r="AY9" s="5" t="s">
        <v>2992</v>
      </c>
      <c r="AZ9" s="23" t="s">
        <v>2997</v>
      </c>
      <c r="BA9" s="5" t="s">
        <v>858</v>
      </c>
      <c r="BB9" s="5" t="s">
        <v>2994</v>
      </c>
    </row>
    <row r="10" customFormat="false" ht="15" hidden="false" customHeight="true" outlineLevel="0" collapsed="false">
      <c r="A10" s="5" t="n">
        <v>164</v>
      </c>
      <c r="B10" s="5" t="n">
        <v>164</v>
      </c>
      <c r="C10" s="5" t="s">
        <v>842</v>
      </c>
      <c r="D10" s="5" t="n">
        <v>2000</v>
      </c>
      <c r="E10" s="5" t="s">
        <v>843</v>
      </c>
      <c r="F10" s="5" t="s">
        <v>887</v>
      </c>
      <c r="G10" s="5" t="s">
        <v>2998</v>
      </c>
      <c r="H10" s="5" t="n">
        <v>26.967</v>
      </c>
      <c r="I10" s="5" t="n">
        <v>80.567</v>
      </c>
      <c r="J10" s="5" t="s">
        <v>83</v>
      </c>
      <c r="K10" s="5" t="s">
        <v>2988</v>
      </c>
      <c r="L10" s="5" t="s">
        <v>853</v>
      </c>
      <c r="M10" s="5"/>
      <c r="N10" s="5" t="s">
        <v>86</v>
      </c>
      <c r="O10" s="5" t="s">
        <v>2043</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723</v>
      </c>
      <c r="AV10" s="5" t="s">
        <v>2989</v>
      </c>
      <c r="AW10" s="5" t="s">
        <v>2990</v>
      </c>
      <c r="AX10" s="5" t="s">
        <v>2999</v>
      </c>
      <c r="AY10" s="5" t="s">
        <v>2992</v>
      </c>
      <c r="AZ10" s="23" t="s">
        <v>3000</v>
      </c>
      <c r="BA10" s="5" t="s">
        <v>858</v>
      </c>
      <c r="BB10" s="5" t="s">
        <v>2994</v>
      </c>
    </row>
    <row r="11" customFormat="false" ht="15" hidden="false" customHeight="true" outlineLevel="0" collapsed="false">
      <c r="A11" s="5" t="n">
        <v>164</v>
      </c>
      <c r="B11" s="5" t="n">
        <v>164</v>
      </c>
      <c r="C11" s="5" t="s">
        <v>842</v>
      </c>
      <c r="D11" s="5" t="n">
        <v>2000</v>
      </c>
      <c r="E11" s="5" t="s">
        <v>843</v>
      </c>
      <c r="F11" s="5" t="s">
        <v>887</v>
      </c>
      <c r="G11" s="5" t="s">
        <v>3001</v>
      </c>
      <c r="H11" s="5" t="n">
        <v>26.067</v>
      </c>
      <c r="I11" s="5" t="n">
        <v>82.133</v>
      </c>
      <c r="J11" s="5" t="s">
        <v>83</v>
      </c>
      <c r="K11" s="5" t="s">
        <v>2988</v>
      </c>
      <c r="L11" s="5" t="s">
        <v>853</v>
      </c>
      <c r="M11" s="5" t="s">
        <v>85</v>
      </c>
      <c r="N11" s="5" t="s">
        <v>86</v>
      </c>
      <c r="O11" s="5" t="s">
        <v>2043</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723</v>
      </c>
      <c r="AV11" s="5" t="s">
        <v>2989</v>
      </c>
      <c r="AW11" s="5" t="s">
        <v>2990</v>
      </c>
      <c r="AX11" s="5" t="s">
        <v>3002</v>
      </c>
      <c r="AY11" s="5" t="s">
        <v>2992</v>
      </c>
      <c r="AZ11" s="23" t="s">
        <v>3003</v>
      </c>
      <c r="BA11" s="5" t="s">
        <v>858</v>
      </c>
      <c r="BB11" s="5" t="s">
        <v>2994</v>
      </c>
    </row>
    <row r="12" customFormat="false" ht="15" hidden="false" customHeight="true" outlineLevel="0" collapsed="false">
      <c r="A12" s="5" t="n">
        <v>164</v>
      </c>
      <c r="B12" s="5" t="n">
        <v>164</v>
      </c>
      <c r="C12" s="5" t="s">
        <v>842</v>
      </c>
      <c r="D12" s="5" t="n">
        <v>2000</v>
      </c>
      <c r="E12" s="5" t="s">
        <v>843</v>
      </c>
      <c r="F12" s="5" t="s">
        <v>1976</v>
      </c>
      <c r="G12" s="5" t="s">
        <v>3004</v>
      </c>
      <c r="H12" s="5" t="n">
        <v>25.233</v>
      </c>
      <c r="I12" s="5" t="n">
        <v>87.067</v>
      </c>
      <c r="J12" s="5" t="s">
        <v>83</v>
      </c>
      <c r="K12" s="5" t="s">
        <v>2988</v>
      </c>
      <c r="L12" s="5" t="s">
        <v>853</v>
      </c>
      <c r="M12" s="5" t="s">
        <v>3005</v>
      </c>
      <c r="N12" s="5" t="s">
        <v>86</v>
      </c>
      <c r="O12" s="5" t="s">
        <v>2043</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723</v>
      </c>
      <c r="AV12" s="5" t="s">
        <v>2989</v>
      </c>
      <c r="AW12" s="5" t="s">
        <v>2990</v>
      </c>
      <c r="AX12" s="5" t="s">
        <v>3006</v>
      </c>
      <c r="AY12" s="5" t="s">
        <v>2992</v>
      </c>
      <c r="AZ12" s="23" t="s">
        <v>3007</v>
      </c>
      <c r="BA12" s="5" t="s">
        <v>858</v>
      </c>
      <c r="BB12" s="5" t="s">
        <v>2994</v>
      </c>
    </row>
    <row r="13" customFormat="false" ht="15" hidden="false" customHeight="true" outlineLevel="0" collapsed="false">
      <c r="A13" s="5" t="n">
        <v>164</v>
      </c>
      <c r="B13" s="5" t="n">
        <v>164</v>
      </c>
      <c r="C13" s="5" t="s">
        <v>842</v>
      </c>
      <c r="D13" s="5" t="n">
        <v>2000</v>
      </c>
      <c r="E13" s="5" t="s">
        <v>843</v>
      </c>
      <c r="F13" s="5" t="s">
        <v>1980</v>
      </c>
      <c r="G13" s="5" t="s">
        <v>3008</v>
      </c>
      <c r="H13" s="5" t="n">
        <v>23</v>
      </c>
      <c r="I13" s="5" t="n">
        <v>89</v>
      </c>
      <c r="J13" s="5" t="s">
        <v>83</v>
      </c>
      <c r="K13" s="5" t="s">
        <v>3009</v>
      </c>
      <c r="L13" s="5" t="s">
        <v>853</v>
      </c>
      <c r="M13" s="5"/>
      <c r="N13" s="5" t="s">
        <v>86</v>
      </c>
      <c r="O13" s="5" t="s">
        <v>2043</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723</v>
      </c>
      <c r="AV13" s="5" t="s">
        <v>2989</v>
      </c>
      <c r="AW13" s="5" t="s">
        <v>3010</v>
      </c>
      <c r="AX13" s="5" t="s">
        <v>3011</v>
      </c>
      <c r="AY13" s="5" t="s">
        <v>2992</v>
      </c>
      <c r="AZ13" s="23" t="s">
        <v>3012</v>
      </c>
      <c r="BA13" s="5" t="s">
        <v>858</v>
      </c>
      <c r="BB13" s="5" t="s">
        <v>2994</v>
      </c>
    </row>
    <row r="14" customFormat="false" ht="15" hidden="false" customHeight="true" outlineLevel="0" collapsed="false">
      <c r="A14" s="5" t="n">
        <v>164</v>
      </c>
      <c r="B14" s="5" t="n">
        <v>164</v>
      </c>
      <c r="C14" s="5" t="s">
        <v>842</v>
      </c>
      <c r="D14" s="5" t="n">
        <v>2000</v>
      </c>
      <c r="E14" s="5" t="s">
        <v>843</v>
      </c>
      <c r="F14" s="5" t="s">
        <v>1985</v>
      </c>
      <c r="G14" s="5" t="s">
        <v>3013</v>
      </c>
      <c r="H14" s="5" t="n">
        <v>23.167</v>
      </c>
      <c r="I14" s="5" t="n">
        <v>79.95</v>
      </c>
      <c r="J14" s="5" t="s">
        <v>83</v>
      </c>
      <c r="K14" s="5" t="s">
        <v>2988</v>
      </c>
      <c r="L14" s="5" t="s">
        <v>853</v>
      </c>
      <c r="M14" s="5" t="s">
        <v>3005</v>
      </c>
      <c r="N14" s="5" t="s">
        <v>86</v>
      </c>
      <c r="O14" s="5" t="s">
        <v>2043</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723</v>
      </c>
      <c r="AV14" s="5" t="s">
        <v>2989</v>
      </c>
      <c r="AW14" s="5" t="s">
        <v>2990</v>
      </c>
      <c r="AX14" s="5" t="s">
        <v>3014</v>
      </c>
      <c r="AY14" s="5" t="s">
        <v>2992</v>
      </c>
      <c r="AZ14" s="23" t="s">
        <v>3015</v>
      </c>
      <c r="BA14" s="5" t="s">
        <v>858</v>
      </c>
      <c r="BB14" s="5" t="s">
        <v>2994</v>
      </c>
    </row>
    <row r="15" customFormat="false" ht="15" hidden="false" customHeight="true" outlineLevel="0" collapsed="false">
      <c r="A15" s="5" t="s">
        <v>982</v>
      </c>
      <c r="B15" s="5" t="s">
        <v>982</v>
      </c>
      <c r="C15" s="5" t="s">
        <v>983</v>
      </c>
      <c r="D15" s="5" t="n">
        <v>2023</v>
      </c>
      <c r="E15" s="5" t="s">
        <v>984</v>
      </c>
      <c r="F15" s="5" t="s">
        <v>987</v>
      </c>
      <c r="G15" s="5" t="s">
        <v>988</v>
      </c>
      <c r="H15" s="5" t="n">
        <v>35.27</v>
      </c>
      <c r="I15" s="5" t="n">
        <v>119.38</v>
      </c>
      <c r="J15" s="5" t="s">
        <v>921</v>
      </c>
      <c r="K15" s="5" t="n">
        <v>2020</v>
      </c>
      <c r="L15" s="5" t="s">
        <v>872</v>
      </c>
      <c r="M15" s="5"/>
      <c r="N15" s="5" t="s">
        <v>86</v>
      </c>
      <c r="O15" s="5" t="s">
        <v>2062</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723</v>
      </c>
      <c r="AV15" s="5" t="s">
        <v>2063</v>
      </c>
      <c r="AW15" s="5" t="s">
        <v>2332</v>
      </c>
      <c r="AX15" s="5" t="s">
        <v>2065</v>
      </c>
      <c r="AY15" s="5" t="s">
        <v>91</v>
      </c>
      <c r="AZ15" s="23" t="s">
        <v>3016</v>
      </c>
      <c r="BA15" s="5" t="s">
        <v>998</v>
      </c>
      <c r="BB15" s="5" t="s">
        <v>3017</v>
      </c>
    </row>
    <row r="16" customFormat="false" ht="15" hidden="false" customHeight="true" outlineLevel="0" collapsed="false">
      <c r="A16" s="5" t="s">
        <v>982</v>
      </c>
      <c r="B16" s="5" t="s">
        <v>982</v>
      </c>
      <c r="C16" s="5" t="s">
        <v>983</v>
      </c>
      <c r="D16" s="5" t="n">
        <v>2023</v>
      </c>
      <c r="E16" s="5" t="s">
        <v>984</v>
      </c>
      <c r="F16" s="5" t="s">
        <v>987</v>
      </c>
      <c r="G16" s="5" t="s">
        <v>988</v>
      </c>
      <c r="H16" s="5" t="n">
        <v>35.27</v>
      </c>
      <c r="I16" s="5" t="n">
        <v>119.38</v>
      </c>
      <c r="J16" s="5" t="s">
        <v>921</v>
      </c>
      <c r="K16" s="5" t="n">
        <v>2020</v>
      </c>
      <c r="L16" s="5" t="s">
        <v>872</v>
      </c>
      <c r="M16" s="5"/>
      <c r="N16" s="5" t="s">
        <v>2050</v>
      </c>
      <c r="O16" s="5" t="s">
        <v>2071</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723</v>
      </c>
      <c r="AV16" s="5" t="s">
        <v>2063</v>
      </c>
      <c r="AW16" s="5" t="s">
        <v>2332</v>
      </c>
      <c r="AX16" s="5" t="s">
        <v>2065</v>
      </c>
      <c r="AY16" s="5" t="s">
        <v>91</v>
      </c>
      <c r="AZ16" s="23" t="s">
        <v>3018</v>
      </c>
      <c r="BA16" s="5" t="s">
        <v>998</v>
      </c>
      <c r="BB16" s="5" t="s">
        <v>3017</v>
      </c>
    </row>
    <row r="17" customFormat="false" ht="15" hidden="false" customHeight="true" outlineLevel="0" collapsed="false">
      <c r="A17" s="5" t="s">
        <v>982</v>
      </c>
      <c r="B17" s="5" t="s">
        <v>982</v>
      </c>
      <c r="C17" s="5" t="s">
        <v>983</v>
      </c>
      <c r="D17" s="5" t="n">
        <v>2023</v>
      </c>
      <c r="E17" s="5" t="s">
        <v>984</v>
      </c>
      <c r="F17" s="5" t="s">
        <v>987</v>
      </c>
      <c r="G17" s="5" t="s">
        <v>988</v>
      </c>
      <c r="H17" s="5" t="n">
        <v>35.27</v>
      </c>
      <c r="I17" s="5" t="n">
        <v>119.38</v>
      </c>
      <c r="J17" s="5" t="s">
        <v>921</v>
      </c>
      <c r="K17" s="5" t="n">
        <v>2020</v>
      </c>
      <c r="L17" s="5" t="s">
        <v>872</v>
      </c>
      <c r="M17" s="5"/>
      <c r="N17" s="5" t="s">
        <v>2050</v>
      </c>
      <c r="O17" s="5" t="s">
        <v>2073</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723</v>
      </c>
      <c r="AV17" s="5" t="s">
        <v>2063</v>
      </c>
      <c r="AW17" s="5" t="s">
        <v>2332</v>
      </c>
      <c r="AX17" s="5" t="s">
        <v>2065</v>
      </c>
      <c r="AY17" s="5" t="s">
        <v>91</v>
      </c>
      <c r="AZ17" s="23" t="s">
        <v>3018</v>
      </c>
      <c r="BA17" s="5" t="s">
        <v>998</v>
      </c>
      <c r="BB17" s="5" t="s">
        <v>3017</v>
      </c>
    </row>
    <row r="18" customFormat="false" ht="15" hidden="false" customHeight="true" outlineLevel="0" collapsed="false">
      <c r="A18" s="18" t="s">
        <v>938</v>
      </c>
      <c r="B18" s="18" t="s">
        <v>938</v>
      </c>
      <c r="C18" s="18" t="s">
        <v>939</v>
      </c>
      <c r="D18" s="18" t="n">
        <v>2019</v>
      </c>
      <c r="E18" s="18" t="s">
        <v>884</v>
      </c>
      <c r="F18" s="18" t="s">
        <v>942</v>
      </c>
      <c r="G18" s="18" t="s">
        <v>943</v>
      </c>
      <c r="H18" s="18" t="n">
        <v>29.7</v>
      </c>
      <c r="I18" s="18" t="n">
        <v>76.96</v>
      </c>
      <c r="J18" s="18" t="s">
        <v>83</v>
      </c>
      <c r="K18" s="18" t="n">
        <v>2013</v>
      </c>
      <c r="L18" s="18" t="s">
        <v>84</v>
      </c>
      <c r="M18" s="18" t="s">
        <v>85</v>
      </c>
      <c r="N18" s="18" t="s">
        <v>86</v>
      </c>
      <c r="O18" s="18" t="s">
        <v>2043</v>
      </c>
      <c r="P18" s="18" t="n">
        <v>7.5</v>
      </c>
      <c r="Q18" s="18" t="n">
        <v>4.5</v>
      </c>
      <c r="R18" s="18"/>
      <c r="S18" s="18"/>
      <c r="T18" s="18"/>
      <c r="U18" s="18"/>
      <c r="V18" s="18"/>
      <c r="W18" s="18"/>
      <c r="X18" s="18" t="n">
        <v>5.5</v>
      </c>
      <c r="Y18" s="18"/>
      <c r="Z18" s="18"/>
      <c r="AA18" s="18"/>
      <c r="AB18" s="18"/>
      <c r="AC18" s="18"/>
      <c r="AD18" s="18"/>
      <c r="AE18" s="18" t="n">
        <v>2</v>
      </c>
      <c r="AF18" s="18" t="n">
        <v>3</v>
      </c>
      <c r="AG18" s="18" t="n">
        <f aca="false">IF(AND(N(AE18)&gt;0,N(AF18)&gt;0),SQRT(2*AE18/AF18),"")</f>
        <v>1.15470053837925</v>
      </c>
      <c r="AH18" s="18"/>
      <c r="AI18" s="18" t="n">
        <v>2</v>
      </c>
      <c r="AJ18" s="18" t="n">
        <v>42.5</v>
      </c>
      <c r="AK18" s="18" t="n">
        <v>700</v>
      </c>
      <c r="AL18" s="18" t="n">
        <v>29.7</v>
      </c>
      <c r="AM18" s="18" t="n">
        <v>4</v>
      </c>
      <c r="AN18" s="18"/>
      <c r="AO18" s="18"/>
      <c r="AP18" s="18"/>
      <c r="AQ18" s="18"/>
      <c r="AR18" s="18"/>
      <c r="AS18" s="18"/>
      <c r="AT18" s="18"/>
      <c r="AU18" s="18" t="s">
        <v>3019</v>
      </c>
      <c r="AV18" s="18" t="s">
        <v>2337</v>
      </c>
      <c r="AW18" s="18" t="s">
        <v>2338</v>
      </c>
      <c r="AX18" s="18" t="s">
        <v>2339</v>
      </c>
      <c r="AY18" s="18" t="s">
        <v>2102</v>
      </c>
      <c r="AZ18" s="32" t="s">
        <v>3020</v>
      </c>
      <c r="BA18" s="18" t="s">
        <v>952</v>
      </c>
      <c r="BB18" s="18" t="s">
        <v>3021</v>
      </c>
    </row>
    <row r="19" customFormat="false" ht="15" hidden="false" customHeight="true" outlineLevel="0" collapsed="false">
      <c r="A19" s="18" t="s">
        <v>938</v>
      </c>
      <c r="B19" s="18" t="s">
        <v>938</v>
      </c>
      <c r="C19" s="18" t="s">
        <v>939</v>
      </c>
      <c r="D19" s="18" t="n">
        <v>2019</v>
      </c>
      <c r="E19" s="18" t="s">
        <v>884</v>
      </c>
      <c r="F19" s="18" t="s">
        <v>942</v>
      </c>
      <c r="G19" s="18" t="s">
        <v>943</v>
      </c>
      <c r="H19" s="18" t="n">
        <v>29.7</v>
      </c>
      <c r="I19" s="18" t="n">
        <v>76.96</v>
      </c>
      <c r="J19" s="18" t="s">
        <v>83</v>
      </c>
      <c r="K19" s="18" t="n">
        <v>2013</v>
      </c>
      <c r="L19" s="18" t="s">
        <v>84</v>
      </c>
      <c r="M19" s="18" t="s">
        <v>85</v>
      </c>
      <c r="N19" s="18" t="s">
        <v>2050</v>
      </c>
      <c r="O19" s="18" t="s">
        <v>2051</v>
      </c>
      <c r="P19" s="18" t="n">
        <v>3.6</v>
      </c>
      <c r="Q19" s="18" t="n">
        <v>3.5</v>
      </c>
      <c r="R19" s="18"/>
      <c r="S19" s="18"/>
      <c r="T19" s="18"/>
      <c r="U19" s="18"/>
      <c r="V19" s="18"/>
      <c r="W19" s="18"/>
      <c r="X19" s="18" t="n">
        <v>4.9</v>
      </c>
      <c r="Y19" s="18"/>
      <c r="Z19" s="18"/>
      <c r="AA19" s="18"/>
      <c r="AB19" s="18"/>
      <c r="AC19" s="18"/>
      <c r="AD19" s="18"/>
      <c r="AE19" s="18" t="n">
        <v>2</v>
      </c>
      <c r="AF19" s="18" t="n">
        <v>3</v>
      </c>
      <c r="AG19" s="18" t="n">
        <f aca="false">IF(AND(N(AE19)&gt;0,N(AF19)&gt;0),SQRT(2*AE19/AF19),"")</f>
        <v>1.15470053837925</v>
      </c>
      <c r="AH19" s="18"/>
      <c r="AI19" s="18" t="n">
        <v>2</v>
      </c>
      <c r="AJ19" s="18" t="n">
        <v>42.5</v>
      </c>
      <c r="AK19" s="18" t="n">
        <v>700</v>
      </c>
      <c r="AL19" s="18" t="n">
        <v>29.7</v>
      </c>
      <c r="AM19" s="18" t="n">
        <v>4</v>
      </c>
      <c r="AN19" s="18"/>
      <c r="AO19" s="18"/>
      <c r="AP19" s="18"/>
      <c r="AQ19" s="18"/>
      <c r="AR19" s="18"/>
      <c r="AS19" s="18"/>
      <c r="AT19" s="18"/>
      <c r="AU19" s="18" t="s">
        <v>3019</v>
      </c>
      <c r="AV19" s="18" t="s">
        <v>2337</v>
      </c>
      <c r="AW19" s="18" t="s">
        <v>2338</v>
      </c>
      <c r="AX19" s="18" t="s">
        <v>2339</v>
      </c>
      <c r="AY19" s="18" t="s">
        <v>2102</v>
      </c>
      <c r="AZ19" s="32" t="s">
        <v>3020</v>
      </c>
      <c r="BA19" s="18" t="s">
        <v>952</v>
      </c>
      <c r="BB19" s="18" t="s">
        <v>3021</v>
      </c>
    </row>
    <row r="20" customFormat="false" ht="14.25" hidden="false" customHeight="true" outlineLevel="0" collapsed="false">
      <c r="A20" s="18" t="s">
        <v>938</v>
      </c>
      <c r="B20" s="18" t="s">
        <v>938</v>
      </c>
      <c r="C20" s="18" t="s">
        <v>939</v>
      </c>
      <c r="D20" s="18" t="n">
        <v>2019</v>
      </c>
      <c r="E20" s="18" t="s">
        <v>884</v>
      </c>
      <c r="F20" s="18" t="s">
        <v>942</v>
      </c>
      <c r="G20" s="18" t="s">
        <v>943</v>
      </c>
      <c r="H20" s="18" t="n">
        <v>29.7</v>
      </c>
      <c r="I20" s="18" t="n">
        <v>76.96</v>
      </c>
      <c r="J20" s="18" t="s">
        <v>83</v>
      </c>
      <c r="K20" s="18" t="n">
        <v>2015</v>
      </c>
      <c r="L20" s="18" t="s">
        <v>84</v>
      </c>
      <c r="M20" s="18" t="s">
        <v>85</v>
      </c>
      <c r="N20" s="18" t="s">
        <v>86</v>
      </c>
      <c r="O20" s="18" t="s">
        <v>2043</v>
      </c>
      <c r="P20" s="18" t="n">
        <v>8.1</v>
      </c>
      <c r="Q20" s="18" t="n">
        <v>4.9</v>
      </c>
      <c r="R20" s="18"/>
      <c r="S20" s="18"/>
      <c r="T20" s="18"/>
      <c r="U20" s="18"/>
      <c r="V20" s="18"/>
      <c r="W20" s="18"/>
      <c r="X20" s="18" t="n">
        <v>6.8</v>
      </c>
      <c r="Y20" s="18"/>
      <c r="Z20" s="18"/>
      <c r="AA20" s="18"/>
      <c r="AB20" s="18"/>
      <c r="AC20" s="18"/>
      <c r="AD20" s="18"/>
      <c r="AE20" s="18" t="n">
        <v>2</v>
      </c>
      <c r="AF20" s="18" t="n">
        <v>3</v>
      </c>
      <c r="AG20" s="18" t="n">
        <f aca="false">IF(AND(N(AE20)&gt;0,N(AF20)&gt;0),SQRT(2*AE20/AF20),"")</f>
        <v>1.15470053837925</v>
      </c>
      <c r="AH20" s="18"/>
      <c r="AI20" s="18" t="n">
        <v>2</v>
      </c>
      <c r="AJ20" s="18" t="n">
        <v>42.5</v>
      </c>
      <c r="AK20" s="18" t="n">
        <v>700</v>
      </c>
      <c r="AL20" s="18" t="n">
        <v>29.7</v>
      </c>
      <c r="AM20" s="18" t="n">
        <v>6</v>
      </c>
      <c r="AN20" s="18"/>
      <c r="AO20" s="18"/>
      <c r="AP20" s="18"/>
      <c r="AQ20" s="18"/>
      <c r="AR20" s="18"/>
      <c r="AS20" s="18"/>
      <c r="AT20" s="18"/>
      <c r="AU20" s="18" t="s">
        <v>3019</v>
      </c>
      <c r="AV20" s="18" t="s">
        <v>2337</v>
      </c>
      <c r="AW20" s="18" t="s">
        <v>2343</v>
      </c>
      <c r="AX20" s="18" t="s">
        <v>2339</v>
      </c>
      <c r="AY20" s="18" t="s">
        <v>2102</v>
      </c>
      <c r="AZ20" s="32" t="s">
        <v>3022</v>
      </c>
      <c r="BA20" s="18" t="s">
        <v>952</v>
      </c>
      <c r="BB20" s="18" t="s">
        <v>3021</v>
      </c>
    </row>
    <row r="21" customFormat="false" ht="14.25" hidden="false" customHeight="true" outlineLevel="0" collapsed="false">
      <c r="A21" s="18" t="s">
        <v>938</v>
      </c>
      <c r="B21" s="18" t="s">
        <v>938</v>
      </c>
      <c r="C21" s="18" t="s">
        <v>939</v>
      </c>
      <c r="D21" s="18" t="n">
        <v>2019</v>
      </c>
      <c r="E21" s="18" t="s">
        <v>884</v>
      </c>
      <c r="F21" s="18" t="s">
        <v>942</v>
      </c>
      <c r="G21" s="18" t="s">
        <v>943</v>
      </c>
      <c r="H21" s="18" t="n">
        <v>29.7</v>
      </c>
      <c r="I21" s="18" t="n">
        <v>76.96</v>
      </c>
      <c r="J21" s="18" t="s">
        <v>83</v>
      </c>
      <c r="K21" s="18" t="n">
        <v>2015</v>
      </c>
      <c r="L21" s="18" t="s">
        <v>84</v>
      </c>
      <c r="M21" s="18" t="s">
        <v>85</v>
      </c>
      <c r="N21" s="18" t="s">
        <v>2050</v>
      </c>
      <c r="O21" s="18" t="s">
        <v>2051</v>
      </c>
      <c r="P21" s="18" t="n">
        <v>4</v>
      </c>
      <c r="Q21" s="18" t="n">
        <v>4.4</v>
      </c>
      <c r="R21" s="18"/>
      <c r="S21" s="18"/>
      <c r="T21" s="18"/>
      <c r="U21" s="18"/>
      <c r="V21" s="18"/>
      <c r="W21" s="18"/>
      <c r="X21" s="18" t="n">
        <v>5.5</v>
      </c>
      <c r="Y21" s="18"/>
      <c r="Z21" s="18"/>
      <c r="AA21" s="18"/>
      <c r="AB21" s="18"/>
      <c r="AC21" s="18"/>
      <c r="AD21" s="18"/>
      <c r="AE21" s="18" t="n">
        <v>2</v>
      </c>
      <c r="AF21" s="18" t="n">
        <v>3</v>
      </c>
      <c r="AG21" s="18" t="n">
        <f aca="false">IF(AND(N(AE21)&gt;0,N(AF21)&gt;0),SQRT(2*AE21/AF21),"")</f>
        <v>1.15470053837925</v>
      </c>
      <c r="AH21" s="18"/>
      <c r="AI21" s="18" t="n">
        <v>2</v>
      </c>
      <c r="AJ21" s="18" t="n">
        <v>42.5</v>
      </c>
      <c r="AK21" s="18" t="n">
        <v>700</v>
      </c>
      <c r="AL21" s="18" t="n">
        <v>29.7</v>
      </c>
      <c r="AM21" s="18" t="n">
        <v>6</v>
      </c>
      <c r="AN21" s="18"/>
      <c r="AO21" s="18"/>
      <c r="AP21" s="18"/>
      <c r="AQ21" s="18"/>
      <c r="AR21" s="18"/>
      <c r="AS21" s="18"/>
      <c r="AT21" s="18"/>
      <c r="AU21" s="18" t="s">
        <v>3019</v>
      </c>
      <c r="AV21" s="18" t="s">
        <v>2337</v>
      </c>
      <c r="AW21" s="18" t="s">
        <v>2343</v>
      </c>
      <c r="AX21" s="18" t="s">
        <v>2339</v>
      </c>
      <c r="AY21" s="18" t="s">
        <v>2102</v>
      </c>
      <c r="AZ21" s="32" t="s">
        <v>3022</v>
      </c>
      <c r="BA21" s="18" t="s">
        <v>952</v>
      </c>
      <c r="BB21" s="18" t="s">
        <v>3021</v>
      </c>
    </row>
    <row r="22" customFormat="false" ht="14.25" hidden="false" customHeight="true" outlineLevel="0" collapsed="false">
      <c r="A22" s="18" t="s">
        <v>965</v>
      </c>
      <c r="B22" s="18" t="s">
        <v>965</v>
      </c>
      <c r="C22" s="18" t="s">
        <v>966</v>
      </c>
      <c r="D22" s="18" t="n">
        <v>2020</v>
      </c>
      <c r="E22" s="18" t="s">
        <v>967</v>
      </c>
      <c r="F22" s="18" t="s">
        <v>866</v>
      </c>
      <c r="G22" s="18" t="s">
        <v>970</v>
      </c>
      <c r="H22" s="18" t="n">
        <v>28.4</v>
      </c>
      <c r="I22" s="18" t="n">
        <v>77.1</v>
      </c>
      <c r="J22" s="18" t="s">
        <v>83</v>
      </c>
      <c r="K22" s="18" t="s">
        <v>2075</v>
      </c>
      <c r="L22" s="18" t="s">
        <v>853</v>
      </c>
      <c r="M22" s="18" t="s">
        <v>85</v>
      </c>
      <c r="N22" s="18" t="s">
        <v>86</v>
      </c>
      <c r="O22" s="18" t="s">
        <v>2043</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723</v>
      </c>
      <c r="AV22" s="18" t="s">
        <v>2076</v>
      </c>
      <c r="AW22" s="18" t="s">
        <v>2077</v>
      </c>
      <c r="AX22" s="18" t="s">
        <v>2078</v>
      </c>
      <c r="AY22" s="18" t="s">
        <v>2047</v>
      </c>
      <c r="AZ22" s="32" t="s">
        <v>3023</v>
      </c>
      <c r="BA22" s="18" t="s">
        <v>979</v>
      </c>
      <c r="BB22" s="18" t="s">
        <v>3024</v>
      </c>
    </row>
    <row r="23" customFormat="false" ht="14.25" hidden="false" customHeight="true" outlineLevel="0" collapsed="false">
      <c r="A23" s="18" t="s">
        <v>965</v>
      </c>
      <c r="B23" s="18" t="s">
        <v>965</v>
      </c>
      <c r="C23" s="18" t="s">
        <v>966</v>
      </c>
      <c r="D23" s="18" t="n">
        <v>2020</v>
      </c>
      <c r="E23" s="18" t="s">
        <v>967</v>
      </c>
      <c r="F23" s="18" t="s">
        <v>866</v>
      </c>
      <c r="G23" s="18" t="s">
        <v>970</v>
      </c>
      <c r="H23" s="18" t="n">
        <v>28.4</v>
      </c>
      <c r="I23" s="18" t="n">
        <v>77.1</v>
      </c>
      <c r="J23" s="18" t="s">
        <v>83</v>
      </c>
      <c r="K23" s="18" t="s">
        <v>2075</v>
      </c>
      <c r="L23" s="18" t="s">
        <v>853</v>
      </c>
      <c r="M23" s="18" t="s">
        <v>85</v>
      </c>
      <c r="N23" s="18" t="s">
        <v>86</v>
      </c>
      <c r="O23" s="18" t="s">
        <v>2043</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723</v>
      </c>
      <c r="AV23" s="18" t="s">
        <v>2082</v>
      </c>
      <c r="AW23" s="18" t="s">
        <v>2077</v>
      </c>
      <c r="AX23" s="18" t="s">
        <v>2078</v>
      </c>
      <c r="AY23" s="18" t="s">
        <v>2047</v>
      </c>
      <c r="AZ23" s="32" t="s">
        <v>3025</v>
      </c>
      <c r="BA23" s="18" t="s">
        <v>979</v>
      </c>
      <c r="BB23" s="18" t="s">
        <v>3024</v>
      </c>
    </row>
    <row r="24" customFormat="false" ht="14.25" hidden="false" customHeight="true" outlineLevel="0" collapsed="false">
      <c r="A24" s="18" t="s">
        <v>965</v>
      </c>
      <c r="B24" s="18" t="s">
        <v>965</v>
      </c>
      <c r="C24" s="18" t="s">
        <v>966</v>
      </c>
      <c r="D24" s="18" t="n">
        <v>2020</v>
      </c>
      <c r="E24" s="18" t="s">
        <v>967</v>
      </c>
      <c r="F24" s="18" t="s">
        <v>866</v>
      </c>
      <c r="G24" s="18" t="s">
        <v>970</v>
      </c>
      <c r="H24" s="18" t="n">
        <v>28.4</v>
      </c>
      <c r="I24" s="18" t="n">
        <v>77.1</v>
      </c>
      <c r="J24" s="18" t="s">
        <v>83</v>
      </c>
      <c r="K24" s="18" t="s">
        <v>2075</v>
      </c>
      <c r="L24" s="18" t="s">
        <v>853</v>
      </c>
      <c r="M24" s="18" t="s">
        <v>85</v>
      </c>
      <c r="N24" s="18" t="s">
        <v>86</v>
      </c>
      <c r="O24" s="18" t="s">
        <v>2043</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723</v>
      </c>
      <c r="AV24" s="18" t="s">
        <v>2084</v>
      </c>
      <c r="AW24" s="18" t="s">
        <v>2077</v>
      </c>
      <c r="AX24" s="18" t="s">
        <v>2078</v>
      </c>
      <c r="AY24" s="18" t="s">
        <v>2047</v>
      </c>
      <c r="AZ24" s="32" t="s">
        <v>3026</v>
      </c>
      <c r="BA24" s="18" t="s">
        <v>979</v>
      </c>
      <c r="BB24" s="18" t="s">
        <v>3024</v>
      </c>
    </row>
    <row r="25" customFormat="false" ht="14.25" hidden="false" customHeight="true" outlineLevel="0" collapsed="false">
      <c r="A25" s="18" t="s">
        <v>965</v>
      </c>
      <c r="B25" s="18" t="s">
        <v>965</v>
      </c>
      <c r="C25" s="18" t="s">
        <v>966</v>
      </c>
      <c r="D25" s="18" t="n">
        <v>2020</v>
      </c>
      <c r="E25" s="18" t="s">
        <v>967</v>
      </c>
      <c r="F25" s="18" t="s">
        <v>866</v>
      </c>
      <c r="G25" s="18" t="s">
        <v>970</v>
      </c>
      <c r="H25" s="18" t="n">
        <v>28.4</v>
      </c>
      <c r="I25" s="18" t="n">
        <v>77.1</v>
      </c>
      <c r="J25" s="18" t="s">
        <v>83</v>
      </c>
      <c r="K25" s="18" t="s">
        <v>2075</v>
      </c>
      <c r="L25" s="18" t="s">
        <v>853</v>
      </c>
      <c r="M25" s="18" t="s">
        <v>85</v>
      </c>
      <c r="N25" s="18" t="s">
        <v>86</v>
      </c>
      <c r="O25" s="18" t="s">
        <v>2043</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723</v>
      </c>
      <c r="AV25" s="18" t="s">
        <v>2086</v>
      </c>
      <c r="AW25" s="18" t="s">
        <v>2077</v>
      </c>
      <c r="AX25" s="18" t="s">
        <v>2078</v>
      </c>
      <c r="AY25" s="18" t="s">
        <v>2047</v>
      </c>
      <c r="AZ25" s="32" t="s">
        <v>3027</v>
      </c>
      <c r="BA25" s="18" t="s">
        <v>979</v>
      </c>
      <c r="BB25" s="18" t="s">
        <v>3024</v>
      </c>
    </row>
    <row r="26" customFormat="false" ht="14.25" hidden="false" customHeight="true" outlineLevel="0" collapsed="false">
      <c r="A26" s="18" t="s">
        <v>965</v>
      </c>
      <c r="B26" s="18" t="s">
        <v>965</v>
      </c>
      <c r="C26" s="18" t="s">
        <v>966</v>
      </c>
      <c r="D26" s="18" t="n">
        <v>2020</v>
      </c>
      <c r="E26" s="18" t="s">
        <v>967</v>
      </c>
      <c r="F26" s="18" t="s">
        <v>866</v>
      </c>
      <c r="G26" s="18" t="s">
        <v>970</v>
      </c>
      <c r="H26" s="18" t="n">
        <v>28.4</v>
      </c>
      <c r="I26" s="18" t="n">
        <v>77.1</v>
      </c>
      <c r="J26" s="18" t="s">
        <v>83</v>
      </c>
      <c r="K26" s="18" t="s">
        <v>2075</v>
      </c>
      <c r="L26" s="18" t="s">
        <v>853</v>
      </c>
      <c r="M26" s="18" t="s">
        <v>85</v>
      </c>
      <c r="N26" s="18" t="s">
        <v>86</v>
      </c>
      <c r="O26" s="18" t="s">
        <v>2043</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723</v>
      </c>
      <c r="AV26" s="18" t="s">
        <v>2088</v>
      </c>
      <c r="AW26" s="18" t="s">
        <v>2077</v>
      </c>
      <c r="AX26" s="18" t="s">
        <v>2078</v>
      </c>
      <c r="AY26" s="18" t="s">
        <v>2047</v>
      </c>
      <c r="AZ26" s="32" t="s">
        <v>3028</v>
      </c>
      <c r="BA26" s="18" t="s">
        <v>979</v>
      </c>
      <c r="BB26" s="18" t="s">
        <v>3024</v>
      </c>
    </row>
    <row r="27" customFormat="false" ht="14.25" hidden="false" customHeight="true" outlineLevel="0" collapsed="false">
      <c r="A27" s="18" t="s">
        <v>965</v>
      </c>
      <c r="B27" s="18" t="s">
        <v>965</v>
      </c>
      <c r="C27" s="18" t="s">
        <v>966</v>
      </c>
      <c r="D27" s="18" t="n">
        <v>2020</v>
      </c>
      <c r="E27" s="18" t="s">
        <v>967</v>
      </c>
      <c r="F27" s="18" t="s">
        <v>866</v>
      </c>
      <c r="G27" s="18" t="s">
        <v>970</v>
      </c>
      <c r="H27" s="18" t="n">
        <v>28.4</v>
      </c>
      <c r="I27" s="18" t="n">
        <v>77.1</v>
      </c>
      <c r="J27" s="18" t="s">
        <v>83</v>
      </c>
      <c r="K27" s="18" t="s">
        <v>2075</v>
      </c>
      <c r="L27" s="18" t="s">
        <v>853</v>
      </c>
      <c r="M27" s="18" t="s">
        <v>85</v>
      </c>
      <c r="N27" s="18" t="s">
        <v>86</v>
      </c>
      <c r="O27" s="18" t="s">
        <v>2043</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723</v>
      </c>
      <c r="AV27" s="18" t="s">
        <v>2090</v>
      </c>
      <c r="AW27" s="18" t="s">
        <v>2077</v>
      </c>
      <c r="AX27" s="18" t="s">
        <v>2078</v>
      </c>
      <c r="AY27" s="18" t="s">
        <v>2047</v>
      </c>
      <c r="AZ27" s="32" t="s">
        <v>3029</v>
      </c>
      <c r="BA27" s="18" t="s">
        <v>979</v>
      </c>
      <c r="BB27" s="18" t="s">
        <v>3024</v>
      </c>
    </row>
    <row r="28" customFormat="false" ht="14.25" hidden="false" customHeight="true" outlineLevel="0" collapsed="false">
      <c r="A28" s="18" t="s">
        <v>965</v>
      </c>
      <c r="B28" s="18" t="s">
        <v>965</v>
      </c>
      <c r="C28" s="18" t="s">
        <v>966</v>
      </c>
      <c r="D28" s="18" t="n">
        <v>2020</v>
      </c>
      <c r="E28" s="18" t="s">
        <v>967</v>
      </c>
      <c r="F28" s="18" t="s">
        <v>866</v>
      </c>
      <c r="G28" s="18" t="s">
        <v>970</v>
      </c>
      <c r="H28" s="18" t="n">
        <v>28.4</v>
      </c>
      <c r="I28" s="18" t="n">
        <v>77.1</v>
      </c>
      <c r="J28" s="18" t="s">
        <v>83</v>
      </c>
      <c r="K28" s="18" t="s">
        <v>2075</v>
      </c>
      <c r="L28" s="18" t="s">
        <v>853</v>
      </c>
      <c r="M28" s="18" t="s">
        <v>85</v>
      </c>
      <c r="N28" s="18" t="s">
        <v>86</v>
      </c>
      <c r="O28" s="18" t="s">
        <v>2043</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723</v>
      </c>
      <c r="AV28" s="18" t="s">
        <v>2092</v>
      </c>
      <c r="AW28" s="18" t="s">
        <v>2077</v>
      </c>
      <c r="AX28" s="18" t="s">
        <v>2078</v>
      </c>
      <c r="AY28" s="18" t="s">
        <v>2047</v>
      </c>
      <c r="AZ28" s="32" t="s">
        <v>3030</v>
      </c>
      <c r="BA28" s="18" t="s">
        <v>979</v>
      </c>
      <c r="BB28" s="18" t="s">
        <v>3024</v>
      </c>
    </row>
    <row r="29" customFormat="false" ht="14.25" hidden="false" customHeight="true" outlineLevel="0" collapsed="false">
      <c r="A29" s="18" t="s">
        <v>965</v>
      </c>
      <c r="B29" s="18" t="s">
        <v>965</v>
      </c>
      <c r="C29" s="18" t="s">
        <v>966</v>
      </c>
      <c r="D29" s="18" t="n">
        <v>2020</v>
      </c>
      <c r="E29" s="18" t="s">
        <v>967</v>
      </c>
      <c r="F29" s="18" t="s">
        <v>866</v>
      </c>
      <c r="G29" s="18" t="s">
        <v>970</v>
      </c>
      <c r="H29" s="18" t="n">
        <v>28.4</v>
      </c>
      <c r="I29" s="18" t="n">
        <v>77.1</v>
      </c>
      <c r="J29" s="18" t="s">
        <v>83</v>
      </c>
      <c r="K29" s="18" t="s">
        <v>2075</v>
      </c>
      <c r="L29" s="18" t="s">
        <v>853</v>
      </c>
      <c r="M29" s="18" t="s">
        <v>85</v>
      </c>
      <c r="N29" s="18" t="s">
        <v>86</v>
      </c>
      <c r="O29" s="18" t="s">
        <v>2043</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723</v>
      </c>
      <c r="AV29" s="18" t="s">
        <v>2094</v>
      </c>
      <c r="AW29" s="18" t="s">
        <v>2077</v>
      </c>
      <c r="AX29" s="18" t="s">
        <v>2078</v>
      </c>
      <c r="AY29" s="18" t="s">
        <v>2047</v>
      </c>
      <c r="AZ29" s="32" t="s">
        <v>3031</v>
      </c>
      <c r="BA29" s="18" t="s">
        <v>979</v>
      </c>
      <c r="BB29" s="18" t="s">
        <v>3024</v>
      </c>
    </row>
    <row r="30" customFormat="false" ht="14.25" hidden="false" customHeight="true" outlineLevel="0" collapsed="false">
      <c r="A30" s="5" t="s">
        <v>1018</v>
      </c>
      <c r="B30" s="5" t="s">
        <v>1018</v>
      </c>
      <c r="C30" s="5" t="s">
        <v>1019</v>
      </c>
      <c r="D30" s="5" t="n">
        <v>2011</v>
      </c>
      <c r="E30" s="5" t="s">
        <v>1020</v>
      </c>
      <c r="F30" s="5" t="s">
        <v>887</v>
      </c>
      <c r="G30" s="5" t="s">
        <v>1023</v>
      </c>
      <c r="H30" s="5" t="n">
        <v>29.017</v>
      </c>
      <c r="I30" s="5" t="n">
        <v>77.75</v>
      </c>
      <c r="J30" s="5" t="s">
        <v>83</v>
      </c>
      <c r="K30" s="5" t="s">
        <v>2355</v>
      </c>
      <c r="L30" s="5" t="s">
        <v>84</v>
      </c>
      <c r="M30" s="5" t="s">
        <v>85</v>
      </c>
      <c r="N30" s="5" t="s">
        <v>86</v>
      </c>
      <c r="O30" s="5" t="s">
        <v>2043</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3032</v>
      </c>
      <c r="AV30" s="5" t="s">
        <v>2099</v>
      </c>
      <c r="AW30" s="5" t="s">
        <v>3033</v>
      </c>
      <c r="AX30" s="5" t="s">
        <v>2101</v>
      </c>
      <c r="AY30" s="5" t="s">
        <v>3034</v>
      </c>
      <c r="AZ30" s="23" t="s">
        <v>3035</v>
      </c>
      <c r="BA30" s="5" t="s">
        <v>1038</v>
      </c>
      <c r="BB30" s="5" t="s">
        <v>3036</v>
      </c>
    </row>
    <row r="31" customFormat="false" ht="14.25" hidden="false" customHeight="true" outlineLevel="0" collapsed="false">
      <c r="A31" s="5" t="s">
        <v>1018</v>
      </c>
      <c r="B31" s="5" t="s">
        <v>1018</v>
      </c>
      <c r="C31" s="5" t="s">
        <v>1019</v>
      </c>
      <c r="D31" s="5" t="n">
        <v>2011</v>
      </c>
      <c r="E31" s="5" t="s">
        <v>1020</v>
      </c>
      <c r="F31" s="5" t="s">
        <v>887</v>
      </c>
      <c r="G31" s="5" t="s">
        <v>1023</v>
      </c>
      <c r="H31" s="5" t="n">
        <v>29.017</v>
      </c>
      <c r="I31" s="5" t="n">
        <v>77.75</v>
      </c>
      <c r="J31" s="5" t="s">
        <v>83</v>
      </c>
      <c r="K31" s="5" t="s">
        <v>2355</v>
      </c>
      <c r="L31" s="5" t="s">
        <v>84</v>
      </c>
      <c r="M31" s="5" t="s">
        <v>85</v>
      </c>
      <c r="N31" s="5" t="s">
        <v>86</v>
      </c>
      <c r="O31" s="5" t="s">
        <v>2043</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3032</v>
      </c>
      <c r="AV31" s="5" t="s">
        <v>2099</v>
      </c>
      <c r="AW31" s="5" t="s">
        <v>3033</v>
      </c>
      <c r="AX31" s="5" t="s">
        <v>2101</v>
      </c>
      <c r="AY31" s="5" t="s">
        <v>3034</v>
      </c>
      <c r="AZ31" s="23" t="s">
        <v>3037</v>
      </c>
      <c r="BA31" s="5" t="s">
        <v>1038</v>
      </c>
      <c r="BB31" s="5" t="s">
        <v>3036</v>
      </c>
    </row>
    <row r="32" customFormat="false" ht="14.25" hidden="false" customHeight="true" outlineLevel="0" collapsed="false">
      <c r="A32" s="5" t="s">
        <v>1041</v>
      </c>
      <c r="B32" s="5" t="s">
        <v>1041</v>
      </c>
      <c r="C32" s="5" t="s">
        <v>1042</v>
      </c>
      <c r="D32" s="5" t="n">
        <v>2022</v>
      </c>
      <c r="E32" s="5" t="s">
        <v>843</v>
      </c>
      <c r="F32" s="5" t="s">
        <v>1045</v>
      </c>
      <c r="G32" s="5" t="s">
        <v>1046</v>
      </c>
      <c r="H32" s="5" t="n">
        <v>24.724</v>
      </c>
      <c r="I32" s="5" t="n">
        <v>90.437</v>
      </c>
      <c r="J32" s="5" t="s">
        <v>83</v>
      </c>
      <c r="K32" s="5" t="s">
        <v>2111</v>
      </c>
      <c r="L32" s="5" t="s">
        <v>84</v>
      </c>
      <c r="M32" s="5" t="s">
        <v>85</v>
      </c>
      <c r="N32" s="5" t="s">
        <v>86</v>
      </c>
      <c r="O32" s="5" t="s">
        <v>2043</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3032</v>
      </c>
      <c r="AV32" s="5" t="s">
        <v>2112</v>
      </c>
      <c r="AW32" s="5" t="s">
        <v>2113</v>
      </c>
      <c r="AX32" s="5" t="s">
        <v>2114</v>
      </c>
      <c r="AY32" s="5" t="s">
        <v>3038</v>
      </c>
      <c r="AZ32" s="23" t="s">
        <v>2116</v>
      </c>
      <c r="BA32" s="5" t="s">
        <v>1060</v>
      </c>
      <c r="BB32" s="5" t="s">
        <v>2978</v>
      </c>
    </row>
    <row r="33" customFormat="false" ht="14.25" hidden="false" customHeight="true" outlineLevel="0" collapsed="false">
      <c r="A33" s="5" t="s">
        <v>1041</v>
      </c>
      <c r="B33" s="5" t="s">
        <v>1041</v>
      </c>
      <c r="C33" s="5" t="s">
        <v>1042</v>
      </c>
      <c r="D33" s="5" t="n">
        <v>2022</v>
      </c>
      <c r="E33" s="5" t="s">
        <v>843</v>
      </c>
      <c r="F33" s="5" t="s">
        <v>1045</v>
      </c>
      <c r="G33" s="5" t="s">
        <v>1046</v>
      </c>
      <c r="H33" s="5" t="n">
        <v>24.724</v>
      </c>
      <c r="I33" s="5" t="n">
        <v>90.437</v>
      </c>
      <c r="J33" s="5" t="s">
        <v>83</v>
      </c>
      <c r="K33" s="5" t="s">
        <v>2111</v>
      </c>
      <c r="L33" s="5" t="s">
        <v>84</v>
      </c>
      <c r="M33" s="5" t="s">
        <v>85</v>
      </c>
      <c r="N33" s="5" t="s">
        <v>86</v>
      </c>
      <c r="O33" s="5" t="s">
        <v>2043</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3032</v>
      </c>
      <c r="AV33" s="5" t="s">
        <v>2112</v>
      </c>
      <c r="AW33" s="5" t="s">
        <v>2113</v>
      </c>
      <c r="AX33" s="5" t="s">
        <v>2114</v>
      </c>
      <c r="AY33" s="5" t="s">
        <v>3038</v>
      </c>
      <c r="AZ33" s="23" t="s">
        <v>2118</v>
      </c>
      <c r="BA33" s="5" t="s">
        <v>1060</v>
      </c>
      <c r="BB33" s="5" t="s">
        <v>2978</v>
      </c>
    </row>
    <row r="34" customFormat="false" ht="14.25" hidden="false" customHeight="true" outlineLevel="0" collapsed="false">
      <c r="A34" s="5" t="s">
        <v>1064</v>
      </c>
      <c r="B34" s="5" t="s">
        <v>1064</v>
      </c>
      <c r="C34" s="5" t="s">
        <v>1065</v>
      </c>
      <c r="D34" s="5" t="n">
        <v>2022</v>
      </c>
      <c r="E34" s="5" t="s">
        <v>80</v>
      </c>
      <c r="F34" s="5" t="s">
        <v>942</v>
      </c>
      <c r="G34" s="5" t="s">
        <v>943</v>
      </c>
      <c r="H34" s="5" t="n">
        <v>29.706</v>
      </c>
      <c r="I34" s="5" t="n">
        <v>76.956</v>
      </c>
      <c r="J34" s="5" t="s">
        <v>83</v>
      </c>
      <c r="K34" s="5" t="n">
        <v>2019</v>
      </c>
      <c r="L34" s="5" t="s">
        <v>84</v>
      </c>
      <c r="M34" s="5" t="s">
        <v>85</v>
      </c>
      <c r="N34" s="5" t="s">
        <v>86</v>
      </c>
      <c r="O34" s="5" t="s">
        <v>2097</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723</v>
      </c>
      <c r="AV34" s="5" t="s">
        <v>2119</v>
      </c>
      <c r="AW34" s="5" t="s">
        <v>2120</v>
      </c>
      <c r="AX34" s="5" t="s">
        <v>2121</v>
      </c>
      <c r="AY34" s="5" t="s">
        <v>91</v>
      </c>
      <c r="AZ34" s="23" t="s">
        <v>3039</v>
      </c>
      <c r="BA34" s="5" t="s">
        <v>1076</v>
      </c>
      <c r="BB34" s="5" t="s">
        <v>2978</v>
      </c>
    </row>
    <row r="35" customFormat="false" ht="14.25" hidden="false" customHeight="true" outlineLevel="0" collapsed="false">
      <c r="A35" s="5" t="s">
        <v>1064</v>
      </c>
      <c r="B35" s="5" t="s">
        <v>1064</v>
      </c>
      <c r="C35" s="5" t="s">
        <v>1065</v>
      </c>
      <c r="D35" s="5" t="n">
        <v>2022</v>
      </c>
      <c r="E35" s="5" t="s">
        <v>80</v>
      </c>
      <c r="F35" s="5" t="s">
        <v>942</v>
      </c>
      <c r="G35" s="5" t="s">
        <v>943</v>
      </c>
      <c r="H35" s="5" t="n">
        <v>29.706</v>
      </c>
      <c r="I35" s="5" t="n">
        <v>76.956</v>
      </c>
      <c r="J35" s="5" t="s">
        <v>83</v>
      </c>
      <c r="K35" s="5" t="n">
        <v>2019</v>
      </c>
      <c r="L35" s="5" t="s">
        <v>84</v>
      </c>
      <c r="M35" s="5" t="s">
        <v>85</v>
      </c>
      <c r="N35" s="5" t="s">
        <v>86</v>
      </c>
      <c r="O35" s="5" t="s">
        <v>2124</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723</v>
      </c>
      <c r="AV35" s="5" t="s">
        <v>2119</v>
      </c>
      <c r="AW35" s="5" t="s">
        <v>2120</v>
      </c>
      <c r="AX35" s="5" t="s">
        <v>2121</v>
      </c>
      <c r="AY35" s="5" t="s">
        <v>91</v>
      </c>
      <c r="AZ35" s="23" t="s">
        <v>3040</v>
      </c>
      <c r="BA35" s="5" t="s">
        <v>1076</v>
      </c>
      <c r="BB35" s="5" t="s">
        <v>2978</v>
      </c>
    </row>
    <row r="36" customFormat="false" ht="14.25" hidden="false" customHeight="true" outlineLevel="0" collapsed="false">
      <c r="A36" s="5" t="s">
        <v>1064</v>
      </c>
      <c r="B36" s="5" t="s">
        <v>1064</v>
      </c>
      <c r="C36" s="5" t="s">
        <v>1065</v>
      </c>
      <c r="D36" s="5" t="n">
        <v>2022</v>
      </c>
      <c r="E36" s="5" t="s">
        <v>80</v>
      </c>
      <c r="F36" s="5" t="s">
        <v>942</v>
      </c>
      <c r="G36" s="5" t="s">
        <v>943</v>
      </c>
      <c r="H36" s="5" t="n">
        <v>29.706</v>
      </c>
      <c r="I36" s="5" t="n">
        <v>76.956</v>
      </c>
      <c r="J36" s="5" t="s">
        <v>83</v>
      </c>
      <c r="K36" s="5" t="n">
        <v>2019</v>
      </c>
      <c r="L36" s="5" t="s">
        <v>84</v>
      </c>
      <c r="M36" s="5" t="s">
        <v>85</v>
      </c>
      <c r="N36" s="5" t="s">
        <v>2050</v>
      </c>
      <c r="O36" s="5" t="s">
        <v>2051</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723</v>
      </c>
      <c r="AV36" s="5" t="s">
        <v>2119</v>
      </c>
      <c r="AW36" s="5" t="s">
        <v>2120</v>
      </c>
      <c r="AX36" s="5" t="s">
        <v>2121</v>
      </c>
      <c r="AY36" s="5" t="s">
        <v>91</v>
      </c>
      <c r="AZ36" s="23" t="s">
        <v>3041</v>
      </c>
      <c r="BA36" s="5" t="s">
        <v>1076</v>
      </c>
      <c r="BB36" s="5" t="s">
        <v>2978</v>
      </c>
    </row>
    <row r="37" customFormat="false" ht="14.25" hidden="false" customHeight="true" outlineLevel="0" collapsed="false">
      <c r="A37" s="5" t="n">
        <v>171</v>
      </c>
      <c r="B37" s="5" t="n">
        <v>171</v>
      </c>
      <c r="C37" s="5" t="s">
        <v>1079</v>
      </c>
      <c r="D37" s="5" t="n">
        <v>2012</v>
      </c>
      <c r="E37" s="5" t="s">
        <v>1080</v>
      </c>
      <c r="F37" s="5" t="s">
        <v>1083</v>
      </c>
      <c r="G37" s="5" t="s">
        <v>1084</v>
      </c>
      <c r="H37" s="5" t="n">
        <v>27.647</v>
      </c>
      <c r="I37" s="5" t="n">
        <v>84.346</v>
      </c>
      <c r="J37" s="5" t="s">
        <v>83</v>
      </c>
      <c r="K37" s="5" t="n">
        <v>2006</v>
      </c>
      <c r="L37" s="5" t="s">
        <v>84</v>
      </c>
      <c r="M37" s="5" t="s">
        <v>85</v>
      </c>
      <c r="N37" s="5" t="s">
        <v>86</v>
      </c>
      <c r="O37" s="5" t="s">
        <v>2097</v>
      </c>
      <c r="P37" s="5" t="n">
        <f aca="false">ROUND(12.7/(1.07*5*0.1),2)</f>
        <v>23.74</v>
      </c>
      <c r="Q37" s="5" t="n">
        <f aca="false">ROUND(9.5/(1.07*5*0.1),2)</f>
        <v>17.76</v>
      </c>
      <c r="R37" s="5" t="n">
        <f aca="false">ROUND(10.9/(1.07*5*0.1),2)</f>
        <v>20.37</v>
      </c>
      <c r="S37" s="5"/>
      <c r="T37" s="5"/>
      <c r="U37" s="5"/>
      <c r="V37" s="5" t="n">
        <f aca="false">ROUND(9.9/(1.07*5*0.1),2)</f>
        <v>18.5</v>
      </c>
      <c r="W37" s="5"/>
      <c r="X37" s="5"/>
      <c r="Y37" s="5"/>
      <c r="Z37" s="5"/>
      <c r="AA37" s="5"/>
      <c r="AB37" s="5"/>
      <c r="AC37" s="5"/>
      <c r="AD37" s="5"/>
      <c r="AE37" s="5" t="n">
        <v>5</v>
      </c>
      <c r="AF37" s="5" t="n">
        <v>3</v>
      </c>
      <c r="AG37" s="5" t="n">
        <f aca="false">IF(AND(N(AE37)&gt;0,N(AF37)&gt;0),SQRT(2*AE37/AF37),"")</f>
        <v>1.82574185835055</v>
      </c>
      <c r="AH37" s="5" t="n">
        <v>24</v>
      </c>
      <c r="AI37" s="5"/>
      <c r="AJ37" s="5"/>
      <c r="AK37" s="5" t="n">
        <v>2000</v>
      </c>
      <c r="AL37" s="5" t="n">
        <v>27.647</v>
      </c>
      <c r="AM37" s="5" t="s">
        <v>3042</v>
      </c>
      <c r="AN37" s="5"/>
      <c r="AO37" s="5"/>
      <c r="AP37" s="5" t="n">
        <v>5.4</v>
      </c>
      <c r="AQ37" s="5"/>
      <c r="AR37" s="5"/>
      <c r="AS37" s="5" t="n">
        <v>57</v>
      </c>
      <c r="AT37" s="5" t="n">
        <v>19</v>
      </c>
      <c r="AU37" s="5" t="s">
        <v>3043</v>
      </c>
      <c r="AV37" s="5" t="s">
        <v>3044</v>
      </c>
      <c r="AW37" s="5" t="s">
        <v>3045</v>
      </c>
      <c r="AX37" s="5" t="s">
        <v>3046</v>
      </c>
      <c r="AY37" s="5" t="s">
        <v>2417</v>
      </c>
      <c r="AZ37" s="23" t="s">
        <v>3047</v>
      </c>
      <c r="BA37" s="5" t="s">
        <v>1097</v>
      </c>
      <c r="BB37" s="5" t="s">
        <v>3048</v>
      </c>
    </row>
    <row r="38" customFormat="false" ht="14.25" hidden="false" customHeight="true" outlineLevel="0" collapsed="false">
      <c r="A38" s="5" t="n">
        <v>171</v>
      </c>
      <c r="B38" s="5" t="n">
        <v>171</v>
      </c>
      <c r="C38" s="5" t="s">
        <v>1079</v>
      </c>
      <c r="D38" s="5" t="n">
        <v>2012</v>
      </c>
      <c r="E38" s="5" t="s">
        <v>1080</v>
      </c>
      <c r="F38" s="5" t="s">
        <v>1083</v>
      </c>
      <c r="G38" s="5" t="s">
        <v>1084</v>
      </c>
      <c r="H38" s="5" t="n">
        <v>27.647</v>
      </c>
      <c r="I38" s="5" t="n">
        <v>84.346</v>
      </c>
      <c r="J38" s="5" t="s">
        <v>83</v>
      </c>
      <c r="K38" s="5" t="n">
        <v>2006</v>
      </c>
      <c r="L38" s="5" t="s">
        <v>84</v>
      </c>
      <c r="M38" s="5" t="s">
        <v>85</v>
      </c>
      <c r="N38" s="5" t="s">
        <v>86</v>
      </c>
      <c r="O38" s="5" t="s">
        <v>2134</v>
      </c>
      <c r="P38" s="5" t="n">
        <f aca="false">ROUND(11.6/(1.07*5*0.1),2)</f>
        <v>21.68</v>
      </c>
      <c r="Q38" s="5" t="n">
        <f aca="false">ROUND(10/(1.07*5*0.1),2)</f>
        <v>18.69</v>
      </c>
      <c r="R38" s="5" t="n">
        <f aca="false">ROUND(10.8/(1.07*5*0.1),2)</f>
        <v>20.19</v>
      </c>
      <c r="S38" s="5"/>
      <c r="T38" s="5"/>
      <c r="U38" s="5"/>
      <c r="V38" s="5" t="n">
        <f aca="false">ROUND(9.87/(1.07*5*0.1),2)</f>
        <v>18.45</v>
      </c>
      <c r="W38" s="5"/>
      <c r="X38" s="5"/>
      <c r="Y38" s="5"/>
      <c r="Z38" s="5"/>
      <c r="AA38" s="5"/>
      <c r="AB38" s="5"/>
      <c r="AC38" s="5"/>
      <c r="AD38" s="5"/>
      <c r="AE38" s="5" t="n">
        <v>5</v>
      </c>
      <c r="AF38" s="5" t="n">
        <v>3</v>
      </c>
      <c r="AG38" s="5" t="n">
        <f aca="false">IF(AND(N(AE38)&gt;0,N(AF38)&gt;0),SQRT(2*AE38/AF38),"")</f>
        <v>1.82574185835055</v>
      </c>
      <c r="AH38" s="5" t="n">
        <v>24</v>
      </c>
      <c r="AI38" s="5"/>
      <c r="AJ38" s="5"/>
      <c r="AK38" s="5" t="n">
        <v>2000</v>
      </c>
      <c r="AL38" s="5" t="n">
        <v>27.647</v>
      </c>
      <c r="AM38" s="5" t="s">
        <v>3042</v>
      </c>
      <c r="AN38" s="5"/>
      <c r="AO38" s="5"/>
      <c r="AP38" s="5" t="n">
        <v>5.4</v>
      </c>
      <c r="AQ38" s="5"/>
      <c r="AR38" s="5"/>
      <c r="AS38" s="5" t="n">
        <v>57</v>
      </c>
      <c r="AT38" s="5" t="n">
        <v>19</v>
      </c>
      <c r="AU38" s="5" t="s">
        <v>3043</v>
      </c>
      <c r="AV38" s="5" t="s">
        <v>3044</v>
      </c>
      <c r="AW38" s="5" t="s">
        <v>3045</v>
      </c>
      <c r="AX38" s="5" t="s">
        <v>3046</v>
      </c>
      <c r="AY38" s="5" t="s">
        <v>2417</v>
      </c>
      <c r="AZ38" s="23" t="s">
        <v>3049</v>
      </c>
      <c r="BA38" s="5" t="s">
        <v>1097</v>
      </c>
      <c r="BB38" s="5" t="s">
        <v>3048</v>
      </c>
    </row>
    <row r="39" customFormat="false" ht="14.25" hidden="false" customHeight="true" outlineLevel="0" collapsed="false">
      <c r="A39" s="5" t="n">
        <v>171</v>
      </c>
      <c r="B39" s="5" t="n">
        <v>171</v>
      </c>
      <c r="C39" s="5" t="s">
        <v>1079</v>
      </c>
      <c r="D39" s="5" t="n">
        <v>2012</v>
      </c>
      <c r="E39" s="5" t="s">
        <v>1080</v>
      </c>
      <c r="F39" s="5" t="s">
        <v>1083</v>
      </c>
      <c r="G39" s="5" t="s">
        <v>1084</v>
      </c>
      <c r="H39" s="5" t="n">
        <v>27.647</v>
      </c>
      <c r="I39" s="5" t="n">
        <v>84.346</v>
      </c>
      <c r="J39" s="5" t="s">
        <v>83</v>
      </c>
      <c r="K39" s="5" t="n">
        <v>2006</v>
      </c>
      <c r="L39" s="5" t="s">
        <v>84</v>
      </c>
      <c r="M39" s="5" t="s">
        <v>85</v>
      </c>
      <c r="N39" s="5" t="s">
        <v>86</v>
      </c>
      <c r="O39" s="5" t="s">
        <v>2603</v>
      </c>
      <c r="P39" s="5" t="n">
        <f aca="false">ROUND(12.2/(1.07*5*0.1),2)</f>
        <v>22.8</v>
      </c>
      <c r="Q39" s="5" t="n">
        <f aca="false">ROUND(10.1/(1.07*5*0.1),2)</f>
        <v>18.88</v>
      </c>
      <c r="R39" s="5" t="n">
        <f aca="false">ROUND(11.3/(1.07*5*0.1),2)</f>
        <v>21.12</v>
      </c>
      <c r="S39" s="5"/>
      <c r="T39" s="5"/>
      <c r="U39" s="5"/>
      <c r="V39" s="5" t="n">
        <f aca="false">ROUND(10.8/(1.07*5*0.1),2)</f>
        <v>20.19</v>
      </c>
      <c r="W39" s="5"/>
      <c r="X39" s="5"/>
      <c r="Y39" s="5"/>
      <c r="Z39" s="5"/>
      <c r="AA39" s="5"/>
      <c r="AB39" s="5"/>
      <c r="AC39" s="5"/>
      <c r="AD39" s="5"/>
      <c r="AE39" s="5" t="n">
        <v>5</v>
      </c>
      <c r="AF39" s="5" t="n">
        <v>3</v>
      </c>
      <c r="AG39" s="5" t="n">
        <f aca="false">IF(AND(N(AE39)&gt;0,N(AF39)&gt;0),SQRT(2*AE39/AF39),"")</f>
        <v>1.82574185835055</v>
      </c>
      <c r="AH39" s="5" t="n">
        <v>24</v>
      </c>
      <c r="AI39" s="5"/>
      <c r="AJ39" s="5"/>
      <c r="AK39" s="5" t="n">
        <v>2000</v>
      </c>
      <c r="AL39" s="5" t="n">
        <v>27.647</v>
      </c>
      <c r="AM39" s="5" t="s">
        <v>3042</v>
      </c>
      <c r="AN39" s="5"/>
      <c r="AO39" s="5"/>
      <c r="AP39" s="5" t="n">
        <v>5.4</v>
      </c>
      <c r="AQ39" s="5"/>
      <c r="AR39" s="5"/>
      <c r="AS39" s="5" t="n">
        <v>57</v>
      </c>
      <c r="AT39" s="5" t="n">
        <v>19</v>
      </c>
      <c r="AU39" s="5" t="s">
        <v>3043</v>
      </c>
      <c r="AV39" s="5" t="s">
        <v>3044</v>
      </c>
      <c r="AW39" s="5" t="s">
        <v>3045</v>
      </c>
      <c r="AX39" s="5" t="s">
        <v>3046</v>
      </c>
      <c r="AY39" s="5" t="s">
        <v>2417</v>
      </c>
      <c r="AZ39" s="23" t="s">
        <v>3050</v>
      </c>
      <c r="BA39" s="5" t="s">
        <v>1097</v>
      </c>
      <c r="BB39" s="5" t="s">
        <v>3048</v>
      </c>
    </row>
    <row r="40" customFormat="false" ht="14.25" hidden="false" customHeight="true" outlineLevel="0" collapsed="false">
      <c r="A40" s="5" t="n">
        <v>171</v>
      </c>
      <c r="B40" s="5" t="n">
        <v>171</v>
      </c>
      <c r="C40" s="5" t="s">
        <v>1079</v>
      </c>
      <c r="D40" s="5" t="n">
        <v>2012</v>
      </c>
      <c r="E40" s="5" t="s">
        <v>1080</v>
      </c>
      <c r="F40" s="5" t="s">
        <v>1083</v>
      </c>
      <c r="G40" s="5" t="s">
        <v>1084</v>
      </c>
      <c r="H40" s="5" t="n">
        <v>27.647</v>
      </c>
      <c r="I40" s="5" t="n">
        <v>84.346</v>
      </c>
      <c r="J40" s="5" t="s">
        <v>83</v>
      </c>
      <c r="K40" s="5" t="n">
        <v>2006</v>
      </c>
      <c r="L40" s="5" t="s">
        <v>84</v>
      </c>
      <c r="M40" s="5" t="s">
        <v>85</v>
      </c>
      <c r="N40" s="5" t="s">
        <v>2050</v>
      </c>
      <c r="O40" s="5" t="s">
        <v>2051</v>
      </c>
      <c r="P40" s="5" t="n">
        <f aca="false">ROUND(24.3/(1.07*15*0.1),2)</f>
        <v>15.14</v>
      </c>
      <c r="Q40" s="5" t="n">
        <f aca="false">ROUND(21.3/(1.07*15*0.1),2)</f>
        <v>13.27</v>
      </c>
      <c r="R40" s="5" t="n">
        <f aca="false">ROUND(23/(1.07*15*0.1),2)</f>
        <v>14.33</v>
      </c>
      <c r="S40" s="5"/>
      <c r="T40" s="5"/>
      <c r="U40" s="5"/>
      <c r="V40" s="5" t="n">
        <f aca="false">ROUND(21.9/(1.07*15*0.1),2)</f>
        <v>13.64</v>
      </c>
      <c r="W40" s="5"/>
      <c r="X40" s="5"/>
      <c r="Y40" s="5"/>
      <c r="Z40" s="5"/>
      <c r="AA40" s="5"/>
      <c r="AB40" s="5"/>
      <c r="AC40" s="5"/>
      <c r="AD40" s="5"/>
      <c r="AE40" s="5" t="n">
        <v>2</v>
      </c>
      <c r="AF40" s="5" t="n">
        <v>3</v>
      </c>
      <c r="AG40" s="5" t="n">
        <f aca="false">IF(AND(N(AE40)&gt;0,N(AF40)&gt;0),SQRT(2*AE40/AF40),"")</f>
        <v>1.15470053837925</v>
      </c>
      <c r="AH40" s="5" t="n">
        <v>24</v>
      </c>
      <c r="AI40" s="5"/>
      <c r="AJ40" s="5"/>
      <c r="AK40" s="5" t="n">
        <v>2000</v>
      </c>
      <c r="AL40" s="5" t="n">
        <v>27.647</v>
      </c>
      <c r="AM40" s="5" t="s">
        <v>3042</v>
      </c>
      <c r="AN40" s="5"/>
      <c r="AO40" s="5"/>
      <c r="AP40" s="5" t="n">
        <v>5.4</v>
      </c>
      <c r="AQ40" s="5"/>
      <c r="AR40" s="5"/>
      <c r="AS40" s="5" t="n">
        <v>57</v>
      </c>
      <c r="AT40" s="5" t="n">
        <v>19</v>
      </c>
      <c r="AU40" s="5" t="s">
        <v>3043</v>
      </c>
      <c r="AV40" s="5" t="s">
        <v>3044</v>
      </c>
      <c r="AW40" s="5" t="s">
        <v>3045</v>
      </c>
      <c r="AX40" s="5" t="s">
        <v>3046</v>
      </c>
      <c r="AY40" s="5" t="s">
        <v>2417</v>
      </c>
      <c r="AZ40" s="23" t="s">
        <v>3051</v>
      </c>
      <c r="BA40" s="5" t="s">
        <v>1097</v>
      </c>
      <c r="BB40" s="5" t="s">
        <v>3048</v>
      </c>
    </row>
    <row r="41" customFormat="false" ht="14.25" hidden="false" customHeight="true" outlineLevel="0" collapsed="false">
      <c r="A41" s="5" t="n">
        <v>171</v>
      </c>
      <c r="B41" s="5" t="n">
        <v>171</v>
      </c>
      <c r="C41" s="5" t="s">
        <v>1079</v>
      </c>
      <c r="D41" s="5" t="n">
        <v>2012</v>
      </c>
      <c r="E41" s="5" t="s">
        <v>1080</v>
      </c>
      <c r="F41" s="5" t="s">
        <v>1083</v>
      </c>
      <c r="G41" s="5" t="s">
        <v>1084</v>
      </c>
      <c r="H41" s="5" t="n">
        <v>27.647</v>
      </c>
      <c r="I41" s="5" t="n">
        <v>84.346</v>
      </c>
      <c r="J41" s="5" t="s">
        <v>83</v>
      </c>
      <c r="K41" s="5" t="n">
        <v>2006</v>
      </c>
      <c r="L41" s="5" t="s">
        <v>84</v>
      </c>
      <c r="M41" s="5" t="s">
        <v>85</v>
      </c>
      <c r="N41" s="5" t="s">
        <v>2177</v>
      </c>
      <c r="O41" s="5" t="s">
        <v>3052</v>
      </c>
      <c r="P41" s="5" t="n">
        <f aca="false">ROUND(25.3/(1.07*20*0.1),2)</f>
        <v>11.82</v>
      </c>
      <c r="Q41" s="5" t="n">
        <f aca="false">ROUND(23.9/(1.07*20*0.1),2)</f>
        <v>11.17</v>
      </c>
      <c r="R41" s="5" t="n">
        <f aca="false">ROUND(21.9/(1.07*20*0.1),2)</f>
        <v>10.23</v>
      </c>
      <c r="S41" s="5"/>
      <c r="T41" s="5"/>
      <c r="U41" s="5"/>
      <c r="V41" s="5" t="n">
        <f aca="false">ROUND(22.3/(1.07*20*0.1),2)</f>
        <v>10.42</v>
      </c>
      <c r="W41" s="5"/>
      <c r="X41" s="5"/>
      <c r="Y41" s="5"/>
      <c r="Z41" s="5"/>
      <c r="AA41" s="5"/>
      <c r="AB41" s="5"/>
      <c r="AC41" s="5"/>
      <c r="AD41" s="5"/>
      <c r="AE41" s="5" t="n">
        <v>2</v>
      </c>
      <c r="AF41" s="5" t="n">
        <v>3</v>
      </c>
      <c r="AG41" s="5" t="n">
        <f aca="false">IF(AND(N(AE41)&gt;0,N(AF41)&gt;0),SQRT(2*AE41/AF41),"")</f>
        <v>1.15470053837925</v>
      </c>
      <c r="AH41" s="5" t="n">
        <v>24</v>
      </c>
      <c r="AI41" s="5"/>
      <c r="AJ41" s="5"/>
      <c r="AK41" s="5" t="n">
        <v>2000</v>
      </c>
      <c r="AL41" s="5" t="n">
        <v>27.647</v>
      </c>
      <c r="AM41" s="5" t="s">
        <v>3042</v>
      </c>
      <c r="AN41" s="5"/>
      <c r="AO41" s="5"/>
      <c r="AP41" s="5" t="n">
        <v>5.4</v>
      </c>
      <c r="AQ41" s="5"/>
      <c r="AR41" s="5"/>
      <c r="AS41" s="5" t="n">
        <v>57</v>
      </c>
      <c r="AT41" s="5" t="n">
        <v>19</v>
      </c>
      <c r="AU41" s="5" t="s">
        <v>3043</v>
      </c>
      <c r="AV41" s="5" t="s">
        <v>3044</v>
      </c>
      <c r="AW41" s="5" t="s">
        <v>3045</v>
      </c>
      <c r="AX41" s="5" t="s">
        <v>3046</v>
      </c>
      <c r="AY41" s="5" t="s">
        <v>2417</v>
      </c>
      <c r="AZ41" s="23" t="s">
        <v>3053</v>
      </c>
      <c r="BA41" s="5" t="s">
        <v>1097</v>
      </c>
      <c r="BB41" s="5" t="s">
        <v>3048</v>
      </c>
    </row>
    <row r="42" customFormat="false" ht="14.25" hidden="false" customHeight="true" outlineLevel="0" collapsed="false">
      <c r="A42" s="18" t="n">
        <v>172</v>
      </c>
      <c r="B42" s="18" t="n">
        <v>172</v>
      </c>
      <c r="C42" s="18" t="s">
        <v>1100</v>
      </c>
      <c r="D42" s="18" t="n">
        <v>2005</v>
      </c>
      <c r="E42" s="18" t="s">
        <v>1101</v>
      </c>
      <c r="F42" s="18" t="s">
        <v>3054</v>
      </c>
      <c r="G42" s="18" t="s">
        <v>1105</v>
      </c>
      <c r="H42" s="18" t="n">
        <v>33.2</v>
      </c>
      <c r="I42" s="18" t="n">
        <v>130.5</v>
      </c>
      <c r="J42" s="18" t="s">
        <v>921</v>
      </c>
      <c r="K42" s="18" t="n">
        <v>2003</v>
      </c>
      <c r="L42" s="18" t="s">
        <v>853</v>
      </c>
      <c r="M42" s="18" t="s">
        <v>85</v>
      </c>
      <c r="N42" s="18" t="s">
        <v>86</v>
      </c>
      <c r="O42" s="18" t="s">
        <v>3055</v>
      </c>
      <c r="P42" s="18"/>
      <c r="Q42" s="18" t="n">
        <v>19.07</v>
      </c>
      <c r="R42" s="18"/>
      <c r="S42" s="18"/>
      <c r="T42" s="18"/>
      <c r="U42" s="18"/>
      <c r="V42" s="18" t="n">
        <v>23.13</v>
      </c>
      <c r="W42" s="18"/>
      <c r="X42" s="18"/>
      <c r="Y42" s="18"/>
      <c r="Z42" s="18"/>
      <c r="AA42" s="18"/>
      <c r="AB42" s="18"/>
      <c r="AC42" s="18"/>
      <c r="AD42" s="18"/>
      <c r="AE42" s="18" t="n">
        <v>3</v>
      </c>
      <c r="AF42" s="18" t="n">
        <v>3</v>
      </c>
      <c r="AG42" s="18" t="n">
        <f aca="false">IF(AND(N(AE42)&gt;0,N(AF42)&gt;0),SQRT(2*AE42/AF42),"")</f>
        <v>1.4142135623731</v>
      </c>
      <c r="AH42" s="18" t="n">
        <v>29</v>
      </c>
      <c r="AI42" s="18"/>
      <c r="AJ42" s="18"/>
      <c r="AK42" s="18"/>
      <c r="AL42" s="18" t="n">
        <v>33.2</v>
      </c>
      <c r="AM42" s="18" t="n">
        <v>40</v>
      </c>
      <c r="AN42" s="18"/>
      <c r="AO42" s="18"/>
      <c r="AP42" s="18"/>
      <c r="AQ42" s="18"/>
      <c r="AR42" s="18"/>
      <c r="AS42" s="18" t="n">
        <v>16</v>
      </c>
      <c r="AT42" s="18" t="n">
        <v>56</v>
      </c>
      <c r="AU42" s="18" t="s">
        <v>3056</v>
      </c>
      <c r="AV42" s="18" t="s">
        <v>3057</v>
      </c>
      <c r="AW42" s="18" t="s">
        <v>3058</v>
      </c>
      <c r="AX42" s="18" t="s">
        <v>3059</v>
      </c>
      <c r="AY42" s="18" t="s">
        <v>91</v>
      </c>
      <c r="AZ42" s="32" t="s">
        <v>3060</v>
      </c>
      <c r="BA42" s="18" t="s">
        <v>1112</v>
      </c>
      <c r="BB42" s="18" t="s">
        <v>3061</v>
      </c>
    </row>
    <row r="43" customFormat="false" ht="14.25" hidden="false" customHeight="true" outlineLevel="0" collapsed="false">
      <c r="A43" s="18" t="n">
        <v>172</v>
      </c>
      <c r="B43" s="18" t="n">
        <v>172</v>
      </c>
      <c r="C43" s="18" t="s">
        <v>1100</v>
      </c>
      <c r="D43" s="18" t="n">
        <v>2005</v>
      </c>
      <c r="E43" s="18" t="s">
        <v>1101</v>
      </c>
      <c r="F43" s="18" t="s">
        <v>3054</v>
      </c>
      <c r="G43" s="18" t="s">
        <v>1105</v>
      </c>
      <c r="H43" s="18" t="n">
        <v>33.2</v>
      </c>
      <c r="I43" s="18" t="n">
        <v>130.5</v>
      </c>
      <c r="J43" s="18" t="s">
        <v>921</v>
      </c>
      <c r="K43" s="18" t="n">
        <v>2003</v>
      </c>
      <c r="L43" s="18" t="s">
        <v>853</v>
      </c>
      <c r="M43" s="18" t="s">
        <v>85</v>
      </c>
      <c r="N43" s="18" t="s">
        <v>86</v>
      </c>
      <c r="O43" s="18" t="s">
        <v>3055</v>
      </c>
      <c r="P43" s="18"/>
      <c r="Q43" s="18" t="n">
        <v>19.07</v>
      </c>
      <c r="R43" s="18"/>
      <c r="S43" s="18"/>
      <c r="T43" s="18"/>
      <c r="U43" s="18"/>
      <c r="V43" s="18" t="n">
        <v>23.7</v>
      </c>
      <c r="W43" s="18"/>
      <c r="X43" s="18"/>
      <c r="Y43" s="18"/>
      <c r="Z43" s="18"/>
      <c r="AA43" s="18"/>
      <c r="AB43" s="18"/>
      <c r="AC43" s="18"/>
      <c r="AD43" s="18"/>
      <c r="AE43" s="18" t="n">
        <v>3</v>
      </c>
      <c r="AF43" s="18" t="n">
        <v>3</v>
      </c>
      <c r="AG43" s="18" t="n">
        <f aca="false">IF(AND(N(AE43)&gt;0,N(AF43)&gt;0),SQRT(2*AE43/AF43),"")</f>
        <v>1.4142135623731</v>
      </c>
      <c r="AH43" s="18" t="n">
        <v>29</v>
      </c>
      <c r="AI43" s="18"/>
      <c r="AJ43" s="18"/>
      <c r="AK43" s="18"/>
      <c r="AL43" s="18" t="n">
        <v>33.2</v>
      </c>
      <c r="AM43" s="18" t="n">
        <v>40</v>
      </c>
      <c r="AN43" s="18"/>
      <c r="AO43" s="18"/>
      <c r="AP43" s="18"/>
      <c r="AQ43" s="18"/>
      <c r="AR43" s="18"/>
      <c r="AS43" s="18" t="n">
        <v>16</v>
      </c>
      <c r="AT43" s="18" t="n">
        <v>56</v>
      </c>
      <c r="AU43" s="18" t="s">
        <v>3056</v>
      </c>
      <c r="AV43" s="18" t="s">
        <v>3057</v>
      </c>
      <c r="AW43" s="18" t="s">
        <v>3058</v>
      </c>
      <c r="AX43" s="18" t="s">
        <v>3059</v>
      </c>
      <c r="AY43" s="18" t="s">
        <v>91</v>
      </c>
      <c r="AZ43" s="32" t="s">
        <v>3062</v>
      </c>
      <c r="BA43" s="18" t="s">
        <v>1112</v>
      </c>
      <c r="BB43" s="18" t="s">
        <v>3061</v>
      </c>
    </row>
    <row r="44" customFormat="false" ht="14.25" hidden="false" customHeight="true" outlineLevel="0" collapsed="false">
      <c r="A44" s="18" t="n">
        <v>172</v>
      </c>
      <c r="B44" s="18" t="n">
        <v>172</v>
      </c>
      <c r="C44" s="18" t="s">
        <v>1100</v>
      </c>
      <c r="D44" s="18" t="n">
        <v>2005</v>
      </c>
      <c r="E44" s="18" t="s">
        <v>1101</v>
      </c>
      <c r="F44" s="18" t="s">
        <v>3054</v>
      </c>
      <c r="G44" s="18" t="s">
        <v>1105</v>
      </c>
      <c r="H44" s="18" t="n">
        <v>33.2</v>
      </c>
      <c r="I44" s="18" t="n">
        <v>130.5</v>
      </c>
      <c r="J44" s="18" t="s">
        <v>921</v>
      </c>
      <c r="K44" s="18" t="n">
        <v>2003</v>
      </c>
      <c r="L44" s="18" t="s">
        <v>853</v>
      </c>
      <c r="M44" s="18" t="s">
        <v>85</v>
      </c>
      <c r="N44" s="18" t="s">
        <v>86</v>
      </c>
      <c r="O44" s="18" t="s">
        <v>3055</v>
      </c>
      <c r="P44" s="18"/>
      <c r="Q44" s="18" t="n">
        <v>19.07</v>
      </c>
      <c r="R44" s="18"/>
      <c r="S44" s="18"/>
      <c r="T44" s="18"/>
      <c r="U44" s="18"/>
      <c r="V44" s="18" t="n">
        <v>27.07</v>
      </c>
      <c r="W44" s="18"/>
      <c r="X44" s="18"/>
      <c r="Y44" s="18"/>
      <c r="Z44" s="18"/>
      <c r="AA44" s="18"/>
      <c r="AB44" s="18"/>
      <c r="AC44" s="18"/>
      <c r="AD44" s="18"/>
      <c r="AE44" s="18" t="n">
        <v>3</v>
      </c>
      <c r="AF44" s="18" t="n">
        <v>3</v>
      </c>
      <c r="AG44" s="18" t="n">
        <f aca="false">IF(AND(N(AE44)&gt;0,N(AF44)&gt;0),SQRT(2*AE44/AF44),"")</f>
        <v>1.4142135623731</v>
      </c>
      <c r="AH44" s="18" t="n">
        <v>29</v>
      </c>
      <c r="AI44" s="18"/>
      <c r="AJ44" s="18"/>
      <c r="AK44" s="18"/>
      <c r="AL44" s="18" t="n">
        <v>33.2</v>
      </c>
      <c r="AM44" s="18" t="n">
        <v>40</v>
      </c>
      <c r="AN44" s="18"/>
      <c r="AO44" s="18"/>
      <c r="AP44" s="18"/>
      <c r="AQ44" s="18"/>
      <c r="AR44" s="18"/>
      <c r="AS44" s="18" t="n">
        <v>16</v>
      </c>
      <c r="AT44" s="18" t="n">
        <v>56</v>
      </c>
      <c r="AU44" s="18" t="s">
        <v>3056</v>
      </c>
      <c r="AV44" s="18" t="s">
        <v>3057</v>
      </c>
      <c r="AW44" s="18" t="s">
        <v>3058</v>
      </c>
      <c r="AX44" s="18" t="s">
        <v>3059</v>
      </c>
      <c r="AY44" s="18" t="s">
        <v>91</v>
      </c>
      <c r="AZ44" s="32" t="s">
        <v>3063</v>
      </c>
      <c r="BA44" s="18" t="s">
        <v>1112</v>
      </c>
      <c r="BB44" s="18" t="s">
        <v>3061</v>
      </c>
    </row>
    <row r="45" customFormat="false" ht="14.25" hidden="false" customHeight="false" outlineLevel="0" collapsed="false">
      <c r="A45" s="24" t="n">
        <v>174</v>
      </c>
      <c r="B45" s="24" t="n">
        <v>174</v>
      </c>
      <c r="C45" s="24" t="s">
        <v>1152</v>
      </c>
      <c r="D45" s="24" t="n">
        <v>2017</v>
      </c>
      <c r="E45" s="24" t="s">
        <v>1153</v>
      </c>
      <c r="F45" s="24" t="s">
        <v>887</v>
      </c>
      <c r="G45" s="24" t="s">
        <v>1156</v>
      </c>
      <c r="H45" s="24" t="n">
        <v>29.067</v>
      </c>
      <c r="I45" s="24" t="n">
        <v>77.767</v>
      </c>
      <c r="J45" s="24" t="s">
        <v>83</v>
      </c>
      <c r="K45" s="24" t="s">
        <v>2183</v>
      </c>
      <c r="L45" s="24" t="s">
        <v>872</v>
      </c>
      <c r="M45" s="24" t="s">
        <v>85</v>
      </c>
      <c r="N45" s="24" t="s">
        <v>86</v>
      </c>
      <c r="O45" s="24" t="s">
        <v>2043</v>
      </c>
      <c r="P45" s="24" t="n">
        <v>5.97</v>
      </c>
      <c r="Q45" s="24"/>
      <c r="R45" s="24" t="n">
        <v>5.78</v>
      </c>
      <c r="S45" s="24"/>
      <c r="T45" s="24"/>
      <c r="U45" s="24"/>
      <c r="V45" s="24"/>
      <c r="W45" s="24"/>
      <c r="X45" s="24" t="n">
        <v>5.88</v>
      </c>
      <c r="Y45" s="24" t="n">
        <v>5.72</v>
      </c>
      <c r="Z45" s="24"/>
      <c r="AA45" s="24"/>
      <c r="AB45" s="24"/>
      <c r="AC45" s="24"/>
      <c r="AD45" s="24"/>
      <c r="AE45" s="24" t="n">
        <v>2</v>
      </c>
      <c r="AF45" s="24" t="n">
        <v>3</v>
      </c>
      <c r="AG45" s="24" t="n">
        <f aca="false">IF(AND(N(AE45)&gt;0,N(AF45)&gt;0),SQRT(2*AE45/AF45),"")</f>
        <v>1.15470053837925</v>
      </c>
      <c r="AH45" s="24" t="n">
        <v>16.5</v>
      </c>
      <c r="AI45" s="24" t="n">
        <v>5</v>
      </c>
      <c r="AJ45" s="24" t="n">
        <v>46</v>
      </c>
      <c r="AK45" s="24" t="n">
        <v>863</v>
      </c>
      <c r="AL45" s="24" t="n">
        <v>29.067</v>
      </c>
      <c r="AM45" s="24" t="n">
        <v>2</v>
      </c>
      <c r="AN45" s="24"/>
      <c r="AO45" s="24"/>
      <c r="AP45" s="24" t="n">
        <v>8.1</v>
      </c>
      <c r="AQ45" s="24" t="n">
        <v>8.3</v>
      </c>
      <c r="AR45" s="24"/>
      <c r="AS45" s="24" t="n">
        <v>62</v>
      </c>
      <c r="AT45" s="24" t="n">
        <v>20.5</v>
      </c>
      <c r="AU45" s="24" t="s">
        <v>3019</v>
      </c>
      <c r="AV45" s="24" t="s">
        <v>2184</v>
      </c>
      <c r="AW45" s="24" t="s">
        <v>2185</v>
      </c>
      <c r="AX45" s="24" t="s">
        <v>2186</v>
      </c>
      <c r="AY45" s="24" t="s">
        <v>2102</v>
      </c>
      <c r="AZ45" s="25" t="s">
        <v>3064</v>
      </c>
      <c r="BA45" s="24" t="s">
        <v>1167</v>
      </c>
      <c r="BB45" s="24" t="s">
        <v>3065</v>
      </c>
    </row>
    <row r="46" customFormat="false" ht="14.25" hidden="false" customHeight="false" outlineLevel="0" collapsed="false">
      <c r="A46" s="24" t="n">
        <v>174</v>
      </c>
      <c r="B46" s="24" t="n">
        <v>174</v>
      </c>
      <c r="C46" s="24" t="s">
        <v>1152</v>
      </c>
      <c r="D46" s="24" t="n">
        <v>2017</v>
      </c>
      <c r="E46" s="24" t="s">
        <v>1153</v>
      </c>
      <c r="F46" s="24" t="s">
        <v>887</v>
      </c>
      <c r="G46" s="24" t="s">
        <v>1156</v>
      </c>
      <c r="H46" s="24" t="n">
        <v>29.067</v>
      </c>
      <c r="I46" s="24" t="n">
        <v>77.767</v>
      </c>
      <c r="J46" s="24" t="s">
        <v>83</v>
      </c>
      <c r="K46" s="24" t="s">
        <v>2183</v>
      </c>
      <c r="L46" s="24" t="s">
        <v>872</v>
      </c>
      <c r="M46" s="24" t="s">
        <v>85</v>
      </c>
      <c r="N46" s="24" t="s">
        <v>86</v>
      </c>
      <c r="O46" s="24" t="s">
        <v>2043</v>
      </c>
      <c r="P46" s="24" t="n">
        <v>6.25</v>
      </c>
      <c r="Q46" s="24"/>
      <c r="R46" s="24" t="n">
        <v>5.78</v>
      </c>
      <c r="S46" s="24"/>
      <c r="T46" s="24"/>
      <c r="U46" s="24"/>
      <c r="V46" s="24"/>
      <c r="W46" s="24"/>
      <c r="X46" s="24" t="n">
        <v>5.88</v>
      </c>
      <c r="Y46" s="24" t="n">
        <v>5.72</v>
      </c>
      <c r="Z46" s="24"/>
      <c r="AA46" s="24"/>
      <c r="AB46" s="24"/>
      <c r="AC46" s="24"/>
      <c r="AD46" s="24"/>
      <c r="AE46" s="24" t="n">
        <v>2</v>
      </c>
      <c r="AF46" s="24" t="n">
        <v>3</v>
      </c>
      <c r="AG46" s="24" t="n">
        <f aca="false">IF(AND(N(AE46)&gt;0,N(AF46)&gt;0),SQRT(2*AE46/AF46),"")</f>
        <v>1.15470053837925</v>
      </c>
      <c r="AH46" s="24" t="n">
        <v>16.5</v>
      </c>
      <c r="AI46" s="24" t="n">
        <v>5</v>
      </c>
      <c r="AJ46" s="24" t="n">
        <v>46</v>
      </c>
      <c r="AK46" s="24" t="n">
        <v>863</v>
      </c>
      <c r="AL46" s="24" t="n">
        <v>29.067</v>
      </c>
      <c r="AM46" s="24" t="n">
        <v>2</v>
      </c>
      <c r="AN46" s="24"/>
      <c r="AO46" s="24"/>
      <c r="AP46" s="24" t="n">
        <v>8.1</v>
      </c>
      <c r="AQ46" s="24" t="n">
        <v>8.3</v>
      </c>
      <c r="AR46" s="24"/>
      <c r="AS46" s="24" t="n">
        <v>62</v>
      </c>
      <c r="AT46" s="24" t="n">
        <v>20.5</v>
      </c>
      <c r="AU46" s="24" t="s">
        <v>3019</v>
      </c>
      <c r="AV46" s="24" t="s">
        <v>2184</v>
      </c>
      <c r="AW46" s="24" t="s">
        <v>2185</v>
      </c>
      <c r="AX46" s="24" t="s">
        <v>2186</v>
      </c>
      <c r="AY46" s="24" t="s">
        <v>2102</v>
      </c>
      <c r="AZ46" s="25" t="s">
        <v>3066</v>
      </c>
      <c r="BA46" s="24" t="s">
        <v>1167</v>
      </c>
      <c r="BB46" s="24" t="s">
        <v>3065</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3067</v>
      </c>
      <c r="Q1" s="27" t="s">
        <v>3068</v>
      </c>
      <c r="R1" s="27" t="s">
        <v>3069</v>
      </c>
      <c r="S1" s="27" t="s">
        <v>3070</v>
      </c>
      <c r="T1" s="27" t="s">
        <v>3071</v>
      </c>
      <c r="U1" s="27" t="s">
        <v>3072</v>
      </c>
      <c r="V1" s="27" t="s">
        <v>3073</v>
      </c>
      <c r="W1" s="27" t="s">
        <v>3074</v>
      </c>
      <c r="X1" s="30" t="s">
        <v>3075</v>
      </c>
      <c r="Y1" s="30" t="s">
        <v>3076</v>
      </c>
      <c r="Z1" s="30" t="s">
        <v>3077</v>
      </c>
      <c r="AA1" s="30" t="s">
        <v>3078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166</v>
      </c>
      <c r="B2" s="5" t="n">
        <v>166</v>
      </c>
      <c r="C2" s="5" t="s">
        <v>883</v>
      </c>
      <c r="D2" s="5" t="n">
        <v>2014</v>
      </c>
      <c r="E2" s="5" t="s">
        <v>884</v>
      </c>
      <c r="F2" s="5" t="s">
        <v>887</v>
      </c>
      <c r="G2" s="5" t="s">
        <v>888</v>
      </c>
      <c r="H2" s="5" t="n">
        <v>29.067</v>
      </c>
      <c r="I2" s="5" t="n">
        <v>77.767</v>
      </c>
      <c r="J2" s="5" t="s">
        <v>83</v>
      </c>
      <c r="K2" s="5" t="n">
        <v>2011</v>
      </c>
      <c r="L2" s="5" t="s">
        <v>853</v>
      </c>
      <c r="M2" s="5" t="s">
        <v>85</v>
      </c>
      <c r="N2" s="5" t="s">
        <v>86</v>
      </c>
      <c r="O2" s="5" t="s">
        <v>2317</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3079</v>
      </c>
      <c r="AS2" s="5" t="s">
        <v>2319</v>
      </c>
      <c r="AT2" s="5" t="s">
        <v>2320</v>
      </c>
      <c r="AU2" s="5" t="s">
        <v>2321</v>
      </c>
      <c r="AV2" s="5" t="s">
        <v>2047</v>
      </c>
      <c r="AW2" s="23" t="s">
        <v>3080</v>
      </c>
      <c r="AX2" s="5" t="s">
        <v>899</v>
      </c>
      <c r="AY2" s="5" t="s">
        <v>3081</v>
      </c>
      <c r="BA2" s="33" t="s">
        <v>723</v>
      </c>
    </row>
    <row r="3" customFormat="false" ht="14.2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2329</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3079</v>
      </c>
      <c r="AS3" s="5" t="s">
        <v>2319</v>
      </c>
      <c r="AT3" s="5" t="s">
        <v>2320</v>
      </c>
      <c r="AU3" s="5" t="s">
        <v>2321</v>
      </c>
      <c r="AV3" s="5" t="s">
        <v>2047</v>
      </c>
      <c r="AW3" s="23" t="s">
        <v>3080</v>
      </c>
      <c r="AX3" s="5" t="s">
        <v>899</v>
      </c>
      <c r="AY3" s="5" t="s">
        <v>3081</v>
      </c>
    </row>
    <row r="4" customFormat="false" ht="14.2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2050</v>
      </c>
      <c r="O4" s="5" t="s">
        <v>2051</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3079</v>
      </c>
      <c r="AS4" s="5" t="s">
        <v>2319</v>
      </c>
      <c r="AT4" s="5" t="s">
        <v>2320</v>
      </c>
      <c r="AU4" s="5" t="s">
        <v>2321</v>
      </c>
      <c r="AV4" s="5" t="s">
        <v>2047</v>
      </c>
      <c r="AW4" s="23" t="s">
        <v>3082</v>
      </c>
      <c r="AX4" s="5" t="s">
        <v>899</v>
      </c>
      <c r="AY4" s="5" t="s">
        <v>3081</v>
      </c>
    </row>
    <row r="5" customFormat="false" ht="14.25" hidden="false" customHeight="true" outlineLevel="0" collapsed="false">
      <c r="A5" s="18" t="s">
        <v>938</v>
      </c>
      <c r="B5" s="18" t="s">
        <v>938</v>
      </c>
      <c r="C5" s="18" t="s">
        <v>939</v>
      </c>
      <c r="D5" s="18" t="n">
        <v>2019</v>
      </c>
      <c r="E5" s="18" t="s">
        <v>884</v>
      </c>
      <c r="F5" s="18" t="s">
        <v>942</v>
      </c>
      <c r="G5" s="18" t="s">
        <v>943</v>
      </c>
      <c r="H5" s="18" t="n">
        <v>29.7</v>
      </c>
      <c r="I5" s="18" t="n">
        <v>76.96</v>
      </c>
      <c r="J5" s="18" t="s">
        <v>83</v>
      </c>
      <c r="K5" s="18" t="n">
        <v>2013</v>
      </c>
      <c r="L5" s="18" t="s">
        <v>84</v>
      </c>
      <c r="M5" s="18" t="s">
        <v>85</v>
      </c>
      <c r="N5" s="18" t="s">
        <v>86</v>
      </c>
      <c r="O5" s="18" t="s">
        <v>2043</v>
      </c>
      <c r="P5" s="18" t="n">
        <v>10.9</v>
      </c>
      <c r="Q5" s="18" t="n">
        <v>6.5</v>
      </c>
      <c r="R5" s="18"/>
      <c r="S5" s="18"/>
      <c r="T5" s="18"/>
      <c r="U5" s="18"/>
      <c r="V5" s="18"/>
      <c r="W5" s="18"/>
      <c r="X5" s="18" t="n">
        <v>8.1</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3083</v>
      </c>
      <c r="AS5" s="18" t="s">
        <v>2337</v>
      </c>
      <c r="AT5" s="18" t="s">
        <v>2338</v>
      </c>
      <c r="AU5" s="18" t="s">
        <v>2339</v>
      </c>
      <c r="AV5" s="18" t="s">
        <v>2102</v>
      </c>
      <c r="AW5" s="32" t="s">
        <v>3084</v>
      </c>
      <c r="AX5" s="18" t="s">
        <v>952</v>
      </c>
      <c r="AY5" s="18" t="s">
        <v>3085</v>
      </c>
    </row>
    <row r="6" customFormat="false" ht="14.25" hidden="false" customHeight="true" outlineLevel="0" collapsed="false">
      <c r="A6" s="18" t="s">
        <v>938</v>
      </c>
      <c r="B6" s="18" t="s">
        <v>938</v>
      </c>
      <c r="C6" s="18" t="s">
        <v>939</v>
      </c>
      <c r="D6" s="18" t="n">
        <v>2019</v>
      </c>
      <c r="E6" s="18" t="s">
        <v>884</v>
      </c>
      <c r="F6" s="18" t="s">
        <v>942</v>
      </c>
      <c r="G6" s="18" t="s">
        <v>943</v>
      </c>
      <c r="H6" s="18" t="n">
        <v>29.7</v>
      </c>
      <c r="I6" s="18" t="n">
        <v>76.96</v>
      </c>
      <c r="J6" s="18" t="s">
        <v>83</v>
      </c>
      <c r="K6" s="18" t="n">
        <v>2013</v>
      </c>
      <c r="L6" s="18" t="s">
        <v>84</v>
      </c>
      <c r="M6" s="18" t="s">
        <v>85</v>
      </c>
      <c r="N6" s="18" t="s">
        <v>2050</v>
      </c>
      <c r="O6" s="18" t="s">
        <v>2051</v>
      </c>
      <c r="P6" s="18" t="n">
        <v>3.6</v>
      </c>
      <c r="Q6" s="18" t="n">
        <v>3.8</v>
      </c>
      <c r="R6" s="18"/>
      <c r="S6" s="18"/>
      <c r="T6" s="18"/>
      <c r="U6" s="18"/>
      <c r="V6" s="18"/>
      <c r="W6" s="18"/>
      <c r="X6" s="18" t="n">
        <v>5.4</v>
      </c>
      <c r="Y6" s="18"/>
      <c r="Z6" s="18"/>
      <c r="AA6" s="18"/>
      <c r="AB6" s="18" t="n">
        <v>2</v>
      </c>
      <c r="AC6" s="18" t="n">
        <v>3</v>
      </c>
      <c r="AD6" s="18" t="n">
        <f aca="false">IF(AND(N(AB6)&gt;0,N(AC6)&gt;0),SQRT(2*AB6/AC6),"")</f>
        <v>1.15470053837925</v>
      </c>
      <c r="AE6" s="18"/>
      <c r="AF6" s="18" t="n">
        <v>2</v>
      </c>
      <c r="AG6" s="18" t="n">
        <v>42.5</v>
      </c>
      <c r="AH6" s="18" t="n">
        <v>700</v>
      </c>
      <c r="AI6" s="18" t="n">
        <v>29.7</v>
      </c>
      <c r="AJ6" s="18" t="n">
        <v>4</v>
      </c>
      <c r="AK6" s="18"/>
      <c r="AL6" s="18"/>
      <c r="AM6" s="18"/>
      <c r="AN6" s="18"/>
      <c r="AO6" s="18"/>
      <c r="AP6" s="18"/>
      <c r="AQ6" s="18"/>
      <c r="AR6" s="18" t="s">
        <v>3083</v>
      </c>
      <c r="AS6" s="18" t="s">
        <v>2337</v>
      </c>
      <c r="AT6" s="18" t="s">
        <v>2338</v>
      </c>
      <c r="AU6" s="18" t="s">
        <v>2339</v>
      </c>
      <c r="AV6" s="18" t="s">
        <v>2102</v>
      </c>
      <c r="AW6" s="32" t="s">
        <v>3084</v>
      </c>
      <c r="AX6" s="18" t="s">
        <v>952</v>
      </c>
      <c r="AY6" s="18" t="s">
        <v>3085</v>
      </c>
    </row>
    <row r="7" customFormat="false" ht="14.25" hidden="false" customHeight="true" outlineLevel="0" collapsed="false">
      <c r="A7" s="18" t="s">
        <v>938</v>
      </c>
      <c r="B7" s="18" t="s">
        <v>938</v>
      </c>
      <c r="C7" s="18" t="s">
        <v>939</v>
      </c>
      <c r="D7" s="18" t="n">
        <v>2019</v>
      </c>
      <c r="E7" s="18" t="s">
        <v>884</v>
      </c>
      <c r="F7" s="18" t="s">
        <v>942</v>
      </c>
      <c r="G7" s="18" t="s">
        <v>943</v>
      </c>
      <c r="H7" s="18" t="n">
        <v>29.7</v>
      </c>
      <c r="I7" s="18" t="n">
        <v>76.96</v>
      </c>
      <c r="J7" s="18" t="s">
        <v>83</v>
      </c>
      <c r="K7" s="18" t="n">
        <v>2015</v>
      </c>
      <c r="L7" s="18" t="s">
        <v>84</v>
      </c>
      <c r="M7" s="18" t="s">
        <v>85</v>
      </c>
      <c r="N7" s="18" t="s">
        <v>86</v>
      </c>
      <c r="O7" s="18" t="s">
        <v>2043</v>
      </c>
      <c r="P7" s="18" t="n">
        <v>11.4</v>
      </c>
      <c r="Q7" s="18" t="n">
        <v>6.3</v>
      </c>
      <c r="R7" s="18"/>
      <c r="S7" s="18"/>
      <c r="T7" s="18"/>
      <c r="U7" s="18"/>
      <c r="V7" s="18"/>
      <c r="W7" s="18"/>
      <c r="X7" s="18" t="n">
        <v>8.7</v>
      </c>
      <c r="Y7" s="18"/>
      <c r="Z7" s="18"/>
      <c r="AA7" s="18"/>
      <c r="AB7" s="18" t="n">
        <v>2</v>
      </c>
      <c r="AC7" s="18" t="n">
        <v>3</v>
      </c>
      <c r="AD7" s="18" t="n">
        <f aca="false">IF(AND(N(AB7)&gt;0,N(AC7)&gt;0),SQRT(2*AB7/AC7),"")</f>
        <v>1.15470053837925</v>
      </c>
      <c r="AE7" s="18"/>
      <c r="AF7" s="18" t="n">
        <v>2</v>
      </c>
      <c r="AG7" s="18" t="n">
        <v>42.5</v>
      </c>
      <c r="AH7" s="18" t="n">
        <v>700</v>
      </c>
      <c r="AI7" s="18" t="n">
        <v>29.7</v>
      </c>
      <c r="AJ7" s="18" t="n">
        <v>6</v>
      </c>
      <c r="AK7" s="18"/>
      <c r="AL7" s="18"/>
      <c r="AM7" s="18"/>
      <c r="AN7" s="18"/>
      <c r="AO7" s="18"/>
      <c r="AP7" s="18"/>
      <c r="AQ7" s="18"/>
      <c r="AR7" s="18" t="s">
        <v>3083</v>
      </c>
      <c r="AS7" s="18" t="s">
        <v>2337</v>
      </c>
      <c r="AT7" s="18" t="s">
        <v>2343</v>
      </c>
      <c r="AU7" s="18" t="s">
        <v>2339</v>
      </c>
      <c r="AV7" s="18" t="s">
        <v>2102</v>
      </c>
      <c r="AW7" s="32" t="s">
        <v>3084</v>
      </c>
      <c r="AX7" s="18" t="s">
        <v>952</v>
      </c>
      <c r="AY7" s="18" t="s">
        <v>3085</v>
      </c>
    </row>
    <row r="8" customFormat="false" ht="14.25" hidden="false" customHeight="true" outlineLevel="0" collapsed="false">
      <c r="A8" s="18" t="s">
        <v>938</v>
      </c>
      <c r="B8" s="18" t="s">
        <v>938</v>
      </c>
      <c r="C8" s="18" t="s">
        <v>939</v>
      </c>
      <c r="D8" s="18" t="n">
        <v>2019</v>
      </c>
      <c r="E8" s="18" t="s">
        <v>884</v>
      </c>
      <c r="F8" s="18" t="s">
        <v>942</v>
      </c>
      <c r="G8" s="18" t="s">
        <v>943</v>
      </c>
      <c r="H8" s="18" t="n">
        <v>29.7</v>
      </c>
      <c r="I8" s="18" t="n">
        <v>76.96</v>
      </c>
      <c r="J8" s="18" t="s">
        <v>83</v>
      </c>
      <c r="K8" s="18" t="n">
        <v>2015</v>
      </c>
      <c r="L8" s="18" t="s">
        <v>84</v>
      </c>
      <c r="M8" s="18" t="s">
        <v>85</v>
      </c>
      <c r="N8" s="18" t="s">
        <v>2050</v>
      </c>
      <c r="O8" s="18" t="s">
        <v>2051</v>
      </c>
      <c r="P8" s="18" t="n">
        <v>5.2</v>
      </c>
      <c r="Q8" s="18" t="n">
        <v>5.6</v>
      </c>
      <c r="R8" s="18"/>
      <c r="S8" s="18"/>
      <c r="T8" s="18"/>
      <c r="U8" s="18"/>
      <c r="V8" s="18"/>
      <c r="W8" s="18"/>
      <c r="X8" s="18" t="n">
        <v>7</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3083</v>
      </c>
      <c r="AS8" s="18" t="s">
        <v>2337</v>
      </c>
      <c r="AT8" s="18" t="s">
        <v>2343</v>
      </c>
      <c r="AU8" s="18" t="s">
        <v>2339</v>
      </c>
      <c r="AV8" s="18" t="s">
        <v>2102</v>
      </c>
      <c r="AW8" s="32" t="s">
        <v>3084</v>
      </c>
      <c r="AX8" s="18" t="s">
        <v>952</v>
      </c>
      <c r="AY8" s="18" t="s">
        <v>3085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3086</v>
      </c>
      <c r="Q1" s="27" t="s">
        <v>3087</v>
      </c>
      <c r="R1" s="27" t="s">
        <v>3088</v>
      </c>
      <c r="S1" s="27" t="s">
        <v>3089</v>
      </c>
      <c r="T1" s="27" t="s">
        <v>3090</v>
      </c>
      <c r="U1" s="27" t="s">
        <v>3091</v>
      </c>
      <c r="V1" s="27" t="s">
        <v>3092</v>
      </c>
      <c r="W1" s="27" t="s">
        <v>3093</v>
      </c>
      <c r="X1" s="30" t="s">
        <v>3094</v>
      </c>
      <c r="Y1" s="30" t="s">
        <v>3095</v>
      </c>
      <c r="Z1" s="30" t="s">
        <v>3096</v>
      </c>
      <c r="AA1" s="30" t="s">
        <v>3097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172</v>
      </c>
      <c r="B2" s="18" t="n">
        <v>172</v>
      </c>
      <c r="C2" s="18" t="s">
        <v>1100</v>
      </c>
      <c r="D2" s="18" t="n">
        <v>2005</v>
      </c>
      <c r="E2" s="18" t="s">
        <v>1101</v>
      </c>
      <c r="F2" s="18" t="s">
        <v>3054</v>
      </c>
      <c r="G2" s="18" t="s">
        <v>1105</v>
      </c>
      <c r="H2" s="18" t="n">
        <v>33.2</v>
      </c>
      <c r="I2" s="18" t="n">
        <v>130.5</v>
      </c>
      <c r="J2" s="18" t="s">
        <v>921</v>
      </c>
      <c r="K2" s="18" t="n">
        <v>2003</v>
      </c>
      <c r="L2" s="18" t="s">
        <v>853</v>
      </c>
      <c r="M2" s="18" t="s">
        <v>85</v>
      </c>
      <c r="N2" s="18" t="s">
        <v>86</v>
      </c>
      <c r="O2" s="18" t="s">
        <v>3055</v>
      </c>
      <c r="P2" s="18"/>
      <c r="Q2" s="18" t="n">
        <v>21.43</v>
      </c>
      <c r="R2" s="18"/>
      <c r="S2" s="18"/>
      <c r="T2" s="18"/>
      <c r="U2" s="18"/>
      <c r="V2" s="18" t="n">
        <v>25.7</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3098</v>
      </c>
      <c r="AS2" s="18" t="s">
        <v>3057</v>
      </c>
      <c r="AT2" s="18" t="s">
        <v>3058</v>
      </c>
      <c r="AU2" s="18" t="s">
        <v>3059</v>
      </c>
      <c r="AV2" s="18" t="s">
        <v>91</v>
      </c>
      <c r="AW2" s="32" t="s">
        <v>3099</v>
      </c>
      <c r="AX2" s="18" t="s">
        <v>1112</v>
      </c>
      <c r="AY2" s="18" t="s">
        <v>3100</v>
      </c>
      <c r="BA2" s="33" t="s">
        <v>723</v>
      </c>
    </row>
    <row r="3" customFormat="false" ht="15" hidden="false" customHeight="true" outlineLevel="0" collapsed="false">
      <c r="A3" s="18" t="n">
        <v>172</v>
      </c>
      <c r="B3" s="18" t="n">
        <v>172</v>
      </c>
      <c r="C3" s="18" t="s">
        <v>1100</v>
      </c>
      <c r="D3" s="18" t="n">
        <v>2005</v>
      </c>
      <c r="E3" s="18" t="s">
        <v>1101</v>
      </c>
      <c r="F3" s="18" t="s">
        <v>3054</v>
      </c>
      <c r="G3" s="18" t="s">
        <v>1105</v>
      </c>
      <c r="H3" s="18" t="n">
        <v>33.2</v>
      </c>
      <c r="I3" s="18" t="n">
        <v>130.5</v>
      </c>
      <c r="J3" s="18" t="s">
        <v>921</v>
      </c>
      <c r="K3" s="18" t="n">
        <v>2003</v>
      </c>
      <c r="L3" s="18" t="s">
        <v>853</v>
      </c>
      <c r="M3" s="18" t="s">
        <v>85</v>
      </c>
      <c r="N3" s="18" t="s">
        <v>86</v>
      </c>
      <c r="O3" s="18" t="s">
        <v>3055</v>
      </c>
      <c r="P3" s="18"/>
      <c r="Q3" s="18" t="n">
        <v>21.43</v>
      </c>
      <c r="R3" s="18"/>
      <c r="S3" s="18"/>
      <c r="T3" s="18"/>
      <c r="U3" s="18"/>
      <c r="V3" s="18" t="n">
        <v>25.8</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3098</v>
      </c>
      <c r="AS3" s="18" t="s">
        <v>3057</v>
      </c>
      <c r="AT3" s="18" t="s">
        <v>3058</v>
      </c>
      <c r="AU3" s="18" t="s">
        <v>3059</v>
      </c>
      <c r="AV3" s="18" t="s">
        <v>91</v>
      </c>
      <c r="AW3" s="32" t="s">
        <v>3101</v>
      </c>
      <c r="AX3" s="18" t="s">
        <v>1112</v>
      </c>
      <c r="AY3" s="18" t="s">
        <v>3100</v>
      </c>
    </row>
    <row r="4" customFormat="false" ht="14.25" hidden="false" customHeight="true" outlineLevel="0" collapsed="false">
      <c r="A4" s="18" t="n">
        <v>172</v>
      </c>
      <c r="B4" s="18" t="n">
        <v>172</v>
      </c>
      <c r="C4" s="18" t="s">
        <v>1100</v>
      </c>
      <c r="D4" s="18" t="n">
        <v>2005</v>
      </c>
      <c r="E4" s="18" t="s">
        <v>1101</v>
      </c>
      <c r="F4" s="18" t="s">
        <v>3054</v>
      </c>
      <c r="G4" s="18" t="s">
        <v>1105</v>
      </c>
      <c r="H4" s="18" t="n">
        <v>33.2</v>
      </c>
      <c r="I4" s="18" t="n">
        <v>130.5</v>
      </c>
      <c r="J4" s="18" t="s">
        <v>921</v>
      </c>
      <c r="K4" s="18" t="n">
        <v>2003</v>
      </c>
      <c r="L4" s="18" t="s">
        <v>853</v>
      </c>
      <c r="M4" s="18" t="s">
        <v>85</v>
      </c>
      <c r="N4" s="18" t="s">
        <v>86</v>
      </c>
      <c r="O4" s="18" t="s">
        <v>3055</v>
      </c>
      <c r="P4" s="18"/>
      <c r="Q4" s="18" t="n">
        <v>21.43</v>
      </c>
      <c r="R4" s="18"/>
      <c r="S4" s="18"/>
      <c r="T4" s="18"/>
      <c r="U4" s="18"/>
      <c r="V4" s="18" t="n">
        <v>30.1</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3098</v>
      </c>
      <c r="AS4" s="18" t="s">
        <v>3057</v>
      </c>
      <c r="AT4" s="18" t="s">
        <v>3058</v>
      </c>
      <c r="AU4" s="18" t="s">
        <v>3059</v>
      </c>
      <c r="AV4" s="18" t="s">
        <v>91</v>
      </c>
      <c r="AW4" s="32" t="s">
        <v>3102</v>
      </c>
      <c r="AX4" s="18" t="s">
        <v>1112</v>
      </c>
      <c r="AY4" s="18" t="s">
        <v>3100</v>
      </c>
    </row>
    <row r="5" customFormat="false" ht="14.25" hidden="false" customHeight="true" outlineLevel="0" collapsed="false">
      <c r="A5" s="18" t="n">
        <v>173</v>
      </c>
      <c r="B5" s="18" t="n">
        <v>173</v>
      </c>
      <c r="C5" s="18" t="s">
        <v>1133</v>
      </c>
      <c r="D5" s="18" t="n">
        <v>2023</v>
      </c>
      <c r="E5" s="18" t="s">
        <v>1134</v>
      </c>
      <c r="F5" s="18" t="s">
        <v>866</v>
      </c>
      <c r="G5" s="18" t="s">
        <v>1137</v>
      </c>
      <c r="H5" s="18" t="n">
        <v>28.633</v>
      </c>
      <c r="I5" s="18" t="n">
        <v>77.15</v>
      </c>
      <c r="J5" s="18" t="s">
        <v>83</v>
      </c>
      <c r="K5" s="18" t="n">
        <v>2020</v>
      </c>
      <c r="L5" s="18" t="s">
        <v>84</v>
      </c>
      <c r="M5" s="18" t="s">
        <v>85</v>
      </c>
      <c r="N5" s="18" t="s">
        <v>86</v>
      </c>
      <c r="O5" s="18" t="s">
        <v>2043</v>
      </c>
      <c r="P5" s="18" t="n">
        <v>10.7</v>
      </c>
      <c r="Q5" s="18" t="n">
        <v>8.76</v>
      </c>
      <c r="R5" s="18"/>
      <c r="S5" s="18" t="n">
        <v>9.9</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723</v>
      </c>
      <c r="AS5" s="18" t="s">
        <v>2165</v>
      </c>
      <c r="AT5" s="18" t="s">
        <v>2166</v>
      </c>
      <c r="AU5" s="18" t="s">
        <v>2167</v>
      </c>
      <c r="AV5" s="18" t="s">
        <v>2047</v>
      </c>
      <c r="AW5" s="32" t="s">
        <v>3103</v>
      </c>
      <c r="AX5" s="18" t="s">
        <v>1148</v>
      </c>
      <c r="AY5" s="18" t="s">
        <v>3104</v>
      </c>
    </row>
    <row r="6" customFormat="false" ht="14.25" hidden="false" customHeight="true" outlineLevel="0" collapsed="false">
      <c r="A6" s="18" t="n">
        <v>173</v>
      </c>
      <c r="B6" s="18" t="n">
        <v>173</v>
      </c>
      <c r="C6" s="18" t="s">
        <v>1133</v>
      </c>
      <c r="D6" s="18" t="n">
        <v>2023</v>
      </c>
      <c r="E6" s="18" t="s">
        <v>1134</v>
      </c>
      <c r="F6" s="18" t="s">
        <v>866</v>
      </c>
      <c r="G6" s="18" t="s">
        <v>1137</v>
      </c>
      <c r="H6" s="18" t="n">
        <v>28.633</v>
      </c>
      <c r="I6" s="18" t="n">
        <v>77.15</v>
      </c>
      <c r="J6" s="18" t="s">
        <v>83</v>
      </c>
      <c r="K6" s="18" t="n">
        <v>2020</v>
      </c>
      <c r="L6" s="18" t="s">
        <v>84</v>
      </c>
      <c r="M6" s="18" t="s">
        <v>85</v>
      </c>
      <c r="N6" s="18" t="s">
        <v>86</v>
      </c>
      <c r="O6" s="18" t="s">
        <v>2043</v>
      </c>
      <c r="P6" s="18" t="n">
        <v>9.97</v>
      </c>
      <c r="Q6" s="18" t="n">
        <v>8.67</v>
      </c>
      <c r="R6" s="18"/>
      <c r="S6" s="18" t="n">
        <v>9.7</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723</v>
      </c>
      <c r="AS6" s="18" t="s">
        <v>2165</v>
      </c>
      <c r="AT6" s="18" t="s">
        <v>2166</v>
      </c>
      <c r="AU6" s="18" t="s">
        <v>2167</v>
      </c>
      <c r="AV6" s="18" t="s">
        <v>2047</v>
      </c>
      <c r="AW6" s="32" t="s">
        <v>3105</v>
      </c>
      <c r="AX6" s="18" t="s">
        <v>1148</v>
      </c>
      <c r="AY6" s="18" t="s">
        <v>3104</v>
      </c>
    </row>
    <row r="7" customFormat="false" ht="14.25" hidden="false" customHeight="true" outlineLevel="0" collapsed="false">
      <c r="A7" s="18" t="n">
        <v>173</v>
      </c>
      <c r="B7" s="18" t="n">
        <v>173</v>
      </c>
      <c r="C7" s="18" t="s">
        <v>1133</v>
      </c>
      <c r="D7" s="18" t="n">
        <v>2023</v>
      </c>
      <c r="E7" s="18" t="s">
        <v>1134</v>
      </c>
      <c r="F7" s="18" t="s">
        <v>866</v>
      </c>
      <c r="G7" s="18" t="s">
        <v>1137</v>
      </c>
      <c r="H7" s="18" t="n">
        <v>28.633</v>
      </c>
      <c r="I7" s="18" t="n">
        <v>77.15</v>
      </c>
      <c r="J7" s="18" t="s">
        <v>83</v>
      </c>
      <c r="K7" s="18" t="n">
        <v>2020</v>
      </c>
      <c r="L7" s="18" t="s">
        <v>84</v>
      </c>
      <c r="M7" s="18" t="s">
        <v>85</v>
      </c>
      <c r="N7" s="18" t="s">
        <v>86</v>
      </c>
      <c r="O7" s="18" t="s">
        <v>2043</v>
      </c>
      <c r="P7" s="18" t="n">
        <v>10.9</v>
      </c>
      <c r="Q7" s="18" t="n">
        <v>8.76</v>
      </c>
      <c r="R7" s="18"/>
      <c r="S7" s="18" t="n">
        <v>9.9</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723</v>
      </c>
      <c r="AS7" s="18" t="s">
        <v>2165</v>
      </c>
      <c r="AT7" s="18" t="s">
        <v>2166</v>
      </c>
      <c r="AU7" s="18" t="s">
        <v>2167</v>
      </c>
      <c r="AV7" s="18" t="s">
        <v>2047</v>
      </c>
      <c r="AW7" s="32" t="s">
        <v>3106</v>
      </c>
      <c r="AX7" s="18" t="s">
        <v>1148</v>
      </c>
      <c r="AY7" s="18" t="s">
        <v>3104</v>
      </c>
    </row>
    <row r="8" customFormat="false" ht="14.25" hidden="false" customHeight="true" outlineLevel="0" collapsed="false">
      <c r="A8" s="18" t="n">
        <v>173</v>
      </c>
      <c r="B8" s="18" t="n">
        <v>173</v>
      </c>
      <c r="C8" s="18" t="s">
        <v>1133</v>
      </c>
      <c r="D8" s="18" t="n">
        <v>2023</v>
      </c>
      <c r="E8" s="18" t="s">
        <v>1134</v>
      </c>
      <c r="F8" s="18" t="s">
        <v>866</v>
      </c>
      <c r="G8" s="18" t="s">
        <v>1137</v>
      </c>
      <c r="H8" s="18" t="n">
        <v>28.633</v>
      </c>
      <c r="I8" s="18" t="n">
        <v>77.15</v>
      </c>
      <c r="J8" s="18" t="s">
        <v>83</v>
      </c>
      <c r="K8" s="18" t="n">
        <v>2020</v>
      </c>
      <c r="L8" s="18" t="s">
        <v>84</v>
      </c>
      <c r="M8" s="18" t="s">
        <v>85</v>
      </c>
      <c r="N8" s="18" t="s">
        <v>86</v>
      </c>
      <c r="O8" s="18" t="s">
        <v>2043</v>
      </c>
      <c r="P8" s="18" t="n">
        <v>10.7</v>
      </c>
      <c r="Q8" s="18" t="n">
        <v>8.67</v>
      </c>
      <c r="R8" s="18"/>
      <c r="S8" s="18" t="n">
        <v>9.7</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723</v>
      </c>
      <c r="AS8" s="18" t="s">
        <v>2165</v>
      </c>
      <c r="AT8" s="18" t="s">
        <v>2166</v>
      </c>
      <c r="AU8" s="18" t="s">
        <v>2167</v>
      </c>
      <c r="AV8" s="18" t="s">
        <v>2047</v>
      </c>
      <c r="AW8" s="32" t="s">
        <v>3107</v>
      </c>
      <c r="AX8" s="18" t="s">
        <v>1148</v>
      </c>
      <c r="AY8" s="18" t="s">
        <v>3104</v>
      </c>
    </row>
    <row r="9" customFormat="false" ht="14.25" hidden="false" customHeight="true" outlineLevel="0" collapsed="false">
      <c r="A9" s="18" t="n">
        <v>173</v>
      </c>
      <c r="B9" s="18" t="n">
        <v>173</v>
      </c>
      <c r="C9" s="18" t="s">
        <v>1133</v>
      </c>
      <c r="D9" s="18" t="n">
        <v>2023</v>
      </c>
      <c r="E9" s="18" t="s">
        <v>1134</v>
      </c>
      <c r="F9" s="18" t="s">
        <v>866</v>
      </c>
      <c r="G9" s="18" t="s">
        <v>1137</v>
      </c>
      <c r="H9" s="18" t="n">
        <v>28.633</v>
      </c>
      <c r="I9" s="18" t="n">
        <v>77.15</v>
      </c>
      <c r="J9" s="18" t="s">
        <v>83</v>
      </c>
      <c r="K9" s="18" t="n">
        <v>2020</v>
      </c>
      <c r="L9" s="18" t="s">
        <v>84</v>
      </c>
      <c r="M9" s="18" t="s">
        <v>85</v>
      </c>
      <c r="N9" s="18" t="s">
        <v>2050</v>
      </c>
      <c r="O9" s="18" t="s">
        <v>2051</v>
      </c>
      <c r="P9" s="18" t="n">
        <v>9.42</v>
      </c>
      <c r="Q9" s="18" t="n">
        <v>7.98</v>
      </c>
      <c r="R9" s="18"/>
      <c r="S9" s="18" t="n">
        <v>9.31</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723</v>
      </c>
      <c r="AS9" s="18" t="s">
        <v>2165</v>
      </c>
      <c r="AT9" s="18" t="s">
        <v>2166</v>
      </c>
      <c r="AU9" s="18" t="s">
        <v>2167</v>
      </c>
      <c r="AV9" s="18" t="s">
        <v>2047</v>
      </c>
      <c r="AW9" s="32" t="s">
        <v>3108</v>
      </c>
      <c r="AX9" s="18" t="s">
        <v>1148</v>
      </c>
      <c r="AY9" s="18" t="s">
        <v>3104</v>
      </c>
    </row>
    <row r="10" customFormat="false" ht="14.25" hidden="false" customHeight="true" outlineLevel="0" collapsed="false">
      <c r="A10" s="18" t="n">
        <v>173</v>
      </c>
      <c r="B10" s="18" t="n">
        <v>173</v>
      </c>
      <c r="C10" s="18" t="s">
        <v>1133</v>
      </c>
      <c r="D10" s="18" t="n">
        <v>2023</v>
      </c>
      <c r="E10" s="18" t="s">
        <v>1134</v>
      </c>
      <c r="F10" s="18" t="s">
        <v>866</v>
      </c>
      <c r="G10" s="18" t="s">
        <v>1137</v>
      </c>
      <c r="H10" s="18" t="n">
        <v>28.633</v>
      </c>
      <c r="I10" s="18" t="n">
        <v>77.15</v>
      </c>
      <c r="J10" s="18" t="s">
        <v>83</v>
      </c>
      <c r="K10" s="18" t="n">
        <v>2020</v>
      </c>
      <c r="L10" s="18" t="s">
        <v>84</v>
      </c>
      <c r="M10" s="18" t="s">
        <v>85</v>
      </c>
      <c r="N10" s="18" t="s">
        <v>2050</v>
      </c>
      <c r="O10" s="18" t="s">
        <v>2051</v>
      </c>
      <c r="P10" s="18" t="n">
        <v>9.33</v>
      </c>
      <c r="Q10" s="18" t="n">
        <v>7.8</v>
      </c>
      <c r="R10" s="18"/>
      <c r="S10" s="18" t="n">
        <v>9.17</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723</v>
      </c>
      <c r="AS10" s="18" t="s">
        <v>2165</v>
      </c>
      <c r="AT10" s="18" t="s">
        <v>2166</v>
      </c>
      <c r="AU10" s="18" t="s">
        <v>2167</v>
      </c>
      <c r="AV10" s="18" t="s">
        <v>2047</v>
      </c>
      <c r="AW10" s="32" t="s">
        <v>3109</v>
      </c>
      <c r="AX10" s="18" t="s">
        <v>1148</v>
      </c>
      <c r="AY10" s="18" t="s">
        <v>3104</v>
      </c>
    </row>
    <row r="11" customFormat="false" ht="14.25" hidden="false" customHeight="true" outlineLevel="0" collapsed="false">
      <c r="A11" s="18" t="n">
        <v>173</v>
      </c>
      <c r="B11" s="18" t="n">
        <v>173</v>
      </c>
      <c r="C11" s="18" t="s">
        <v>1133</v>
      </c>
      <c r="D11" s="18" t="n">
        <v>2023</v>
      </c>
      <c r="E11" s="18" t="s">
        <v>1134</v>
      </c>
      <c r="F11" s="18" t="s">
        <v>866</v>
      </c>
      <c r="G11" s="18" t="s">
        <v>1137</v>
      </c>
      <c r="H11" s="18" t="n">
        <v>28.633</v>
      </c>
      <c r="I11" s="18" t="n">
        <v>77.15</v>
      </c>
      <c r="J11" s="18" t="s">
        <v>83</v>
      </c>
      <c r="K11" s="18" t="n">
        <v>2020</v>
      </c>
      <c r="L11" s="18" t="s">
        <v>84</v>
      </c>
      <c r="M11" s="18" t="s">
        <v>85</v>
      </c>
      <c r="N11" s="18" t="s">
        <v>2050</v>
      </c>
      <c r="O11" s="18" t="s">
        <v>2051</v>
      </c>
      <c r="P11" s="18" t="n">
        <v>9.79</v>
      </c>
      <c r="Q11" s="18" t="n">
        <v>7.98</v>
      </c>
      <c r="R11" s="18"/>
      <c r="S11" s="18" t="n">
        <v>9.31</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723</v>
      </c>
      <c r="AS11" s="18" t="s">
        <v>2165</v>
      </c>
      <c r="AT11" s="18" t="s">
        <v>2166</v>
      </c>
      <c r="AU11" s="18" t="s">
        <v>2167</v>
      </c>
      <c r="AV11" s="18" t="s">
        <v>2047</v>
      </c>
      <c r="AW11" s="32" t="s">
        <v>3110</v>
      </c>
      <c r="AX11" s="18" t="s">
        <v>1148</v>
      </c>
      <c r="AY11" s="18" t="s">
        <v>3104</v>
      </c>
    </row>
    <row r="12" customFormat="false" ht="14.25" hidden="false" customHeight="true" outlineLevel="0" collapsed="false">
      <c r="A12" s="18" t="n">
        <v>173</v>
      </c>
      <c r="B12" s="18" t="n">
        <v>173</v>
      </c>
      <c r="C12" s="18" t="s">
        <v>1133</v>
      </c>
      <c r="D12" s="18" t="n">
        <v>2023</v>
      </c>
      <c r="E12" s="18" t="s">
        <v>1134</v>
      </c>
      <c r="F12" s="18" t="s">
        <v>866</v>
      </c>
      <c r="G12" s="18" t="s">
        <v>1137</v>
      </c>
      <c r="H12" s="18" t="n">
        <v>28.633</v>
      </c>
      <c r="I12" s="18" t="n">
        <v>77.15</v>
      </c>
      <c r="J12" s="18" t="s">
        <v>83</v>
      </c>
      <c r="K12" s="18" t="n">
        <v>2020</v>
      </c>
      <c r="L12" s="18" t="s">
        <v>84</v>
      </c>
      <c r="M12" s="18" t="s">
        <v>85</v>
      </c>
      <c r="N12" s="18" t="s">
        <v>2050</v>
      </c>
      <c r="O12" s="18" t="s">
        <v>2051</v>
      </c>
      <c r="P12" s="18" t="n">
        <v>9.67</v>
      </c>
      <c r="Q12" s="18" t="n">
        <v>7.8</v>
      </c>
      <c r="R12" s="18"/>
      <c r="S12" s="18" t="n">
        <v>9.17</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723</v>
      </c>
      <c r="AS12" s="18" t="s">
        <v>2165</v>
      </c>
      <c r="AT12" s="18" t="s">
        <v>2166</v>
      </c>
      <c r="AU12" s="18" t="s">
        <v>2167</v>
      </c>
      <c r="AV12" s="18" t="s">
        <v>2047</v>
      </c>
      <c r="AW12" s="32" t="s">
        <v>3111</v>
      </c>
      <c r="AX12" s="18" t="s">
        <v>1148</v>
      </c>
      <c r="AY12" s="18" t="s">
        <v>3104</v>
      </c>
    </row>
    <row r="13" customFormat="false" ht="14.25" hidden="false" customHeight="true" outlineLevel="0" collapsed="false">
      <c r="A13" s="18" t="n">
        <v>173</v>
      </c>
      <c r="B13" s="18" t="n">
        <v>173</v>
      </c>
      <c r="C13" s="18" t="s">
        <v>1133</v>
      </c>
      <c r="D13" s="18" t="n">
        <v>2023</v>
      </c>
      <c r="E13" s="18" t="s">
        <v>1134</v>
      </c>
      <c r="F13" s="18" t="s">
        <v>866</v>
      </c>
      <c r="G13" s="18" t="s">
        <v>1137</v>
      </c>
      <c r="H13" s="18" t="n">
        <v>28.633</v>
      </c>
      <c r="I13" s="18" t="n">
        <v>77.15</v>
      </c>
      <c r="J13" s="18" t="s">
        <v>83</v>
      </c>
      <c r="K13" s="18" t="n">
        <v>2020</v>
      </c>
      <c r="L13" s="18" t="s">
        <v>84</v>
      </c>
      <c r="M13" s="18" t="s">
        <v>85</v>
      </c>
      <c r="N13" s="18" t="s">
        <v>2177</v>
      </c>
      <c r="O13" s="18" t="s">
        <v>2178</v>
      </c>
      <c r="P13" s="18" t="n">
        <v>9</v>
      </c>
      <c r="Q13" s="18" t="n">
        <v>7.05</v>
      </c>
      <c r="R13" s="18"/>
      <c r="S13" s="18" t="n">
        <v>8.49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723</v>
      </c>
      <c r="AS13" s="18" t="s">
        <v>2165</v>
      </c>
      <c r="AT13" s="18" t="s">
        <v>2166</v>
      </c>
      <c r="AU13" s="18" t="s">
        <v>2167</v>
      </c>
      <c r="AV13" s="18" t="s">
        <v>2047</v>
      </c>
      <c r="AW13" s="32" t="s">
        <v>3112</v>
      </c>
      <c r="AX13" s="18" t="s">
        <v>1148</v>
      </c>
      <c r="AY13" s="18" t="s">
        <v>3104</v>
      </c>
    </row>
    <row r="14" customFormat="false" ht="14.25" hidden="false" customHeight="true" outlineLevel="0" collapsed="false">
      <c r="A14" s="18" t="n">
        <v>173</v>
      </c>
      <c r="B14" s="18" t="n">
        <v>173</v>
      </c>
      <c r="C14" s="18" t="s">
        <v>1133</v>
      </c>
      <c r="D14" s="18" t="n">
        <v>2023</v>
      </c>
      <c r="E14" s="18" t="s">
        <v>1134</v>
      </c>
      <c r="F14" s="18" t="s">
        <v>866</v>
      </c>
      <c r="G14" s="18" t="s">
        <v>1137</v>
      </c>
      <c r="H14" s="18" t="n">
        <v>28.633</v>
      </c>
      <c r="I14" s="18" t="n">
        <v>77.15</v>
      </c>
      <c r="J14" s="18" t="s">
        <v>83</v>
      </c>
      <c r="K14" s="18" t="n">
        <v>2020</v>
      </c>
      <c r="L14" s="18" t="s">
        <v>84</v>
      </c>
      <c r="M14" s="18" t="s">
        <v>85</v>
      </c>
      <c r="N14" s="18" t="s">
        <v>2177</v>
      </c>
      <c r="O14" s="18" t="s">
        <v>2178</v>
      </c>
      <c r="P14" s="18" t="n">
        <v>9.1</v>
      </c>
      <c r="Q14" s="18" t="n">
        <v>7.2</v>
      </c>
      <c r="R14" s="18"/>
      <c r="S14" s="18" t="n">
        <v>8.33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723</v>
      </c>
      <c r="AS14" s="18" t="s">
        <v>2165</v>
      </c>
      <c r="AT14" s="18" t="s">
        <v>2166</v>
      </c>
      <c r="AU14" s="18" t="s">
        <v>2167</v>
      </c>
      <c r="AV14" s="18" t="s">
        <v>2047</v>
      </c>
      <c r="AW14" s="32" t="s">
        <v>3113</v>
      </c>
      <c r="AX14" s="18" t="s">
        <v>1148</v>
      </c>
      <c r="AY14" s="18" t="s">
        <v>3104</v>
      </c>
    </row>
    <row r="15" customFormat="false" ht="14.25" hidden="false" customHeight="true" outlineLevel="0" collapsed="false">
      <c r="A15" s="18" t="n">
        <v>173</v>
      </c>
      <c r="B15" s="18" t="n">
        <v>173</v>
      </c>
      <c r="C15" s="18" t="s">
        <v>1133</v>
      </c>
      <c r="D15" s="18" t="n">
        <v>2023</v>
      </c>
      <c r="E15" s="18" t="s">
        <v>1134</v>
      </c>
      <c r="F15" s="18" t="s">
        <v>866</v>
      </c>
      <c r="G15" s="18" t="s">
        <v>1137</v>
      </c>
      <c r="H15" s="18" t="n">
        <v>28.633</v>
      </c>
      <c r="I15" s="18" t="n">
        <v>77.15</v>
      </c>
      <c r="J15" s="18" t="s">
        <v>83</v>
      </c>
      <c r="K15" s="18" t="n">
        <v>2020</v>
      </c>
      <c r="L15" s="18" t="s">
        <v>84</v>
      </c>
      <c r="M15" s="18" t="s">
        <v>85</v>
      </c>
      <c r="N15" s="18" t="s">
        <v>2177</v>
      </c>
      <c r="O15" s="18" t="s">
        <v>2178</v>
      </c>
      <c r="P15" s="18" t="n">
        <v>8.6</v>
      </c>
      <c r="Q15" s="18" t="n">
        <v>7.05</v>
      </c>
      <c r="R15" s="18"/>
      <c r="S15" s="18" t="n">
        <v>8.49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723</v>
      </c>
      <c r="AS15" s="18" t="s">
        <v>2165</v>
      </c>
      <c r="AT15" s="18" t="s">
        <v>2166</v>
      </c>
      <c r="AU15" s="18" t="s">
        <v>2167</v>
      </c>
      <c r="AV15" s="18" t="s">
        <v>2047</v>
      </c>
      <c r="AW15" s="32" t="s">
        <v>3114</v>
      </c>
      <c r="AX15" s="18" t="s">
        <v>1148</v>
      </c>
      <c r="AY15" s="18" t="s">
        <v>3104</v>
      </c>
    </row>
    <row r="16" customFormat="false" ht="14.25" hidden="false" customHeight="true" outlineLevel="0" collapsed="false">
      <c r="A16" s="18" t="n">
        <v>173</v>
      </c>
      <c r="B16" s="18" t="n">
        <v>173</v>
      </c>
      <c r="C16" s="18" t="s">
        <v>1133</v>
      </c>
      <c r="D16" s="18" t="n">
        <v>2023</v>
      </c>
      <c r="E16" s="18" t="s">
        <v>1134</v>
      </c>
      <c r="F16" s="18" t="s">
        <v>866</v>
      </c>
      <c r="G16" s="18" t="s">
        <v>1137</v>
      </c>
      <c r="H16" s="18" t="n">
        <v>28.633</v>
      </c>
      <c r="I16" s="18" t="n">
        <v>77.15</v>
      </c>
      <c r="J16" s="18" t="s">
        <v>83</v>
      </c>
      <c r="K16" s="18" t="n">
        <v>2020</v>
      </c>
      <c r="L16" s="18" t="s">
        <v>84</v>
      </c>
      <c r="M16" s="18" t="s">
        <v>85</v>
      </c>
      <c r="N16" s="18" t="s">
        <v>2177</v>
      </c>
      <c r="O16" s="18" t="s">
        <v>2178</v>
      </c>
      <c r="P16" s="18" t="n">
        <v>9.33</v>
      </c>
      <c r="Q16" s="18" t="n">
        <v>7.2</v>
      </c>
      <c r="R16" s="18"/>
      <c r="S16" s="18" t="n">
        <v>8.33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723</v>
      </c>
      <c r="AS16" s="18" t="s">
        <v>2165</v>
      </c>
      <c r="AT16" s="18" t="s">
        <v>2166</v>
      </c>
      <c r="AU16" s="18" t="s">
        <v>2167</v>
      </c>
      <c r="AV16" s="18" t="s">
        <v>2047</v>
      </c>
      <c r="AW16" s="32" t="s">
        <v>3115</v>
      </c>
      <c r="AX16" s="18" t="s">
        <v>1148</v>
      </c>
      <c r="AY16" s="18" t="s">
        <v>3104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3116</v>
      </c>
      <c r="Q1" s="27" t="s">
        <v>3117</v>
      </c>
      <c r="R1" s="27" t="s">
        <v>3118</v>
      </c>
      <c r="S1" s="27" t="s">
        <v>3119</v>
      </c>
      <c r="T1" s="27" t="s">
        <v>3120</v>
      </c>
      <c r="U1" s="27" t="s">
        <v>3121</v>
      </c>
      <c r="V1" s="27" t="s">
        <v>3122</v>
      </c>
      <c r="W1" s="27" t="s">
        <v>3123</v>
      </c>
      <c r="X1" s="30" t="s">
        <v>3124</v>
      </c>
      <c r="Y1" s="30" t="s">
        <v>3125</v>
      </c>
      <c r="Z1" s="30" t="s">
        <v>3126</v>
      </c>
      <c r="AA1" s="30" t="s">
        <v>3127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723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3128</v>
      </c>
      <c r="Q1" s="27" t="s">
        <v>3129</v>
      </c>
      <c r="R1" s="27" t="s">
        <v>3130</v>
      </c>
      <c r="S1" s="27" t="s">
        <v>3131</v>
      </c>
      <c r="T1" s="27" t="s">
        <v>3132</v>
      </c>
      <c r="U1" s="27" t="s">
        <v>3133</v>
      </c>
      <c r="V1" s="27" t="s">
        <v>3134</v>
      </c>
      <c r="W1" s="27" t="s">
        <v>3135</v>
      </c>
      <c r="X1" s="30" t="s">
        <v>3136</v>
      </c>
      <c r="Y1" s="30" t="s">
        <v>3137</v>
      </c>
      <c r="Z1" s="30" t="s">
        <v>3138</v>
      </c>
      <c r="AA1" s="30" t="s">
        <v>3139</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938</v>
      </c>
      <c r="B2" s="18" t="s">
        <v>938</v>
      </c>
      <c r="C2" s="18" t="s">
        <v>939</v>
      </c>
      <c r="D2" s="18" t="n">
        <v>2019</v>
      </c>
      <c r="E2" s="18" t="s">
        <v>884</v>
      </c>
      <c r="F2" s="18" t="s">
        <v>942</v>
      </c>
      <c r="G2" s="18" t="s">
        <v>943</v>
      </c>
      <c r="H2" s="18" t="n">
        <v>29.7</v>
      </c>
      <c r="I2" s="18" t="n">
        <v>76.96</v>
      </c>
      <c r="J2" s="18" t="s">
        <v>83</v>
      </c>
      <c r="K2" s="18" t="n">
        <v>2013</v>
      </c>
      <c r="L2" s="18" t="s">
        <v>84</v>
      </c>
      <c r="M2" s="18" t="s">
        <v>85</v>
      </c>
      <c r="N2" s="18" t="s">
        <v>86</v>
      </c>
      <c r="O2" s="18" t="s">
        <v>2043</v>
      </c>
      <c r="P2" s="18" t="n">
        <v>6.08</v>
      </c>
      <c r="Q2" s="18" t="n">
        <v>5.27</v>
      </c>
      <c r="R2" s="18"/>
      <c r="S2" s="18"/>
      <c r="T2" s="18"/>
      <c r="U2" s="18"/>
      <c r="V2" s="18"/>
      <c r="W2" s="18"/>
      <c r="X2" s="18" t="n">
        <v>6.78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3140</v>
      </c>
      <c r="AS2" s="18" t="s">
        <v>2337</v>
      </c>
      <c r="AT2" s="18" t="s">
        <v>2531</v>
      </c>
      <c r="AU2" s="18" t="s">
        <v>2339</v>
      </c>
      <c r="AV2" s="18" t="s">
        <v>3141</v>
      </c>
      <c r="AW2" s="32" t="s">
        <v>3142</v>
      </c>
      <c r="AX2" s="18" t="s">
        <v>952</v>
      </c>
      <c r="AY2" s="18" t="s">
        <v>3143</v>
      </c>
      <c r="BA2" s="33" t="s">
        <v>1339</v>
      </c>
    </row>
    <row r="3" customFormat="false" ht="15" hidden="false" customHeight="true" outlineLevel="0" collapsed="false">
      <c r="A3" s="18" t="s">
        <v>938</v>
      </c>
      <c r="B3" s="18" t="s">
        <v>938</v>
      </c>
      <c r="C3" s="18" t="s">
        <v>939</v>
      </c>
      <c r="D3" s="18" t="n">
        <v>2019</v>
      </c>
      <c r="E3" s="18" t="s">
        <v>884</v>
      </c>
      <c r="F3" s="18" t="s">
        <v>942</v>
      </c>
      <c r="G3" s="18" t="s">
        <v>943</v>
      </c>
      <c r="H3" s="18" t="n">
        <v>29.7</v>
      </c>
      <c r="I3" s="18" t="n">
        <v>76.96</v>
      </c>
      <c r="J3" s="18" t="s">
        <v>83</v>
      </c>
      <c r="K3" s="18" t="n">
        <v>2015</v>
      </c>
      <c r="L3" s="18" t="s">
        <v>84</v>
      </c>
      <c r="M3" s="18" t="s">
        <v>85</v>
      </c>
      <c r="N3" s="18" t="s">
        <v>86</v>
      </c>
      <c r="O3" s="18" t="s">
        <v>2043</v>
      </c>
      <c r="P3" s="18" t="n">
        <v>8.55</v>
      </c>
      <c r="Q3" s="18" t="n">
        <v>4.66</v>
      </c>
      <c r="R3" s="18"/>
      <c r="S3" s="18"/>
      <c r="T3" s="18"/>
      <c r="U3" s="18"/>
      <c r="V3" s="18"/>
      <c r="W3" s="18"/>
      <c r="X3" s="18" t="n">
        <v>10.01</v>
      </c>
      <c r="Y3" s="18"/>
      <c r="Z3" s="18"/>
      <c r="AA3" s="18"/>
      <c r="AB3" s="18" t="n">
        <v>2</v>
      </c>
      <c r="AC3" s="18" t="n">
        <v>3</v>
      </c>
      <c r="AD3" s="18" t="n">
        <f aca="false">IF(AND(N(AB3)&gt;0,N(AC3)&gt;0),SQRT(2*AB3/AC3),"")</f>
        <v>1.15470053837925</v>
      </c>
      <c r="AE3" s="18"/>
      <c r="AF3" s="18" t="n">
        <v>2</v>
      </c>
      <c r="AG3" s="18" t="n">
        <v>42.5</v>
      </c>
      <c r="AH3" s="18" t="n">
        <v>700</v>
      </c>
      <c r="AI3" s="18" t="n">
        <v>29.7</v>
      </c>
      <c r="AJ3" s="18" t="n">
        <v>6</v>
      </c>
      <c r="AK3" s="18"/>
      <c r="AL3" s="18"/>
      <c r="AM3" s="18"/>
      <c r="AN3" s="18"/>
      <c r="AO3" s="18"/>
      <c r="AP3" s="18"/>
      <c r="AQ3" s="18"/>
      <c r="AR3" s="18" t="s">
        <v>3140</v>
      </c>
      <c r="AS3" s="18" t="s">
        <v>2337</v>
      </c>
      <c r="AT3" s="18" t="s">
        <v>2535</v>
      </c>
      <c r="AU3" s="18" t="s">
        <v>2339</v>
      </c>
      <c r="AV3" s="18" t="s">
        <v>3144</v>
      </c>
      <c r="AW3" s="32" t="s">
        <v>3145</v>
      </c>
      <c r="AX3" s="18" t="s">
        <v>952</v>
      </c>
      <c r="AY3" s="18" t="s">
        <v>3143</v>
      </c>
    </row>
    <row r="4" customFormat="false" ht="15" hidden="false" customHeight="true" outlineLevel="0" collapsed="false">
      <c r="A4" s="18" t="s">
        <v>938</v>
      </c>
      <c r="B4" s="18" t="s">
        <v>938</v>
      </c>
      <c r="C4" s="18" t="s">
        <v>939</v>
      </c>
      <c r="D4" s="18" t="n">
        <v>2019</v>
      </c>
      <c r="E4" s="18" t="s">
        <v>884</v>
      </c>
      <c r="F4" s="18" t="s">
        <v>942</v>
      </c>
      <c r="G4" s="18" t="s">
        <v>943</v>
      </c>
      <c r="H4" s="18" t="n">
        <v>29.7</v>
      </c>
      <c r="I4" s="18" t="n">
        <v>76.96</v>
      </c>
      <c r="J4" s="18" t="s">
        <v>83</v>
      </c>
      <c r="K4" s="18" t="n">
        <v>2013</v>
      </c>
      <c r="L4" s="18" t="s">
        <v>84</v>
      </c>
      <c r="M4" s="18" t="s">
        <v>85</v>
      </c>
      <c r="N4" s="18" t="s">
        <v>2050</v>
      </c>
      <c r="O4" s="18" t="s">
        <v>2051</v>
      </c>
      <c r="P4" s="18" t="n">
        <v>3.88</v>
      </c>
      <c r="Q4" s="18" t="n">
        <v>3.02</v>
      </c>
      <c r="R4" s="18"/>
      <c r="S4" s="18"/>
      <c r="T4" s="18"/>
      <c r="U4" s="18"/>
      <c r="V4" s="18"/>
      <c r="W4" s="18"/>
      <c r="X4" s="18" t="n">
        <v>1.58</v>
      </c>
      <c r="Y4" s="18"/>
      <c r="Z4" s="18"/>
      <c r="AA4" s="18"/>
      <c r="AB4" s="18" t="n">
        <v>2</v>
      </c>
      <c r="AC4" s="18" t="n">
        <v>3</v>
      </c>
      <c r="AD4" s="18" t="n">
        <f aca="false">IF(AND(N(AB4)&gt;0,N(AC4)&gt;0),SQRT(2*AB4/AC4),"")</f>
        <v>1.15470053837925</v>
      </c>
      <c r="AE4" s="18"/>
      <c r="AF4" s="18" t="n">
        <v>2</v>
      </c>
      <c r="AG4" s="18" t="n">
        <v>42.5</v>
      </c>
      <c r="AH4" s="18" t="n">
        <v>700</v>
      </c>
      <c r="AI4" s="18" t="n">
        <v>29.7</v>
      </c>
      <c r="AJ4" s="18" t="n">
        <v>4</v>
      </c>
      <c r="AK4" s="18"/>
      <c r="AL4" s="18"/>
      <c r="AM4" s="18"/>
      <c r="AN4" s="18"/>
      <c r="AO4" s="18"/>
      <c r="AP4" s="18"/>
      <c r="AQ4" s="18"/>
      <c r="AR4" s="18" t="s">
        <v>3140</v>
      </c>
      <c r="AS4" s="18" t="s">
        <v>2337</v>
      </c>
      <c r="AT4" s="18" t="s">
        <v>2531</v>
      </c>
      <c r="AU4" s="18" t="s">
        <v>2339</v>
      </c>
      <c r="AV4" s="18" t="s">
        <v>3141</v>
      </c>
      <c r="AW4" s="32" t="s">
        <v>3146</v>
      </c>
      <c r="AX4" s="18" t="s">
        <v>952</v>
      </c>
      <c r="AY4" s="18" t="s">
        <v>3143</v>
      </c>
    </row>
    <row r="5" customFormat="false" ht="15" hidden="false" customHeight="true" outlineLevel="0" collapsed="false">
      <c r="A5" s="18" t="s">
        <v>938</v>
      </c>
      <c r="B5" s="18" t="s">
        <v>938</v>
      </c>
      <c r="C5" s="18" t="s">
        <v>939</v>
      </c>
      <c r="D5" s="18" t="n">
        <v>2019</v>
      </c>
      <c r="E5" s="18" t="s">
        <v>884</v>
      </c>
      <c r="F5" s="18" t="s">
        <v>942</v>
      </c>
      <c r="G5" s="18" t="s">
        <v>943</v>
      </c>
      <c r="H5" s="18" t="n">
        <v>29.7</v>
      </c>
      <c r="I5" s="18" t="n">
        <v>76.96</v>
      </c>
      <c r="J5" s="18" t="s">
        <v>83</v>
      </c>
      <c r="K5" s="18" t="n">
        <v>2015</v>
      </c>
      <c r="L5" s="18" t="s">
        <v>84</v>
      </c>
      <c r="M5" s="18" t="s">
        <v>85</v>
      </c>
      <c r="N5" s="18" t="s">
        <v>2050</v>
      </c>
      <c r="O5" s="18" t="s">
        <v>2051</v>
      </c>
      <c r="P5" s="18" t="n">
        <v>3.07</v>
      </c>
      <c r="Q5" s="18" t="n">
        <v>1.81</v>
      </c>
      <c r="R5" s="18"/>
      <c r="S5" s="18"/>
      <c r="T5" s="18"/>
      <c r="U5" s="18"/>
      <c r="V5" s="18"/>
      <c r="W5" s="18"/>
      <c r="X5" s="18" t="n">
        <v>3.46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3140</v>
      </c>
      <c r="AS5" s="18" t="s">
        <v>2337</v>
      </c>
      <c r="AT5" s="18" t="s">
        <v>2535</v>
      </c>
      <c r="AU5" s="18" t="s">
        <v>2339</v>
      </c>
      <c r="AV5" s="18" t="s">
        <v>3144</v>
      </c>
      <c r="AW5" s="32" t="s">
        <v>3147</v>
      </c>
      <c r="AX5" s="18" t="s">
        <v>952</v>
      </c>
      <c r="AY5" s="18" t="s">
        <v>3143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3148</v>
      </c>
      <c r="Q1" s="27" t="s">
        <v>3149</v>
      </c>
      <c r="R1" s="27" t="s">
        <v>3150</v>
      </c>
      <c r="S1" s="27" t="s">
        <v>3151</v>
      </c>
      <c r="T1" s="27" t="s">
        <v>3152</v>
      </c>
      <c r="U1" s="27" t="s">
        <v>3153</v>
      </c>
      <c r="V1" s="27" t="s">
        <v>3154</v>
      </c>
      <c r="W1" s="27" t="s">
        <v>3155</v>
      </c>
      <c r="X1" s="30" t="s">
        <v>3156</v>
      </c>
      <c r="Y1" s="30" t="s">
        <v>3157</v>
      </c>
      <c r="Z1" s="30" t="s">
        <v>3158</v>
      </c>
      <c r="AA1" s="30" t="s">
        <v>3159</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1342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3160</v>
      </c>
      <c r="Q1" s="27" t="s">
        <v>3161</v>
      </c>
      <c r="R1" s="27" t="s">
        <v>3162</v>
      </c>
      <c r="S1" s="27" t="s">
        <v>3163</v>
      </c>
      <c r="T1" s="27" t="s">
        <v>3164</v>
      </c>
      <c r="U1" s="27" t="s">
        <v>3165</v>
      </c>
      <c r="V1" s="27" t="s">
        <v>3166</v>
      </c>
      <c r="W1" s="27" t="s">
        <v>3167</v>
      </c>
      <c r="X1" s="30" t="s">
        <v>3168</v>
      </c>
      <c r="Y1" s="30" t="s">
        <v>3169</v>
      </c>
      <c r="Z1" s="30" t="s">
        <v>3170</v>
      </c>
      <c r="AA1" s="30" t="s">
        <v>3171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172</v>
      </c>
      <c r="B2" s="18" t="n">
        <v>172</v>
      </c>
      <c r="C2" s="18" t="s">
        <v>1100</v>
      </c>
      <c r="D2" s="18" t="n">
        <v>2005</v>
      </c>
      <c r="E2" s="18" t="s">
        <v>1101</v>
      </c>
      <c r="F2" s="18" t="s">
        <v>3054</v>
      </c>
      <c r="G2" s="18" t="s">
        <v>1105</v>
      </c>
      <c r="H2" s="18" t="n">
        <v>33.2</v>
      </c>
      <c r="I2" s="18" t="n">
        <v>130.5</v>
      </c>
      <c r="J2" s="18" t="s">
        <v>921</v>
      </c>
      <c r="K2" s="18" t="n">
        <v>2003</v>
      </c>
      <c r="L2" s="18" t="s">
        <v>853</v>
      </c>
      <c r="M2" s="18" t="s">
        <v>85</v>
      </c>
      <c r="N2" s="18" t="s">
        <v>86</v>
      </c>
      <c r="O2" s="18" t="s">
        <v>3055</v>
      </c>
      <c r="P2" s="18"/>
      <c r="Q2" s="18" t="n">
        <f aca="false">ROUND(0.44*1000,0)</f>
        <v>440</v>
      </c>
      <c r="R2" s="18"/>
      <c r="S2" s="18"/>
      <c r="T2" s="18"/>
      <c r="U2" s="18"/>
      <c r="V2" s="18" t="n">
        <f aca="false">ROUND(0.58*1000,0)</f>
        <v>580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3172</v>
      </c>
      <c r="AS2" s="18" t="s">
        <v>3057</v>
      </c>
      <c r="AT2" s="18" t="s">
        <v>3058</v>
      </c>
      <c r="AU2" s="18" t="s">
        <v>3059</v>
      </c>
      <c r="AV2" s="18" t="s">
        <v>3173</v>
      </c>
      <c r="AW2" s="32" t="s">
        <v>3174</v>
      </c>
      <c r="AX2" s="18" t="s">
        <v>1112</v>
      </c>
      <c r="AY2" s="18" t="s">
        <v>3175</v>
      </c>
      <c r="BA2" s="33" t="s">
        <v>1344</v>
      </c>
    </row>
    <row r="3" customFormat="false" ht="15" hidden="false" customHeight="true" outlineLevel="0" collapsed="false">
      <c r="A3" s="18" t="n">
        <v>172</v>
      </c>
      <c r="B3" s="18" t="n">
        <v>172</v>
      </c>
      <c r="C3" s="18" t="s">
        <v>1100</v>
      </c>
      <c r="D3" s="18" t="n">
        <v>2005</v>
      </c>
      <c r="E3" s="18" t="s">
        <v>1101</v>
      </c>
      <c r="F3" s="18" t="s">
        <v>3054</v>
      </c>
      <c r="G3" s="18" t="s">
        <v>1105</v>
      </c>
      <c r="H3" s="18" t="n">
        <v>33.2</v>
      </c>
      <c r="I3" s="18" t="n">
        <v>130.5</v>
      </c>
      <c r="J3" s="18" t="s">
        <v>921</v>
      </c>
      <c r="K3" s="18" t="n">
        <v>2003</v>
      </c>
      <c r="L3" s="18" t="s">
        <v>853</v>
      </c>
      <c r="M3" s="18" t="s">
        <v>85</v>
      </c>
      <c r="N3" s="18" t="s">
        <v>86</v>
      </c>
      <c r="O3" s="18" t="s">
        <v>3055</v>
      </c>
      <c r="P3" s="18"/>
      <c r="Q3" s="18" t="n">
        <f aca="false">ROUND(0.44*1000,0)</f>
        <v>440</v>
      </c>
      <c r="R3" s="18"/>
      <c r="S3" s="18"/>
      <c r="T3" s="18"/>
      <c r="U3" s="18"/>
      <c r="V3" s="18" t="n">
        <f aca="false">ROUND(0.58*1000,0)</f>
        <v>580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3172</v>
      </c>
      <c r="AS3" s="18" t="s">
        <v>3057</v>
      </c>
      <c r="AT3" s="18" t="s">
        <v>3058</v>
      </c>
      <c r="AU3" s="18" t="s">
        <v>3059</v>
      </c>
      <c r="AV3" s="18" t="s">
        <v>3173</v>
      </c>
      <c r="AW3" s="32" t="s">
        <v>3176</v>
      </c>
      <c r="AX3" s="18" t="s">
        <v>1112</v>
      </c>
      <c r="AY3" s="18" t="s">
        <v>3175</v>
      </c>
    </row>
    <row r="4" customFormat="false" ht="15" hidden="false" customHeight="true" outlineLevel="0" collapsed="false">
      <c r="A4" s="18" t="n">
        <v>172</v>
      </c>
      <c r="B4" s="18" t="n">
        <v>172</v>
      </c>
      <c r="C4" s="18" t="s">
        <v>1100</v>
      </c>
      <c r="D4" s="18" t="n">
        <v>2005</v>
      </c>
      <c r="E4" s="18" t="s">
        <v>1101</v>
      </c>
      <c r="F4" s="18" t="s">
        <v>3054</v>
      </c>
      <c r="G4" s="18" t="s">
        <v>1105</v>
      </c>
      <c r="H4" s="18" t="n">
        <v>33.2</v>
      </c>
      <c r="I4" s="18" t="n">
        <v>130.5</v>
      </c>
      <c r="J4" s="18" t="s">
        <v>921</v>
      </c>
      <c r="K4" s="18" t="n">
        <v>2003</v>
      </c>
      <c r="L4" s="18" t="s">
        <v>853</v>
      </c>
      <c r="M4" s="18" t="s">
        <v>85</v>
      </c>
      <c r="N4" s="18" t="s">
        <v>86</v>
      </c>
      <c r="O4" s="18" t="s">
        <v>3055</v>
      </c>
      <c r="P4" s="18"/>
      <c r="Q4" s="18" t="n">
        <f aca="false">ROUND(0.44*1000,0)</f>
        <v>440</v>
      </c>
      <c r="R4" s="18"/>
      <c r="S4" s="18"/>
      <c r="T4" s="18"/>
      <c r="U4" s="18"/>
      <c r="V4" s="18" t="n">
        <f aca="false">ROUND(0.67*1000,0)</f>
        <v>670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3172</v>
      </c>
      <c r="AS4" s="18" t="s">
        <v>3057</v>
      </c>
      <c r="AT4" s="18" t="s">
        <v>3058</v>
      </c>
      <c r="AU4" s="18" t="s">
        <v>3059</v>
      </c>
      <c r="AV4" s="18" t="s">
        <v>3173</v>
      </c>
      <c r="AW4" s="32" t="s">
        <v>3177</v>
      </c>
      <c r="AX4" s="18" t="s">
        <v>1112</v>
      </c>
      <c r="AY4" s="18" t="s">
        <v>3175</v>
      </c>
      <c r="BA4" s="35" t="s">
        <v>3178</v>
      </c>
    </row>
    <row r="5" customFormat="false" ht="15" hidden="false" customHeight="true" outlineLevel="0" collapsed="false">
      <c r="BA5" s="36" t="s">
        <v>3179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3180</v>
      </c>
      <c r="Q1" s="27" t="s">
        <v>3181</v>
      </c>
      <c r="R1" s="27" t="s">
        <v>3182</v>
      </c>
      <c r="S1" s="27" t="s">
        <v>3183</v>
      </c>
      <c r="T1" s="27" t="s">
        <v>3184</v>
      </c>
      <c r="U1" s="27" t="s">
        <v>3185</v>
      </c>
      <c r="V1" s="27" t="s">
        <v>3186</v>
      </c>
      <c r="W1" s="27" t="s">
        <v>3187</v>
      </c>
      <c r="X1" s="30" t="s">
        <v>3188</v>
      </c>
      <c r="Y1" s="30" t="s">
        <v>3189</v>
      </c>
      <c r="Z1" s="30" t="s">
        <v>3190</v>
      </c>
      <c r="AA1" s="30" t="s">
        <v>3191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1347</v>
      </c>
    </row>
    <row r="3" customFormat="false" ht="15" hidden="false" customHeight="true" outlineLevel="0" collapsed="false"/>
    <row r="4" customFormat="false" ht="15" hidden="false" customHeight="true" outlineLevel="0" collapsed="false">
      <c r="BA4" s="35" t="s">
        <v>3178</v>
      </c>
    </row>
    <row r="5" customFormat="false" ht="15" hidden="false" customHeight="true" outlineLevel="0" collapsed="false">
      <c r="BA5" s="36" t="s">
        <v>3179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3192</v>
      </c>
      <c r="Q1" s="27" t="s">
        <v>3193</v>
      </c>
      <c r="R1" s="27" t="s">
        <v>3194</v>
      </c>
      <c r="S1" s="27" t="s">
        <v>3195</v>
      </c>
      <c r="T1" s="27" t="s">
        <v>3196</v>
      </c>
      <c r="U1" s="27" t="s">
        <v>3197</v>
      </c>
      <c r="V1" s="27" t="s">
        <v>3198</v>
      </c>
      <c r="W1" s="27" t="s">
        <v>3199</v>
      </c>
      <c r="X1" s="30" t="s">
        <v>3200</v>
      </c>
      <c r="Y1" s="30" t="s">
        <v>3201</v>
      </c>
      <c r="Z1" s="30" t="s">
        <v>3202</v>
      </c>
      <c r="AA1" s="30" t="s">
        <v>3203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1349</v>
      </c>
    </row>
    <row r="3" customFormat="false" ht="15" hidden="false" customHeight="true" outlineLevel="0" collapsed="false"/>
    <row r="4" customFormat="false" ht="15" hidden="false" customHeight="true" outlineLevel="0" collapsed="false">
      <c r="BA4" s="35" t="s">
        <v>3178</v>
      </c>
    </row>
    <row r="5" customFormat="false" ht="15" hidden="false" customHeight="true" outlineLevel="0" collapsed="false">
      <c r="BA5" s="36" t="s">
        <v>3204</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3205</v>
      </c>
      <c r="Q1" s="27" t="s">
        <v>3206</v>
      </c>
      <c r="R1" s="27" t="s">
        <v>3207</v>
      </c>
      <c r="S1" s="27" t="s">
        <v>3208</v>
      </c>
      <c r="T1" s="27" t="s">
        <v>3209</v>
      </c>
      <c r="U1" s="27" t="s">
        <v>3210</v>
      </c>
      <c r="V1" s="27" t="s">
        <v>3211</v>
      </c>
      <c r="W1" s="27" t="s">
        <v>3212</v>
      </c>
      <c r="X1" s="30" t="s">
        <v>3213</v>
      </c>
      <c r="Y1" s="30" t="s">
        <v>3214</v>
      </c>
      <c r="Z1" s="30" t="s">
        <v>3215</v>
      </c>
      <c r="AA1" s="30" t="s">
        <v>3216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3217</v>
      </c>
      <c r="Q1" s="27" t="s">
        <v>3218</v>
      </c>
      <c r="R1" s="27" t="s">
        <v>3219</v>
      </c>
      <c r="S1" s="27" t="s">
        <v>3220</v>
      </c>
      <c r="T1" s="27" t="s">
        <v>3221</v>
      </c>
      <c r="U1" s="27" t="s">
        <v>3222</v>
      </c>
      <c r="V1" s="27" t="s">
        <v>3223</v>
      </c>
      <c r="W1" s="27" t="s">
        <v>3224</v>
      </c>
      <c r="X1" s="30" t="s">
        <v>3225</v>
      </c>
      <c r="Y1" s="30" t="s">
        <v>3226</v>
      </c>
      <c r="Z1" s="30" t="s">
        <v>3227</v>
      </c>
      <c r="AA1" s="30" t="s">
        <v>3228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1353</v>
      </c>
    </row>
    <row r="3" customFormat="false" ht="15" hidden="false" customHeight="true" outlineLevel="0" collapsed="false"/>
    <row r="4" customFormat="false" ht="15" hidden="false" customHeight="true" outlineLevel="0" collapsed="false">
      <c r="BA4" s="35" t="s">
        <v>3178</v>
      </c>
    </row>
    <row r="5" customFormat="false" ht="15" hidden="false" customHeight="true" outlineLevel="0" collapsed="false">
      <c r="BA5" s="36" t="s">
        <v>3229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3230</v>
      </c>
      <c r="Q1" s="27" t="s">
        <v>3231</v>
      </c>
      <c r="R1" s="27" t="s">
        <v>3232</v>
      </c>
      <c r="S1" s="27" t="s">
        <v>3233</v>
      </c>
      <c r="T1" s="27" t="s">
        <v>3234</v>
      </c>
      <c r="U1" s="27" t="s">
        <v>3235</v>
      </c>
      <c r="V1" s="27" t="s">
        <v>3236</v>
      </c>
      <c r="W1" s="27" t="s">
        <v>3237</v>
      </c>
      <c r="X1" s="30" t="s">
        <v>3238</v>
      </c>
      <c r="Y1" s="30" t="s">
        <v>3239</v>
      </c>
      <c r="Z1" s="30" t="s">
        <v>3240</v>
      </c>
      <c r="AA1" s="30" t="s">
        <v>3241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1355</v>
      </c>
    </row>
    <row r="3" customFormat="false" ht="15" hidden="false" customHeight="true" outlineLevel="0" collapsed="false"/>
    <row r="4" customFormat="false" ht="15" hidden="false" customHeight="true" outlineLevel="0" collapsed="false">
      <c r="BA4" s="35" t="s">
        <v>3178</v>
      </c>
    </row>
    <row r="5" customFormat="false" ht="15" hidden="false" customHeight="true" outlineLevel="0" collapsed="false">
      <c r="BA5" s="36" t="s">
        <v>3242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3243</v>
      </c>
      <c r="Q1" s="27" t="s">
        <v>3244</v>
      </c>
      <c r="R1" s="27" t="s">
        <v>3245</v>
      </c>
      <c r="S1" s="27" t="s">
        <v>3246</v>
      </c>
      <c r="T1" s="27" t="s">
        <v>3247</v>
      </c>
      <c r="U1" s="27" t="s">
        <v>3248</v>
      </c>
      <c r="V1" s="27" t="s">
        <v>3249</v>
      </c>
      <c r="W1" s="27" t="s">
        <v>3250</v>
      </c>
      <c r="X1" s="30" t="s">
        <v>3251</v>
      </c>
      <c r="Y1" s="30" t="s">
        <v>3252</v>
      </c>
      <c r="Z1" s="30" t="s">
        <v>3253</v>
      </c>
      <c r="AA1" s="30" t="s">
        <v>3254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166</v>
      </c>
      <c r="B2" s="5" t="n">
        <v>166</v>
      </c>
      <c r="C2" s="5" t="s">
        <v>883</v>
      </c>
      <c r="D2" s="5" t="n">
        <v>2014</v>
      </c>
      <c r="E2" s="5" t="s">
        <v>884</v>
      </c>
      <c r="F2" s="5" t="s">
        <v>887</v>
      </c>
      <c r="G2" s="5" t="s">
        <v>888</v>
      </c>
      <c r="H2" s="5" t="n">
        <v>29.067</v>
      </c>
      <c r="I2" s="5" t="n">
        <v>77.767</v>
      </c>
      <c r="J2" s="5" t="s">
        <v>83</v>
      </c>
      <c r="K2" s="5" t="n">
        <v>2011</v>
      </c>
      <c r="L2" s="5" t="s">
        <v>853</v>
      </c>
      <c r="M2" s="5" t="s">
        <v>85</v>
      </c>
      <c r="N2" s="5" t="s">
        <v>86</v>
      </c>
      <c r="O2" s="5" t="s">
        <v>2317</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3255</v>
      </c>
      <c r="AS2" s="5" t="s">
        <v>2319</v>
      </c>
      <c r="AT2" s="5" t="s">
        <v>2320</v>
      </c>
      <c r="AU2" s="5" t="s">
        <v>2321</v>
      </c>
      <c r="AV2" s="5" t="s">
        <v>2047</v>
      </c>
      <c r="AW2" s="23" t="s">
        <v>3256</v>
      </c>
      <c r="AX2" s="5" t="s">
        <v>899</v>
      </c>
      <c r="AY2" s="5" t="s">
        <v>3257</v>
      </c>
      <c r="BA2" s="33" t="s">
        <v>1357</v>
      </c>
    </row>
    <row r="3" customFormat="false" ht="15" hidden="false" customHeight="true" outlineLevel="0" collapsed="false">
      <c r="A3" s="5" t="n">
        <v>166</v>
      </c>
      <c r="B3" s="5" t="n">
        <v>166</v>
      </c>
      <c r="C3" s="5" t="s">
        <v>883</v>
      </c>
      <c r="D3" s="5" t="n">
        <v>2014</v>
      </c>
      <c r="E3" s="5" t="s">
        <v>884</v>
      </c>
      <c r="F3" s="5" t="s">
        <v>887</v>
      </c>
      <c r="G3" s="5" t="s">
        <v>888</v>
      </c>
      <c r="H3" s="5" t="n">
        <v>29.067</v>
      </c>
      <c r="I3" s="5" t="n">
        <v>77.767</v>
      </c>
      <c r="J3" s="5" t="s">
        <v>83</v>
      </c>
      <c r="K3" s="5" t="n">
        <v>2011</v>
      </c>
      <c r="L3" s="5" t="s">
        <v>853</v>
      </c>
      <c r="M3" s="5" t="s">
        <v>85</v>
      </c>
      <c r="N3" s="5" t="s">
        <v>86</v>
      </c>
      <c r="O3" s="5" t="s">
        <v>2329</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3255</v>
      </c>
      <c r="AS3" s="5" t="s">
        <v>2319</v>
      </c>
      <c r="AT3" s="5" t="s">
        <v>2320</v>
      </c>
      <c r="AU3" s="5" t="s">
        <v>2321</v>
      </c>
      <c r="AV3" s="5" t="s">
        <v>2047</v>
      </c>
      <c r="AW3" s="23" t="s">
        <v>3256</v>
      </c>
      <c r="AX3" s="5" t="s">
        <v>899</v>
      </c>
      <c r="AY3" s="5" t="s">
        <v>3257</v>
      </c>
    </row>
    <row r="4" customFormat="false" ht="15" hidden="false" customHeight="true" outlineLevel="0" collapsed="false">
      <c r="A4" s="5" t="n">
        <v>166</v>
      </c>
      <c r="B4" s="5" t="n">
        <v>166</v>
      </c>
      <c r="C4" s="5" t="s">
        <v>883</v>
      </c>
      <c r="D4" s="5" t="n">
        <v>2014</v>
      </c>
      <c r="E4" s="5" t="s">
        <v>884</v>
      </c>
      <c r="F4" s="5" t="s">
        <v>887</v>
      </c>
      <c r="G4" s="5" t="s">
        <v>888</v>
      </c>
      <c r="H4" s="5" t="n">
        <v>29.067</v>
      </c>
      <c r="I4" s="5" t="n">
        <v>77.767</v>
      </c>
      <c r="J4" s="5" t="s">
        <v>83</v>
      </c>
      <c r="K4" s="5" t="n">
        <v>2011</v>
      </c>
      <c r="L4" s="5" t="s">
        <v>853</v>
      </c>
      <c r="M4" s="5" t="s">
        <v>85</v>
      </c>
      <c r="N4" s="5" t="s">
        <v>2050</v>
      </c>
      <c r="O4" s="5" t="s">
        <v>2051</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3255</v>
      </c>
      <c r="AS4" s="5" t="s">
        <v>2319</v>
      </c>
      <c r="AT4" s="5" t="s">
        <v>2320</v>
      </c>
      <c r="AU4" s="5" t="s">
        <v>2321</v>
      </c>
      <c r="AV4" s="5" t="s">
        <v>2047</v>
      </c>
      <c r="AW4" s="23" t="s">
        <v>3258</v>
      </c>
      <c r="AX4" s="5" t="s">
        <v>899</v>
      </c>
      <c r="AY4" s="5" t="s">
        <v>3257</v>
      </c>
      <c r="BA4" s="35" t="s">
        <v>3178</v>
      </c>
    </row>
    <row r="5" customFormat="false" ht="15" hidden="false" customHeight="true" outlineLevel="0" collapsed="false">
      <c r="BA5" s="36" t="s">
        <v>3259</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3260</v>
      </c>
      <c r="Q1" s="27" t="s">
        <v>3261</v>
      </c>
      <c r="R1" s="27" t="s">
        <v>3262</v>
      </c>
      <c r="S1" s="27" t="s">
        <v>3263</v>
      </c>
      <c r="T1" s="27" t="s">
        <v>3264</v>
      </c>
      <c r="U1" s="27" t="s">
        <v>3265</v>
      </c>
      <c r="V1" s="27" t="s">
        <v>3266</v>
      </c>
      <c r="W1" s="27" t="s">
        <v>3267</v>
      </c>
      <c r="X1" s="30" t="s">
        <v>3268</v>
      </c>
      <c r="Y1" s="30" t="s">
        <v>3269</v>
      </c>
      <c r="Z1" s="30" t="s">
        <v>3270</v>
      </c>
      <c r="AA1" s="30" t="s">
        <v>3271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1360</v>
      </c>
    </row>
    <row r="3" customFormat="false" ht="15" hidden="false" customHeight="true" outlineLevel="0" collapsed="false"/>
    <row r="4" customFormat="false" ht="15" hidden="false" customHeight="true" outlineLevel="0" collapsed="false">
      <c r="BA4" s="35" t="s">
        <v>3178</v>
      </c>
    </row>
    <row r="5" customFormat="false" ht="15" hidden="false" customHeight="true" outlineLevel="0" collapsed="false">
      <c r="BA5" s="36" t="s">
        <v>3272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3273</v>
      </c>
      <c r="Q1" s="27" t="s">
        <v>3274</v>
      </c>
      <c r="R1" s="27" t="s">
        <v>3275</v>
      </c>
      <c r="S1" s="27" t="s">
        <v>3276</v>
      </c>
      <c r="T1" s="27" t="s">
        <v>3277</v>
      </c>
      <c r="U1" s="27" t="s">
        <v>3278</v>
      </c>
      <c r="V1" s="27" t="s">
        <v>3279</v>
      </c>
      <c r="W1" s="27" t="s">
        <v>3280</v>
      </c>
      <c r="X1" s="30" t="s">
        <v>3281</v>
      </c>
      <c r="Y1" s="30" t="s">
        <v>3282</v>
      </c>
      <c r="Z1" s="30" t="s">
        <v>3283</v>
      </c>
      <c r="AA1" s="30" t="s">
        <v>3284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172</v>
      </c>
      <c r="B2" s="18" t="n">
        <v>172</v>
      </c>
      <c r="C2" s="18" t="s">
        <v>1100</v>
      </c>
      <c r="D2" s="18" t="n">
        <v>2005</v>
      </c>
      <c r="E2" s="18" t="s">
        <v>1101</v>
      </c>
      <c r="F2" s="18" t="s">
        <v>3054</v>
      </c>
      <c r="G2" s="18" t="s">
        <v>1105</v>
      </c>
      <c r="H2" s="18" t="n">
        <v>33.2</v>
      </c>
      <c r="I2" s="18" t="n">
        <v>130.5</v>
      </c>
      <c r="J2" s="18" t="s">
        <v>921</v>
      </c>
      <c r="K2" s="18" t="n">
        <v>2003</v>
      </c>
      <c r="L2" s="18" t="s">
        <v>853</v>
      </c>
      <c r="M2" s="18" t="s">
        <v>85</v>
      </c>
      <c r="N2" s="18" t="s">
        <v>86</v>
      </c>
      <c r="O2" s="18" t="s">
        <v>3055</v>
      </c>
      <c r="P2" s="18"/>
      <c r="Q2" s="18" t="n">
        <f aca="false">ROUND(3.05*1000,0)</f>
        <v>3050</v>
      </c>
      <c r="R2" s="18"/>
      <c r="S2" s="18"/>
      <c r="T2" s="18"/>
      <c r="U2" s="18"/>
      <c r="V2" s="18" t="n">
        <f aca="false">ROUND(4.03*1000,0)</f>
        <v>4030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3285</v>
      </c>
      <c r="AS2" s="18" t="s">
        <v>3057</v>
      </c>
      <c r="AT2" s="18" t="s">
        <v>3058</v>
      </c>
      <c r="AU2" s="18" t="s">
        <v>3059</v>
      </c>
      <c r="AV2" s="18" t="s">
        <v>3286</v>
      </c>
      <c r="AW2" s="32" t="s">
        <v>3287</v>
      </c>
      <c r="AX2" s="18" t="s">
        <v>1112</v>
      </c>
      <c r="AY2" s="18" t="s">
        <v>3288</v>
      </c>
      <c r="BA2" s="33" t="s">
        <v>1361</v>
      </c>
    </row>
    <row r="3" customFormat="false" ht="14.25" hidden="false" customHeight="true" outlineLevel="0" collapsed="false">
      <c r="A3" s="18" t="n">
        <v>172</v>
      </c>
      <c r="B3" s="18" t="n">
        <v>172</v>
      </c>
      <c r="C3" s="18" t="s">
        <v>1100</v>
      </c>
      <c r="D3" s="18" t="n">
        <v>2005</v>
      </c>
      <c r="E3" s="18" t="s">
        <v>1101</v>
      </c>
      <c r="F3" s="18" t="s">
        <v>3054</v>
      </c>
      <c r="G3" s="18" t="s">
        <v>1105</v>
      </c>
      <c r="H3" s="18" t="n">
        <v>33.2</v>
      </c>
      <c r="I3" s="18" t="n">
        <v>130.5</v>
      </c>
      <c r="J3" s="18" t="s">
        <v>921</v>
      </c>
      <c r="K3" s="18" t="n">
        <v>2003</v>
      </c>
      <c r="L3" s="18" t="s">
        <v>853</v>
      </c>
      <c r="M3" s="18" t="s">
        <v>85</v>
      </c>
      <c r="N3" s="18" t="s">
        <v>86</v>
      </c>
      <c r="O3" s="18" t="s">
        <v>3055</v>
      </c>
      <c r="P3" s="18"/>
      <c r="Q3" s="18" t="n">
        <f aca="false">ROUND(3.05*1000,0)</f>
        <v>3050</v>
      </c>
      <c r="R3" s="18"/>
      <c r="S3" s="18"/>
      <c r="T3" s="18"/>
      <c r="U3" s="18"/>
      <c r="V3" s="18" t="n">
        <f aca="false">ROUND(3.77*1000,0)</f>
        <v>3770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3285</v>
      </c>
      <c r="AS3" s="18" t="s">
        <v>3057</v>
      </c>
      <c r="AT3" s="18" t="s">
        <v>3058</v>
      </c>
      <c r="AU3" s="18" t="s">
        <v>3059</v>
      </c>
      <c r="AV3" s="18" t="s">
        <v>3286</v>
      </c>
      <c r="AW3" s="32" t="s">
        <v>3289</v>
      </c>
      <c r="AX3" s="18" t="s">
        <v>1112</v>
      </c>
      <c r="AY3" s="18" t="s">
        <v>3288</v>
      </c>
    </row>
    <row r="4" customFormat="false" ht="14.25" hidden="false" customHeight="true" outlineLevel="0" collapsed="false">
      <c r="A4" s="18" t="n">
        <v>172</v>
      </c>
      <c r="B4" s="18" t="n">
        <v>172</v>
      </c>
      <c r="C4" s="18" t="s">
        <v>1100</v>
      </c>
      <c r="D4" s="18" t="n">
        <v>2005</v>
      </c>
      <c r="E4" s="18" t="s">
        <v>1101</v>
      </c>
      <c r="F4" s="18" t="s">
        <v>3054</v>
      </c>
      <c r="G4" s="18" t="s">
        <v>1105</v>
      </c>
      <c r="H4" s="18" t="n">
        <v>33.2</v>
      </c>
      <c r="I4" s="18" t="n">
        <v>130.5</v>
      </c>
      <c r="J4" s="18" t="s">
        <v>921</v>
      </c>
      <c r="K4" s="18" t="n">
        <v>2003</v>
      </c>
      <c r="L4" s="18" t="s">
        <v>853</v>
      </c>
      <c r="M4" s="18" t="s">
        <v>85</v>
      </c>
      <c r="N4" s="18" t="s">
        <v>86</v>
      </c>
      <c r="O4" s="18" t="s">
        <v>3055</v>
      </c>
      <c r="P4" s="18"/>
      <c r="Q4" s="18" t="n">
        <f aca="false">ROUND(3.05*1000,0)</f>
        <v>3050</v>
      </c>
      <c r="R4" s="18"/>
      <c r="S4" s="18"/>
      <c r="T4" s="18"/>
      <c r="U4" s="18"/>
      <c r="V4" s="18" t="n">
        <f aca="false">ROUND(5.11*1000,0)</f>
        <v>5110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3285</v>
      </c>
      <c r="AS4" s="18" t="s">
        <v>3057</v>
      </c>
      <c r="AT4" s="18" t="s">
        <v>3058</v>
      </c>
      <c r="AU4" s="18" t="s">
        <v>3059</v>
      </c>
      <c r="AV4" s="18" t="s">
        <v>3286</v>
      </c>
      <c r="AW4" s="32" t="s">
        <v>3290</v>
      </c>
      <c r="AX4" s="18" t="s">
        <v>1112</v>
      </c>
      <c r="AY4" s="18" t="s">
        <v>3288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3291</v>
      </c>
      <c r="Q1" s="27" t="s">
        <v>3292</v>
      </c>
      <c r="R1" s="27" t="s">
        <v>3293</v>
      </c>
      <c r="S1" s="27" t="s">
        <v>3294</v>
      </c>
      <c r="T1" s="27" t="s">
        <v>3295</v>
      </c>
      <c r="U1" s="27" t="s">
        <v>3296</v>
      </c>
      <c r="V1" s="27" t="s">
        <v>3297</v>
      </c>
      <c r="W1" s="27" t="s">
        <v>3298</v>
      </c>
      <c r="X1" s="30" t="s">
        <v>3299</v>
      </c>
      <c r="Y1" s="30" t="s">
        <v>3300</v>
      </c>
      <c r="Z1" s="30" t="s">
        <v>3301</v>
      </c>
      <c r="AA1" s="30" t="s">
        <v>3302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955</v>
      </c>
      <c r="B2" s="18" t="s">
        <v>955</v>
      </c>
      <c r="C2" s="18" t="s">
        <v>956</v>
      </c>
      <c r="D2" s="18" t="n">
        <v>2019</v>
      </c>
      <c r="E2" s="18" t="s">
        <v>3303</v>
      </c>
      <c r="F2" s="18" t="s">
        <v>942</v>
      </c>
      <c r="G2" s="18" t="s">
        <v>943</v>
      </c>
      <c r="H2" s="18" t="n">
        <v>29.7</v>
      </c>
      <c r="I2" s="18" t="n">
        <v>76.96</v>
      </c>
      <c r="J2" s="18" t="s">
        <v>83</v>
      </c>
      <c r="K2" s="18" t="n">
        <v>2013</v>
      </c>
      <c r="L2" s="18" t="s">
        <v>84</v>
      </c>
      <c r="M2" s="18" t="s">
        <v>85</v>
      </c>
      <c r="N2" s="18" t="s">
        <v>86</v>
      </c>
      <c r="O2" s="18" t="s">
        <v>2043</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3304</v>
      </c>
      <c r="AS2" s="18" t="s">
        <v>2337</v>
      </c>
      <c r="AT2" s="18" t="s">
        <v>3305</v>
      </c>
      <c r="AU2" s="18" t="s">
        <v>2339</v>
      </c>
      <c r="AV2" s="18" t="s">
        <v>3306</v>
      </c>
      <c r="AW2" s="32" t="s">
        <v>3307</v>
      </c>
      <c r="AX2" s="18" t="s">
        <v>962</v>
      </c>
      <c r="AY2" s="18" t="s">
        <v>3308</v>
      </c>
      <c r="BA2" s="33" t="s">
        <v>1363</v>
      </c>
    </row>
    <row r="3" customFormat="false" ht="14.25" hidden="false" customHeight="true" outlineLevel="0" collapsed="false">
      <c r="A3" s="18" t="s">
        <v>955</v>
      </c>
      <c r="B3" s="18" t="s">
        <v>955</v>
      </c>
      <c r="C3" s="18" t="s">
        <v>956</v>
      </c>
      <c r="D3" s="18" t="n">
        <v>2019</v>
      </c>
      <c r="E3" s="18" t="s">
        <v>3303</v>
      </c>
      <c r="F3" s="18" t="s">
        <v>942</v>
      </c>
      <c r="G3" s="18" t="s">
        <v>943</v>
      </c>
      <c r="H3" s="18" t="n">
        <v>29.7</v>
      </c>
      <c r="I3" s="18" t="n">
        <v>76.96</v>
      </c>
      <c r="J3" s="18" t="s">
        <v>83</v>
      </c>
      <c r="K3" s="18" t="n">
        <v>2013</v>
      </c>
      <c r="L3" s="18" t="s">
        <v>84</v>
      </c>
      <c r="M3" s="18" t="s">
        <v>85</v>
      </c>
      <c r="N3" s="18" t="s">
        <v>2050</v>
      </c>
      <c r="O3" s="18" t="s">
        <v>2051</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3304</v>
      </c>
      <c r="AS3" s="18" t="s">
        <v>2337</v>
      </c>
      <c r="AT3" s="18" t="s">
        <v>3305</v>
      </c>
      <c r="AU3" s="18" t="s">
        <v>2339</v>
      </c>
      <c r="AV3" s="18" t="s">
        <v>3309</v>
      </c>
      <c r="AW3" s="32" t="s">
        <v>3310</v>
      </c>
      <c r="AX3" s="18" t="s">
        <v>962</v>
      </c>
      <c r="AY3" s="18" t="s">
        <v>3308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3311</v>
      </c>
      <c r="Q1" s="27" t="s">
        <v>3312</v>
      </c>
      <c r="R1" s="27" t="s">
        <v>3313</v>
      </c>
      <c r="S1" s="27" t="s">
        <v>3314</v>
      </c>
      <c r="T1" s="27" t="s">
        <v>3315</v>
      </c>
      <c r="U1" s="27" t="s">
        <v>3316</v>
      </c>
      <c r="V1" s="27" t="s">
        <v>3317</v>
      </c>
      <c r="W1" s="27" t="s">
        <v>3318</v>
      </c>
      <c r="X1" s="30" t="s">
        <v>3319</v>
      </c>
      <c r="Y1" s="30" t="s">
        <v>3320</v>
      </c>
      <c r="Z1" s="30" t="s">
        <v>3321</v>
      </c>
      <c r="AA1" s="30" t="s">
        <v>3322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955</v>
      </c>
      <c r="B2" s="18" t="s">
        <v>955</v>
      </c>
      <c r="C2" s="18" t="s">
        <v>956</v>
      </c>
      <c r="D2" s="18" t="n">
        <v>2019</v>
      </c>
      <c r="E2" s="18" t="s">
        <v>3303</v>
      </c>
      <c r="F2" s="18" t="s">
        <v>942</v>
      </c>
      <c r="G2" s="18" t="s">
        <v>943</v>
      </c>
      <c r="H2" s="18" t="n">
        <v>29.7</v>
      </c>
      <c r="I2" s="18" t="n">
        <v>76.96</v>
      </c>
      <c r="J2" s="18" t="s">
        <v>83</v>
      </c>
      <c r="K2" s="18" t="n">
        <v>2013</v>
      </c>
      <c r="L2" s="18" t="s">
        <v>84</v>
      </c>
      <c r="M2" s="18" t="s">
        <v>85</v>
      </c>
      <c r="N2" s="18" t="s">
        <v>86</v>
      </c>
      <c r="O2" s="18" t="s">
        <v>2043</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3323</v>
      </c>
      <c r="AS2" s="18" t="s">
        <v>2337</v>
      </c>
      <c r="AT2" s="18" t="s">
        <v>3305</v>
      </c>
      <c r="AU2" s="18" t="s">
        <v>2339</v>
      </c>
      <c r="AV2" s="18" t="s">
        <v>3306</v>
      </c>
      <c r="AW2" s="32" t="s">
        <v>3324</v>
      </c>
      <c r="AX2" s="18" t="s">
        <v>962</v>
      </c>
      <c r="AY2" s="18" t="s">
        <v>3308</v>
      </c>
      <c r="BA2" s="33" t="s">
        <v>1366</v>
      </c>
    </row>
    <row r="3" customFormat="false" ht="14.25" hidden="false" customHeight="true" outlineLevel="0" collapsed="false">
      <c r="A3" s="18" t="s">
        <v>955</v>
      </c>
      <c r="B3" s="18" t="s">
        <v>955</v>
      </c>
      <c r="C3" s="18" t="s">
        <v>956</v>
      </c>
      <c r="D3" s="18" t="n">
        <v>2019</v>
      </c>
      <c r="E3" s="18" t="s">
        <v>3303</v>
      </c>
      <c r="F3" s="18" t="s">
        <v>942</v>
      </c>
      <c r="G3" s="18" t="s">
        <v>943</v>
      </c>
      <c r="H3" s="18" t="n">
        <v>29.7</v>
      </c>
      <c r="I3" s="18" t="n">
        <v>76.96</v>
      </c>
      <c r="J3" s="18" t="s">
        <v>83</v>
      </c>
      <c r="K3" s="18" t="n">
        <v>2013</v>
      </c>
      <c r="L3" s="18" t="s">
        <v>84</v>
      </c>
      <c r="M3" s="18" t="s">
        <v>85</v>
      </c>
      <c r="N3" s="18" t="s">
        <v>2050</v>
      </c>
      <c r="O3" s="18" t="s">
        <v>2051</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3323</v>
      </c>
      <c r="AS3" s="18" t="s">
        <v>2337</v>
      </c>
      <c r="AT3" s="18" t="s">
        <v>3305</v>
      </c>
      <c r="AU3" s="18" t="s">
        <v>2339</v>
      </c>
      <c r="AV3" s="18" t="s">
        <v>3309</v>
      </c>
      <c r="AW3" s="32" t="s">
        <v>3325</v>
      </c>
      <c r="AX3" s="18" t="s">
        <v>962</v>
      </c>
      <c r="AY3" s="18" t="s">
        <v>3308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3326</v>
      </c>
      <c r="Q1" s="27" t="s">
        <v>3327</v>
      </c>
      <c r="R1" s="27" t="s">
        <v>3328</v>
      </c>
      <c r="S1" s="27" t="s">
        <v>3329</v>
      </c>
      <c r="T1" s="27" t="s">
        <v>3330</v>
      </c>
      <c r="U1" s="27" t="s">
        <v>3331</v>
      </c>
      <c r="V1" s="27" t="s">
        <v>3332</v>
      </c>
      <c r="W1" s="27" t="s">
        <v>3333</v>
      </c>
      <c r="X1" s="30" t="s">
        <v>3334</v>
      </c>
      <c r="Y1" s="30" t="s">
        <v>3335</v>
      </c>
      <c r="Z1" s="30" t="s">
        <v>3336</v>
      </c>
      <c r="AA1" s="30" t="s">
        <v>3337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955</v>
      </c>
      <c r="B2" s="18" t="s">
        <v>955</v>
      </c>
      <c r="C2" s="18" t="s">
        <v>956</v>
      </c>
      <c r="D2" s="18" t="n">
        <v>2019</v>
      </c>
      <c r="E2" s="18" t="s">
        <v>3303</v>
      </c>
      <c r="F2" s="18" t="s">
        <v>942</v>
      </c>
      <c r="G2" s="18" t="s">
        <v>943</v>
      </c>
      <c r="H2" s="18" t="n">
        <v>29.7</v>
      </c>
      <c r="I2" s="18" t="n">
        <v>76.96</v>
      </c>
      <c r="J2" s="18" t="s">
        <v>83</v>
      </c>
      <c r="K2" s="18" t="n">
        <v>2013</v>
      </c>
      <c r="L2" s="18" t="s">
        <v>84</v>
      </c>
      <c r="M2" s="18" t="s">
        <v>85</v>
      </c>
      <c r="N2" s="18" t="s">
        <v>86</v>
      </c>
      <c r="O2" s="18" t="s">
        <v>2043</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3338</v>
      </c>
      <c r="AS2" s="18" t="s">
        <v>2337</v>
      </c>
      <c r="AT2" s="18" t="s">
        <v>3305</v>
      </c>
      <c r="AU2" s="18" t="s">
        <v>2339</v>
      </c>
      <c r="AV2" s="18" t="s">
        <v>3306</v>
      </c>
      <c r="AW2" s="32" t="s">
        <v>3339</v>
      </c>
      <c r="AX2" s="18" t="s">
        <v>962</v>
      </c>
      <c r="AY2" s="18" t="s">
        <v>3308</v>
      </c>
      <c r="BA2" s="33" t="s">
        <v>1368</v>
      </c>
    </row>
    <row r="3" customFormat="false" ht="14.25" hidden="false" customHeight="true" outlineLevel="0" collapsed="false">
      <c r="A3" s="18" t="s">
        <v>955</v>
      </c>
      <c r="B3" s="18" t="s">
        <v>955</v>
      </c>
      <c r="C3" s="18" t="s">
        <v>956</v>
      </c>
      <c r="D3" s="18" t="n">
        <v>2019</v>
      </c>
      <c r="E3" s="18" t="s">
        <v>3303</v>
      </c>
      <c r="F3" s="18" t="s">
        <v>942</v>
      </c>
      <c r="G3" s="18" t="s">
        <v>943</v>
      </c>
      <c r="H3" s="18" t="n">
        <v>29.7</v>
      </c>
      <c r="I3" s="18" t="n">
        <v>76.96</v>
      </c>
      <c r="J3" s="18" t="s">
        <v>83</v>
      </c>
      <c r="K3" s="18" t="n">
        <v>2013</v>
      </c>
      <c r="L3" s="18" t="s">
        <v>84</v>
      </c>
      <c r="M3" s="18" t="s">
        <v>85</v>
      </c>
      <c r="N3" s="18" t="s">
        <v>2050</v>
      </c>
      <c r="O3" s="18" t="s">
        <v>2051</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3338</v>
      </c>
      <c r="AS3" s="18" t="s">
        <v>2337</v>
      </c>
      <c r="AT3" s="18" t="s">
        <v>3305</v>
      </c>
      <c r="AU3" s="18" t="s">
        <v>2339</v>
      </c>
      <c r="AV3" s="18" t="s">
        <v>3309</v>
      </c>
      <c r="AW3" s="32" t="s">
        <v>3340</v>
      </c>
      <c r="AX3" s="18" t="s">
        <v>962</v>
      </c>
      <c r="AY3" s="18" t="s">
        <v>3308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3341</v>
      </c>
      <c r="Q1" s="27" t="s">
        <v>3342</v>
      </c>
      <c r="R1" s="27" t="s">
        <v>3343</v>
      </c>
      <c r="S1" s="27" t="s">
        <v>3344</v>
      </c>
      <c r="T1" s="27" t="s">
        <v>3345</v>
      </c>
      <c r="U1" s="27" t="s">
        <v>3346</v>
      </c>
      <c r="V1" s="27" t="s">
        <v>3347</v>
      </c>
      <c r="W1" s="27" t="s">
        <v>3348</v>
      </c>
      <c r="X1" s="30" t="s">
        <v>3349</v>
      </c>
      <c r="Y1" s="30" t="s">
        <v>3350</v>
      </c>
      <c r="Z1" s="30" t="s">
        <v>3351</v>
      </c>
      <c r="AA1" s="30" t="s">
        <v>3352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955</v>
      </c>
      <c r="B2" s="18" t="s">
        <v>955</v>
      </c>
      <c r="C2" s="18" t="s">
        <v>956</v>
      </c>
      <c r="D2" s="18" t="n">
        <v>2019</v>
      </c>
      <c r="E2" s="18" t="s">
        <v>3303</v>
      </c>
      <c r="F2" s="18" t="s">
        <v>942</v>
      </c>
      <c r="G2" s="18" t="s">
        <v>943</v>
      </c>
      <c r="H2" s="18" t="n">
        <v>29.7</v>
      </c>
      <c r="I2" s="18" t="n">
        <v>76.96</v>
      </c>
      <c r="J2" s="18" t="s">
        <v>83</v>
      </c>
      <c r="K2" s="18" t="n">
        <v>2013</v>
      </c>
      <c r="L2" s="18" t="s">
        <v>84</v>
      </c>
      <c r="M2" s="18" t="s">
        <v>85</v>
      </c>
      <c r="N2" s="18" t="s">
        <v>86</v>
      </c>
      <c r="O2" s="18" t="s">
        <v>2043</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3353</v>
      </c>
      <c r="AS2" s="18" t="s">
        <v>2337</v>
      </c>
      <c r="AT2" s="18" t="s">
        <v>3305</v>
      </c>
      <c r="AU2" s="18" t="s">
        <v>2339</v>
      </c>
      <c r="AV2" s="18" t="s">
        <v>3306</v>
      </c>
      <c r="AW2" s="32" t="s">
        <v>3354</v>
      </c>
      <c r="AX2" s="18" t="s">
        <v>962</v>
      </c>
      <c r="AY2" s="18" t="s">
        <v>3308</v>
      </c>
      <c r="BA2" s="33" t="s">
        <v>1370</v>
      </c>
    </row>
    <row r="3" customFormat="false" ht="14.25" hidden="false" customHeight="true" outlineLevel="0" collapsed="false">
      <c r="A3" s="18" t="s">
        <v>955</v>
      </c>
      <c r="B3" s="18" t="s">
        <v>955</v>
      </c>
      <c r="C3" s="18" t="s">
        <v>956</v>
      </c>
      <c r="D3" s="18" t="n">
        <v>2019</v>
      </c>
      <c r="E3" s="18" t="s">
        <v>3303</v>
      </c>
      <c r="F3" s="18" t="s">
        <v>942</v>
      </c>
      <c r="G3" s="18" t="s">
        <v>943</v>
      </c>
      <c r="H3" s="18" t="n">
        <v>29.7</v>
      </c>
      <c r="I3" s="18" t="n">
        <v>76.96</v>
      </c>
      <c r="J3" s="18" t="s">
        <v>83</v>
      </c>
      <c r="K3" s="18" t="n">
        <v>2013</v>
      </c>
      <c r="L3" s="18" t="s">
        <v>84</v>
      </c>
      <c r="M3" s="18" t="s">
        <v>85</v>
      </c>
      <c r="N3" s="18" t="s">
        <v>2050</v>
      </c>
      <c r="O3" s="18" t="s">
        <v>2051</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3353</v>
      </c>
      <c r="AS3" s="18" t="s">
        <v>2337</v>
      </c>
      <c r="AT3" s="18" t="s">
        <v>3305</v>
      </c>
      <c r="AU3" s="18" t="s">
        <v>2339</v>
      </c>
      <c r="AV3" s="18" t="s">
        <v>3309</v>
      </c>
      <c r="AW3" s="32" t="s">
        <v>3355</v>
      </c>
      <c r="AX3" s="18" t="s">
        <v>962</v>
      </c>
      <c r="AY3" s="18" t="s">
        <v>3308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3356</v>
      </c>
      <c r="Q1" s="27" t="s">
        <v>3357</v>
      </c>
      <c r="R1" s="27" t="s">
        <v>3358</v>
      </c>
      <c r="S1" s="27" t="s">
        <v>3359</v>
      </c>
      <c r="T1" s="27" t="s">
        <v>3360</v>
      </c>
      <c r="U1" s="27" t="s">
        <v>3361</v>
      </c>
      <c r="V1" s="27" t="s">
        <v>3362</v>
      </c>
      <c r="W1" s="27" t="s">
        <v>3363</v>
      </c>
      <c r="X1" s="30" t="s">
        <v>3364</v>
      </c>
      <c r="Y1" s="30" t="s">
        <v>3365</v>
      </c>
      <c r="Z1" s="30" t="s">
        <v>3366</v>
      </c>
      <c r="AA1" s="30" t="s">
        <v>3367</v>
      </c>
      <c r="AB1" s="27" t="s">
        <v>3368</v>
      </c>
      <c r="AC1" s="27" t="s">
        <v>3369</v>
      </c>
      <c r="AD1" s="27" t="s">
        <v>3370</v>
      </c>
      <c r="AE1" s="28" t="s">
        <v>35</v>
      </c>
      <c r="AF1" s="28" t="s">
        <v>33</v>
      </c>
      <c r="AG1" s="28" t="s">
        <v>37</v>
      </c>
      <c r="AH1" s="21" t="s">
        <v>73</v>
      </c>
      <c r="AI1" s="21" t="s">
        <v>826</v>
      </c>
      <c r="AJ1" s="21" t="s">
        <v>827</v>
      </c>
      <c r="AK1" s="21" t="s">
        <v>74</v>
      </c>
      <c r="AL1" s="21" t="s">
        <v>2036</v>
      </c>
      <c r="AM1" s="21" t="s">
        <v>2037</v>
      </c>
      <c r="AN1" s="21" t="s">
        <v>828</v>
      </c>
      <c r="AO1" s="21" t="s">
        <v>829</v>
      </c>
      <c r="AP1" s="21" t="s">
        <v>75</v>
      </c>
      <c r="AQ1" s="21" t="s">
        <v>824</v>
      </c>
      <c r="AR1" s="21" t="s">
        <v>825</v>
      </c>
      <c r="AS1" s="21" t="s">
        <v>822</v>
      </c>
      <c r="AT1" s="21" t="s">
        <v>823</v>
      </c>
      <c r="AU1" s="22" t="s">
        <v>76</v>
      </c>
      <c r="AV1" s="22" t="s">
        <v>77</v>
      </c>
      <c r="AW1" s="22" t="s">
        <v>2038</v>
      </c>
      <c r="AX1" s="22" t="s">
        <v>2039</v>
      </c>
      <c r="AY1" s="22" t="s">
        <v>78</v>
      </c>
      <c r="AZ1" s="22" t="s">
        <v>841</v>
      </c>
      <c r="BA1" s="22" t="s">
        <v>2040</v>
      </c>
      <c r="BB1" s="22" t="s">
        <v>2041</v>
      </c>
      <c r="BD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3371</v>
      </c>
      <c r="O2" s="18" t="s">
        <v>3372</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729</v>
      </c>
      <c r="AV2" s="18" t="s">
        <v>2044</v>
      </c>
      <c r="AW2" s="18" t="s">
        <v>2045</v>
      </c>
      <c r="AX2" s="18" t="s">
        <v>2046</v>
      </c>
      <c r="AY2" s="18" t="s">
        <v>2102</v>
      </c>
      <c r="AZ2" s="32" t="s">
        <v>3373</v>
      </c>
      <c r="BA2" s="18" t="s">
        <v>928</v>
      </c>
      <c r="BB2" s="18" t="s">
        <v>3374</v>
      </c>
      <c r="BD2" s="33" t="s">
        <v>1371</v>
      </c>
    </row>
    <row r="3" customFormat="false" ht="15" hidden="false" customHeight="true" outlineLevel="0" collapsed="false">
      <c r="A3" s="18" t="n">
        <v>168</v>
      </c>
      <c r="B3" s="18" t="n">
        <v>168</v>
      </c>
      <c r="C3" s="18" t="s">
        <v>913</v>
      </c>
      <c r="D3" s="18" t="n">
        <v>2020</v>
      </c>
      <c r="E3" s="18" t="s">
        <v>914</v>
      </c>
      <c r="F3" s="18" t="s">
        <v>917</v>
      </c>
      <c r="G3" s="18" t="s">
        <v>918</v>
      </c>
      <c r="H3" s="18" t="n">
        <v>30.933</v>
      </c>
      <c r="I3" s="18" t="n">
        <v>75.867</v>
      </c>
      <c r="J3" s="18" t="s">
        <v>921</v>
      </c>
      <c r="K3" s="18" t="n">
        <v>2016</v>
      </c>
      <c r="L3" s="18" t="s">
        <v>84</v>
      </c>
      <c r="M3" s="18" t="s">
        <v>85</v>
      </c>
      <c r="N3" s="18" t="s">
        <v>3375</v>
      </c>
      <c r="O3" s="18" t="s">
        <v>3376</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729</v>
      </c>
      <c r="AV3" s="18" t="s">
        <v>2044</v>
      </c>
      <c r="AW3" s="18" t="s">
        <v>2045</v>
      </c>
      <c r="AX3" s="18" t="s">
        <v>2046</v>
      </c>
      <c r="AY3" s="18" t="s">
        <v>3377</v>
      </c>
      <c r="AZ3" s="32" t="s">
        <v>3378</v>
      </c>
      <c r="BA3" s="18" t="s">
        <v>928</v>
      </c>
      <c r="BB3" s="18" t="s">
        <v>3379</v>
      </c>
    </row>
    <row r="4" customFormat="false" ht="15" hidden="false" customHeight="true" outlineLevel="0" collapsed="false">
      <c r="A4" s="5" t="s">
        <v>982</v>
      </c>
      <c r="B4" s="5" t="s">
        <v>982</v>
      </c>
      <c r="C4" s="5" t="s">
        <v>983</v>
      </c>
      <c r="D4" s="5" t="n">
        <v>2023</v>
      </c>
      <c r="E4" s="5" t="s">
        <v>984</v>
      </c>
      <c r="F4" s="5" t="s">
        <v>987</v>
      </c>
      <c r="G4" s="5" t="s">
        <v>988</v>
      </c>
      <c r="H4" s="5" t="n">
        <v>35.27</v>
      </c>
      <c r="I4" s="5" t="n">
        <v>119.38</v>
      </c>
      <c r="J4" s="5" t="s">
        <v>921</v>
      </c>
      <c r="K4" s="5" t="n">
        <v>2020</v>
      </c>
      <c r="L4" s="5" t="s">
        <v>872</v>
      </c>
      <c r="M4" s="5"/>
      <c r="N4" s="5" t="s">
        <v>2573</v>
      </c>
      <c r="O4" s="5" t="s">
        <v>3380</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729</v>
      </c>
      <c r="AV4" s="5" t="s">
        <v>2063</v>
      </c>
      <c r="AW4" s="5" t="s">
        <v>3381</v>
      </c>
      <c r="AX4" s="5" t="s">
        <v>2065</v>
      </c>
      <c r="AY4" s="5" t="s">
        <v>3382</v>
      </c>
      <c r="AZ4" s="23" t="s">
        <v>3383</v>
      </c>
      <c r="BA4" s="5" t="s">
        <v>998</v>
      </c>
      <c r="BB4" s="5" t="s">
        <v>3384</v>
      </c>
    </row>
    <row r="5" customFormat="false" ht="15" hidden="false" customHeight="true" outlineLevel="0" collapsed="false">
      <c r="A5" s="5" t="s">
        <v>982</v>
      </c>
      <c r="B5" s="5" t="s">
        <v>982</v>
      </c>
      <c r="C5" s="5" t="s">
        <v>983</v>
      </c>
      <c r="D5" s="5" t="n">
        <v>2023</v>
      </c>
      <c r="E5" s="5" t="s">
        <v>984</v>
      </c>
      <c r="F5" s="5" t="s">
        <v>987</v>
      </c>
      <c r="G5" s="5" t="s">
        <v>988</v>
      </c>
      <c r="H5" s="5" t="n">
        <v>35.27</v>
      </c>
      <c r="I5" s="5" t="n">
        <v>119.38</v>
      </c>
      <c r="J5" s="5" t="s">
        <v>921</v>
      </c>
      <c r="K5" s="5" t="n">
        <v>2020</v>
      </c>
      <c r="L5" s="5" t="s">
        <v>872</v>
      </c>
      <c r="M5" s="5"/>
      <c r="N5" s="5" t="s">
        <v>3371</v>
      </c>
      <c r="O5" s="5" t="s">
        <v>3385</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729</v>
      </c>
      <c r="AV5" s="5" t="s">
        <v>2063</v>
      </c>
      <c r="AW5" s="5" t="s">
        <v>3381</v>
      </c>
      <c r="AX5" s="5" t="s">
        <v>2065</v>
      </c>
      <c r="AY5" s="5" t="s">
        <v>3382</v>
      </c>
      <c r="AZ5" s="23" t="s">
        <v>3383</v>
      </c>
      <c r="BA5" s="5" t="s">
        <v>998</v>
      </c>
      <c r="BB5" s="5" t="s">
        <v>3384</v>
      </c>
    </row>
    <row r="6" customFormat="false" ht="15" hidden="false" customHeight="true" outlineLevel="0" collapsed="false">
      <c r="A6" s="5" t="s">
        <v>982</v>
      </c>
      <c r="B6" s="5" t="s">
        <v>982</v>
      </c>
      <c r="C6" s="5" t="s">
        <v>983</v>
      </c>
      <c r="D6" s="5" t="n">
        <v>2023</v>
      </c>
      <c r="E6" s="5" t="s">
        <v>984</v>
      </c>
      <c r="F6" s="5" t="s">
        <v>987</v>
      </c>
      <c r="G6" s="5" t="s">
        <v>988</v>
      </c>
      <c r="H6" s="5" t="n">
        <v>35.27</v>
      </c>
      <c r="I6" s="5" t="n">
        <v>119.38</v>
      </c>
      <c r="J6" s="5" t="s">
        <v>921</v>
      </c>
      <c r="K6" s="5" t="n">
        <v>2020</v>
      </c>
      <c r="L6" s="5" t="s">
        <v>872</v>
      </c>
      <c r="M6" s="5"/>
      <c r="N6" s="5" t="s">
        <v>3375</v>
      </c>
      <c r="O6" s="5" t="s">
        <v>3386</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729</v>
      </c>
      <c r="AV6" s="5" t="s">
        <v>2063</v>
      </c>
      <c r="AW6" s="5" t="s">
        <v>3381</v>
      </c>
      <c r="AX6" s="5" t="s">
        <v>2065</v>
      </c>
      <c r="AY6" s="5" t="s">
        <v>3382</v>
      </c>
      <c r="AZ6" s="23" t="s">
        <v>3383</v>
      </c>
      <c r="BA6" s="5" t="s">
        <v>998</v>
      </c>
      <c r="BB6" s="5" t="s">
        <v>3384</v>
      </c>
    </row>
    <row r="7" customFormat="false" ht="14.25" hidden="false" customHeight="true" outlineLevel="0" collapsed="false">
      <c r="A7" s="18" t="s">
        <v>955</v>
      </c>
      <c r="B7" s="18" t="s">
        <v>955</v>
      </c>
      <c r="C7" s="18" t="s">
        <v>956</v>
      </c>
      <c r="D7" s="18" t="n">
        <v>2019</v>
      </c>
      <c r="E7" s="18" t="s">
        <v>3303</v>
      </c>
      <c r="F7" s="18" t="s">
        <v>942</v>
      </c>
      <c r="G7" s="18" t="s">
        <v>943</v>
      </c>
      <c r="H7" s="18" t="n">
        <v>29.7</v>
      </c>
      <c r="I7" s="18" t="n">
        <v>76.96</v>
      </c>
      <c r="J7" s="18" t="s">
        <v>83</v>
      </c>
      <c r="K7" s="18" t="n">
        <v>2013</v>
      </c>
      <c r="L7" s="18" t="s">
        <v>84</v>
      </c>
      <c r="M7" s="18" t="s">
        <v>85</v>
      </c>
      <c r="N7" s="18" t="s">
        <v>3371</v>
      </c>
      <c r="O7" s="18" t="s">
        <v>3387</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729</v>
      </c>
      <c r="AV7" s="18" t="s">
        <v>2337</v>
      </c>
      <c r="AW7" s="18" t="s">
        <v>3305</v>
      </c>
      <c r="AX7" s="18" t="s">
        <v>2339</v>
      </c>
      <c r="AY7" s="18" t="s">
        <v>3388</v>
      </c>
      <c r="AZ7" s="32" t="s">
        <v>3389</v>
      </c>
      <c r="BA7" s="18" t="s">
        <v>962</v>
      </c>
      <c r="BB7" s="18" t="s">
        <v>3390</v>
      </c>
    </row>
    <row r="8" customFormat="false" ht="14.25" hidden="false" customHeight="true" outlineLevel="0" collapsed="false">
      <c r="A8" s="18" t="s">
        <v>955</v>
      </c>
      <c r="B8" s="18" t="s">
        <v>955</v>
      </c>
      <c r="C8" s="18" t="s">
        <v>956</v>
      </c>
      <c r="D8" s="18" t="n">
        <v>2019</v>
      </c>
      <c r="E8" s="18" t="s">
        <v>3303</v>
      </c>
      <c r="F8" s="18" t="s">
        <v>942</v>
      </c>
      <c r="G8" s="18" t="s">
        <v>943</v>
      </c>
      <c r="H8" s="18" t="n">
        <v>29.7</v>
      </c>
      <c r="I8" s="18" t="n">
        <v>76.96</v>
      </c>
      <c r="J8" s="18" t="s">
        <v>83</v>
      </c>
      <c r="K8" s="18" t="n">
        <v>2013</v>
      </c>
      <c r="L8" s="18" t="s">
        <v>84</v>
      </c>
      <c r="M8" s="18" t="s">
        <v>85</v>
      </c>
      <c r="N8" s="18" t="s">
        <v>3375</v>
      </c>
      <c r="O8" s="18" t="s">
        <v>3376</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729</v>
      </c>
      <c r="AV8" s="18" t="s">
        <v>2337</v>
      </c>
      <c r="AW8" s="18" t="s">
        <v>3305</v>
      </c>
      <c r="AX8" s="18" t="s">
        <v>2339</v>
      </c>
      <c r="AY8" s="18" t="s">
        <v>3391</v>
      </c>
      <c r="AZ8" s="32" t="s">
        <v>3392</v>
      </c>
      <c r="BA8" s="18" t="s">
        <v>962</v>
      </c>
      <c r="BB8" s="18" t="s">
        <v>3393</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3371</v>
      </c>
      <c r="O9" s="18" t="s">
        <v>3387</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729</v>
      </c>
      <c r="AV9" s="18" t="s">
        <v>2076</v>
      </c>
      <c r="AW9" s="18" t="s">
        <v>2077</v>
      </c>
      <c r="AX9" s="18" t="s">
        <v>2078</v>
      </c>
      <c r="AY9" s="18" t="s">
        <v>2047</v>
      </c>
      <c r="AZ9" s="32" t="s">
        <v>3394</v>
      </c>
      <c r="BA9" s="18" t="s">
        <v>979</v>
      </c>
      <c r="BB9" s="18" t="s">
        <v>3395</v>
      </c>
    </row>
    <row r="10" customFormat="false" ht="14.25" hidden="false" customHeight="true" outlineLevel="0" collapsed="false">
      <c r="A10" s="18" t="s">
        <v>965</v>
      </c>
      <c r="B10" s="18" t="s">
        <v>965</v>
      </c>
      <c r="C10" s="18" t="s">
        <v>966</v>
      </c>
      <c r="D10" s="18" t="n">
        <v>2020</v>
      </c>
      <c r="E10" s="18" t="s">
        <v>967</v>
      </c>
      <c r="F10" s="18" t="s">
        <v>866</v>
      </c>
      <c r="G10" s="18" t="s">
        <v>970</v>
      </c>
      <c r="H10" s="18" t="n">
        <v>28.4</v>
      </c>
      <c r="I10" s="18" t="n">
        <v>77.1</v>
      </c>
      <c r="J10" s="18" t="s">
        <v>83</v>
      </c>
      <c r="K10" s="18" t="s">
        <v>2075</v>
      </c>
      <c r="L10" s="18" t="s">
        <v>853</v>
      </c>
      <c r="M10" s="18" t="s">
        <v>85</v>
      </c>
      <c r="N10" s="18" t="s">
        <v>3371</v>
      </c>
      <c r="O10" s="18" t="s">
        <v>3387</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729</v>
      </c>
      <c r="AV10" s="18" t="s">
        <v>2082</v>
      </c>
      <c r="AW10" s="18" t="s">
        <v>2077</v>
      </c>
      <c r="AX10" s="18" t="s">
        <v>2078</v>
      </c>
      <c r="AY10" s="18" t="s">
        <v>2047</v>
      </c>
      <c r="AZ10" s="32" t="s">
        <v>3396</v>
      </c>
      <c r="BA10" s="18" t="s">
        <v>979</v>
      </c>
      <c r="BB10" s="18" t="s">
        <v>3395</v>
      </c>
    </row>
    <row r="11" customFormat="false" ht="14.25" hidden="false" customHeight="true" outlineLevel="0" collapsed="false">
      <c r="A11" s="18" t="s">
        <v>965</v>
      </c>
      <c r="B11" s="18" t="s">
        <v>965</v>
      </c>
      <c r="C11" s="18" t="s">
        <v>966</v>
      </c>
      <c r="D11" s="18" t="n">
        <v>2020</v>
      </c>
      <c r="E11" s="18" t="s">
        <v>967</v>
      </c>
      <c r="F11" s="18" t="s">
        <v>866</v>
      </c>
      <c r="G11" s="18" t="s">
        <v>970</v>
      </c>
      <c r="H11" s="18" t="n">
        <v>28.4</v>
      </c>
      <c r="I11" s="18" t="n">
        <v>77.1</v>
      </c>
      <c r="J11" s="18" t="s">
        <v>83</v>
      </c>
      <c r="K11" s="18" t="s">
        <v>2075</v>
      </c>
      <c r="L11" s="18" t="s">
        <v>853</v>
      </c>
      <c r="M11" s="18" t="s">
        <v>85</v>
      </c>
      <c r="N11" s="18" t="s">
        <v>3371</v>
      </c>
      <c r="O11" s="18" t="s">
        <v>3387</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729</v>
      </c>
      <c r="AV11" s="18" t="s">
        <v>2084</v>
      </c>
      <c r="AW11" s="18" t="s">
        <v>2077</v>
      </c>
      <c r="AX11" s="18" t="s">
        <v>2078</v>
      </c>
      <c r="AY11" s="18" t="s">
        <v>2047</v>
      </c>
      <c r="AZ11" s="32" t="s">
        <v>3397</v>
      </c>
      <c r="BA11" s="18" t="s">
        <v>979</v>
      </c>
      <c r="BB11" s="18" t="s">
        <v>3395</v>
      </c>
    </row>
    <row r="12" customFormat="false" ht="14.25" hidden="false" customHeight="true" outlineLevel="0" collapsed="false">
      <c r="A12" s="18" t="s">
        <v>965</v>
      </c>
      <c r="B12" s="18" t="s">
        <v>965</v>
      </c>
      <c r="C12" s="18" t="s">
        <v>966</v>
      </c>
      <c r="D12" s="18" t="n">
        <v>2020</v>
      </c>
      <c r="E12" s="18" t="s">
        <v>967</v>
      </c>
      <c r="F12" s="18" t="s">
        <v>866</v>
      </c>
      <c r="G12" s="18" t="s">
        <v>970</v>
      </c>
      <c r="H12" s="18" t="n">
        <v>28.4</v>
      </c>
      <c r="I12" s="18" t="n">
        <v>77.1</v>
      </c>
      <c r="J12" s="18" t="s">
        <v>83</v>
      </c>
      <c r="K12" s="18" t="s">
        <v>2075</v>
      </c>
      <c r="L12" s="18" t="s">
        <v>853</v>
      </c>
      <c r="M12" s="18" t="s">
        <v>85</v>
      </c>
      <c r="N12" s="18" t="s">
        <v>3371</v>
      </c>
      <c r="O12" s="18" t="s">
        <v>3387</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729</v>
      </c>
      <c r="AV12" s="18" t="s">
        <v>2086</v>
      </c>
      <c r="AW12" s="18" t="s">
        <v>2077</v>
      </c>
      <c r="AX12" s="18" t="s">
        <v>2078</v>
      </c>
      <c r="AY12" s="18" t="s">
        <v>2047</v>
      </c>
      <c r="AZ12" s="32" t="s">
        <v>3398</v>
      </c>
      <c r="BA12" s="18" t="s">
        <v>979</v>
      </c>
      <c r="BB12" s="18" t="s">
        <v>3395</v>
      </c>
    </row>
    <row r="13" customFormat="false" ht="14.25" hidden="false" customHeight="true" outlineLevel="0" collapsed="false">
      <c r="A13" s="18" t="s">
        <v>965</v>
      </c>
      <c r="B13" s="18" t="s">
        <v>965</v>
      </c>
      <c r="C13" s="18" t="s">
        <v>966</v>
      </c>
      <c r="D13" s="18" t="n">
        <v>2020</v>
      </c>
      <c r="E13" s="18" t="s">
        <v>967</v>
      </c>
      <c r="F13" s="18" t="s">
        <v>866</v>
      </c>
      <c r="G13" s="18" t="s">
        <v>970</v>
      </c>
      <c r="H13" s="18" t="n">
        <v>28.4</v>
      </c>
      <c r="I13" s="18" t="n">
        <v>77.1</v>
      </c>
      <c r="J13" s="18" t="s">
        <v>83</v>
      </c>
      <c r="K13" s="18" t="s">
        <v>2075</v>
      </c>
      <c r="L13" s="18" t="s">
        <v>853</v>
      </c>
      <c r="M13" s="18" t="s">
        <v>85</v>
      </c>
      <c r="N13" s="18" t="s">
        <v>3371</v>
      </c>
      <c r="O13" s="18" t="s">
        <v>3387</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729</v>
      </c>
      <c r="AV13" s="18" t="s">
        <v>2088</v>
      </c>
      <c r="AW13" s="18" t="s">
        <v>2077</v>
      </c>
      <c r="AX13" s="18" t="s">
        <v>2078</v>
      </c>
      <c r="AY13" s="18" t="s">
        <v>2047</v>
      </c>
      <c r="AZ13" s="32" t="s">
        <v>3399</v>
      </c>
      <c r="BA13" s="18" t="s">
        <v>979</v>
      </c>
      <c r="BB13" s="18" t="s">
        <v>3395</v>
      </c>
    </row>
    <row r="14" customFormat="false" ht="14.25" hidden="false" customHeight="true" outlineLevel="0" collapsed="false">
      <c r="A14" s="18" t="s">
        <v>965</v>
      </c>
      <c r="B14" s="18" t="s">
        <v>965</v>
      </c>
      <c r="C14" s="18" t="s">
        <v>966</v>
      </c>
      <c r="D14" s="18" t="n">
        <v>2020</v>
      </c>
      <c r="E14" s="18" t="s">
        <v>967</v>
      </c>
      <c r="F14" s="18" t="s">
        <v>866</v>
      </c>
      <c r="G14" s="18" t="s">
        <v>970</v>
      </c>
      <c r="H14" s="18" t="n">
        <v>28.4</v>
      </c>
      <c r="I14" s="18" t="n">
        <v>77.1</v>
      </c>
      <c r="J14" s="18" t="s">
        <v>83</v>
      </c>
      <c r="K14" s="18" t="s">
        <v>2075</v>
      </c>
      <c r="L14" s="18" t="s">
        <v>853</v>
      </c>
      <c r="M14" s="18" t="s">
        <v>85</v>
      </c>
      <c r="N14" s="18" t="s">
        <v>3371</v>
      </c>
      <c r="O14" s="18" t="s">
        <v>3387</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729</v>
      </c>
      <c r="AV14" s="18" t="s">
        <v>2090</v>
      </c>
      <c r="AW14" s="18" t="s">
        <v>2077</v>
      </c>
      <c r="AX14" s="18" t="s">
        <v>2078</v>
      </c>
      <c r="AY14" s="18" t="s">
        <v>2047</v>
      </c>
      <c r="AZ14" s="32" t="s">
        <v>3400</v>
      </c>
      <c r="BA14" s="18" t="s">
        <v>979</v>
      </c>
      <c r="BB14" s="18" t="s">
        <v>3395</v>
      </c>
    </row>
    <row r="15" customFormat="false" ht="14.25" hidden="false" customHeight="true" outlineLevel="0" collapsed="false">
      <c r="A15" s="18" t="s">
        <v>965</v>
      </c>
      <c r="B15" s="18" t="s">
        <v>965</v>
      </c>
      <c r="C15" s="18" t="s">
        <v>966</v>
      </c>
      <c r="D15" s="18" t="n">
        <v>2020</v>
      </c>
      <c r="E15" s="18" t="s">
        <v>967</v>
      </c>
      <c r="F15" s="18" t="s">
        <v>866</v>
      </c>
      <c r="G15" s="18" t="s">
        <v>970</v>
      </c>
      <c r="H15" s="18" t="n">
        <v>28.4</v>
      </c>
      <c r="I15" s="18" t="n">
        <v>77.1</v>
      </c>
      <c r="J15" s="18" t="s">
        <v>83</v>
      </c>
      <c r="K15" s="18" t="s">
        <v>2075</v>
      </c>
      <c r="L15" s="18" t="s">
        <v>853</v>
      </c>
      <c r="M15" s="18" t="s">
        <v>85</v>
      </c>
      <c r="N15" s="18" t="s">
        <v>3371</v>
      </c>
      <c r="O15" s="18" t="s">
        <v>3387</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729</v>
      </c>
      <c r="AV15" s="18" t="s">
        <v>2092</v>
      </c>
      <c r="AW15" s="18" t="s">
        <v>2077</v>
      </c>
      <c r="AX15" s="18" t="s">
        <v>2078</v>
      </c>
      <c r="AY15" s="18" t="s">
        <v>2047</v>
      </c>
      <c r="AZ15" s="32" t="s">
        <v>3401</v>
      </c>
      <c r="BA15" s="18" t="s">
        <v>979</v>
      </c>
      <c r="BB15" s="18" t="s">
        <v>3395</v>
      </c>
    </row>
    <row r="16" customFormat="false" ht="14.25" hidden="false" customHeight="true" outlineLevel="0" collapsed="false">
      <c r="A16" s="18" t="s">
        <v>965</v>
      </c>
      <c r="B16" s="18" t="s">
        <v>965</v>
      </c>
      <c r="C16" s="18" t="s">
        <v>966</v>
      </c>
      <c r="D16" s="18" t="n">
        <v>2020</v>
      </c>
      <c r="E16" s="18" t="s">
        <v>967</v>
      </c>
      <c r="F16" s="18" t="s">
        <v>866</v>
      </c>
      <c r="G16" s="18" t="s">
        <v>970</v>
      </c>
      <c r="H16" s="18" t="n">
        <v>28.4</v>
      </c>
      <c r="I16" s="18" t="n">
        <v>77.1</v>
      </c>
      <c r="J16" s="18" t="s">
        <v>83</v>
      </c>
      <c r="K16" s="18" t="s">
        <v>2075</v>
      </c>
      <c r="L16" s="18" t="s">
        <v>853</v>
      </c>
      <c r="M16" s="18" t="s">
        <v>85</v>
      </c>
      <c r="N16" s="18" t="s">
        <v>3371</v>
      </c>
      <c r="O16" s="18" t="s">
        <v>3387</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729</v>
      </c>
      <c r="AV16" s="18" t="s">
        <v>2094</v>
      </c>
      <c r="AW16" s="18" t="s">
        <v>2077</v>
      </c>
      <c r="AX16" s="18" t="s">
        <v>2078</v>
      </c>
      <c r="AY16" s="18" t="s">
        <v>2047</v>
      </c>
      <c r="AZ16" s="32" t="s">
        <v>3402</v>
      </c>
      <c r="BA16" s="18" t="s">
        <v>979</v>
      </c>
      <c r="BB16" s="18" t="s">
        <v>3395</v>
      </c>
    </row>
    <row r="17" customFormat="false" ht="14.25" hidden="false" customHeight="true" outlineLevel="0" collapsed="false">
      <c r="A17" s="5" t="s">
        <v>1018</v>
      </c>
      <c r="B17" s="5" t="s">
        <v>1018</v>
      </c>
      <c r="C17" s="5" t="s">
        <v>1019</v>
      </c>
      <c r="D17" s="5" t="n">
        <v>2011</v>
      </c>
      <c r="E17" s="5" t="s">
        <v>1020</v>
      </c>
      <c r="F17" s="5" t="s">
        <v>887</v>
      </c>
      <c r="G17" s="5" t="s">
        <v>1023</v>
      </c>
      <c r="H17" s="5" t="n">
        <v>29.017</v>
      </c>
      <c r="I17" s="5" t="n">
        <v>77.75</v>
      </c>
      <c r="J17" s="5" t="s">
        <v>83</v>
      </c>
      <c r="K17" s="5" t="s">
        <v>2355</v>
      </c>
      <c r="L17" s="5" t="s">
        <v>84</v>
      </c>
      <c r="M17" s="5" t="s">
        <v>85</v>
      </c>
      <c r="N17" s="5" t="s">
        <v>3371</v>
      </c>
      <c r="O17" s="5" t="s">
        <v>3372</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729</v>
      </c>
      <c r="AV17" s="5" t="s">
        <v>2099</v>
      </c>
      <c r="AW17" s="5" t="s">
        <v>3033</v>
      </c>
      <c r="AX17" s="5" t="s">
        <v>2101</v>
      </c>
      <c r="AY17" s="5" t="s">
        <v>3403</v>
      </c>
      <c r="AZ17" s="23" t="s">
        <v>3404</v>
      </c>
      <c r="BA17" s="5" t="s">
        <v>1038</v>
      </c>
      <c r="BB17" s="5" t="s">
        <v>3405</v>
      </c>
    </row>
    <row r="18" customFormat="false" ht="14.25" hidden="false" customHeight="true" outlineLevel="0" collapsed="false">
      <c r="A18" s="5" t="s">
        <v>1018</v>
      </c>
      <c r="B18" s="5" t="s">
        <v>1018</v>
      </c>
      <c r="C18" s="5" t="s">
        <v>1019</v>
      </c>
      <c r="D18" s="5" t="n">
        <v>2011</v>
      </c>
      <c r="E18" s="5" t="s">
        <v>1020</v>
      </c>
      <c r="F18" s="5" t="s">
        <v>887</v>
      </c>
      <c r="G18" s="5" t="s">
        <v>1023</v>
      </c>
      <c r="H18" s="5" t="n">
        <v>29.017</v>
      </c>
      <c r="I18" s="5" t="n">
        <v>77.75</v>
      </c>
      <c r="J18" s="5" t="s">
        <v>83</v>
      </c>
      <c r="K18" s="5" t="s">
        <v>2355</v>
      </c>
      <c r="L18" s="5" t="s">
        <v>84</v>
      </c>
      <c r="M18" s="5" t="s">
        <v>85</v>
      </c>
      <c r="N18" s="5" t="s">
        <v>3371</v>
      </c>
      <c r="O18" s="5" t="s">
        <v>3372</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729</v>
      </c>
      <c r="AV18" s="5" t="s">
        <v>2099</v>
      </c>
      <c r="AW18" s="5" t="s">
        <v>3033</v>
      </c>
      <c r="AX18" s="5" t="s">
        <v>2101</v>
      </c>
      <c r="AY18" s="5" t="s">
        <v>3403</v>
      </c>
      <c r="AZ18" s="23" t="s">
        <v>3406</v>
      </c>
      <c r="BA18" s="5" t="s">
        <v>1038</v>
      </c>
      <c r="BB18" s="5" t="s">
        <v>3405</v>
      </c>
    </row>
    <row r="19" customFormat="false" ht="14.25" hidden="false" customHeight="true" outlineLevel="0" collapsed="false">
      <c r="A19" s="5" t="s">
        <v>1041</v>
      </c>
      <c r="B19" s="5" t="s">
        <v>1041</v>
      </c>
      <c r="C19" s="5" t="s">
        <v>1042</v>
      </c>
      <c r="D19" s="5" t="n">
        <v>2022</v>
      </c>
      <c r="E19" s="5" t="s">
        <v>843</v>
      </c>
      <c r="F19" s="5" t="s">
        <v>1045</v>
      </c>
      <c r="G19" s="5" t="s">
        <v>1046</v>
      </c>
      <c r="H19" s="5" t="n">
        <v>24.724</v>
      </c>
      <c r="I19" s="5" t="n">
        <v>90.437</v>
      </c>
      <c r="J19" s="5" t="s">
        <v>83</v>
      </c>
      <c r="K19" s="5" t="s">
        <v>2111</v>
      </c>
      <c r="L19" s="5" t="s">
        <v>84</v>
      </c>
      <c r="M19" s="5" t="s">
        <v>85</v>
      </c>
      <c r="N19" s="5" t="s">
        <v>3371</v>
      </c>
      <c r="O19" s="5" t="s">
        <v>3372</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729</v>
      </c>
      <c r="AV19" s="5" t="s">
        <v>2112</v>
      </c>
      <c r="AW19" s="5" t="s">
        <v>2113</v>
      </c>
      <c r="AX19" s="5" t="s">
        <v>2114</v>
      </c>
      <c r="AY19" s="5" t="s">
        <v>2115</v>
      </c>
      <c r="AZ19" s="23" t="s">
        <v>3407</v>
      </c>
      <c r="BA19" s="5" t="s">
        <v>1060</v>
      </c>
      <c r="BB19" s="5" t="s">
        <v>3408</v>
      </c>
    </row>
    <row r="20" customFormat="false" ht="14.25" hidden="false" customHeight="true" outlineLevel="0" collapsed="false">
      <c r="A20" s="5" t="s">
        <v>1041</v>
      </c>
      <c r="B20" s="5" t="s">
        <v>1041</v>
      </c>
      <c r="C20" s="5" t="s">
        <v>1042</v>
      </c>
      <c r="D20" s="5" t="n">
        <v>2022</v>
      </c>
      <c r="E20" s="5" t="s">
        <v>843</v>
      </c>
      <c r="F20" s="5" t="s">
        <v>1045</v>
      </c>
      <c r="G20" s="5" t="s">
        <v>1046</v>
      </c>
      <c r="H20" s="5" t="n">
        <v>24.724</v>
      </c>
      <c r="I20" s="5" t="n">
        <v>90.437</v>
      </c>
      <c r="J20" s="5" t="s">
        <v>83</v>
      </c>
      <c r="K20" s="5" t="s">
        <v>2111</v>
      </c>
      <c r="L20" s="5" t="s">
        <v>84</v>
      </c>
      <c r="M20" s="5" t="s">
        <v>85</v>
      </c>
      <c r="N20" s="5" t="s">
        <v>3371</v>
      </c>
      <c r="O20" s="5" t="s">
        <v>3372</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729</v>
      </c>
      <c r="AV20" s="5" t="s">
        <v>2112</v>
      </c>
      <c r="AW20" s="5" t="s">
        <v>2113</v>
      </c>
      <c r="AX20" s="5" t="s">
        <v>2114</v>
      </c>
      <c r="AY20" s="5" t="s">
        <v>2115</v>
      </c>
      <c r="AZ20" s="23" t="s">
        <v>3409</v>
      </c>
      <c r="BA20" s="5" t="s">
        <v>1060</v>
      </c>
      <c r="BB20" s="5" t="s">
        <v>3408</v>
      </c>
    </row>
    <row r="21" customFormat="false" ht="14.25" hidden="false" customHeight="true" outlineLevel="0" collapsed="false">
      <c r="A21" s="5" t="s">
        <v>1064</v>
      </c>
      <c r="B21" s="5" t="s">
        <v>1064</v>
      </c>
      <c r="C21" s="5" t="s">
        <v>1065</v>
      </c>
      <c r="D21" s="5" t="n">
        <v>2022</v>
      </c>
      <c r="E21" s="5" t="s">
        <v>80</v>
      </c>
      <c r="F21" s="5" t="s">
        <v>942</v>
      </c>
      <c r="G21" s="5" t="s">
        <v>943</v>
      </c>
      <c r="H21" s="5" t="n">
        <v>29.706</v>
      </c>
      <c r="I21" s="5" t="n">
        <v>76.956</v>
      </c>
      <c r="J21" s="5" t="s">
        <v>83</v>
      </c>
      <c r="K21" s="5" t="n">
        <v>2019</v>
      </c>
      <c r="L21" s="5" t="s">
        <v>84</v>
      </c>
      <c r="M21" s="5" t="s">
        <v>85</v>
      </c>
      <c r="N21" s="5" t="s">
        <v>2573</v>
      </c>
      <c r="O21" s="5" t="s">
        <v>3410</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729</v>
      </c>
      <c r="AV21" s="5" t="s">
        <v>2119</v>
      </c>
      <c r="AW21" s="5" t="s">
        <v>2120</v>
      </c>
      <c r="AX21" s="5" t="s">
        <v>2121</v>
      </c>
      <c r="AY21" s="5" t="s">
        <v>3411</v>
      </c>
      <c r="AZ21" s="23" t="s">
        <v>3412</v>
      </c>
      <c r="BA21" s="5" t="s">
        <v>1076</v>
      </c>
      <c r="BB21" s="5" t="s">
        <v>3413</v>
      </c>
    </row>
    <row r="22" customFormat="false" ht="14.25" hidden="false" customHeight="true" outlineLevel="0" collapsed="false">
      <c r="A22" s="5" t="s">
        <v>1064</v>
      </c>
      <c r="B22" s="5" t="s">
        <v>1064</v>
      </c>
      <c r="C22" s="5" t="s">
        <v>1065</v>
      </c>
      <c r="D22" s="5" t="n">
        <v>2022</v>
      </c>
      <c r="E22" s="5" t="s">
        <v>80</v>
      </c>
      <c r="F22" s="5" t="s">
        <v>942</v>
      </c>
      <c r="G22" s="5" t="s">
        <v>943</v>
      </c>
      <c r="H22" s="5" t="n">
        <v>29.706</v>
      </c>
      <c r="I22" s="5" t="n">
        <v>76.956</v>
      </c>
      <c r="J22" s="5" t="s">
        <v>83</v>
      </c>
      <c r="K22" s="5" t="n">
        <v>2019</v>
      </c>
      <c r="L22" s="5" t="s">
        <v>84</v>
      </c>
      <c r="M22" s="5" t="s">
        <v>85</v>
      </c>
      <c r="N22" s="5" t="s">
        <v>3371</v>
      </c>
      <c r="O22" s="5" t="s">
        <v>3414</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729</v>
      </c>
      <c r="AV22" s="5" t="s">
        <v>2119</v>
      </c>
      <c r="AW22" s="5" t="s">
        <v>2120</v>
      </c>
      <c r="AX22" s="5" t="s">
        <v>2121</v>
      </c>
      <c r="AY22" s="5" t="s">
        <v>3411</v>
      </c>
      <c r="AZ22" s="23" t="s">
        <v>3412</v>
      </c>
      <c r="BA22" s="5" t="s">
        <v>1076</v>
      </c>
      <c r="BB22" s="5" t="s">
        <v>3413</v>
      </c>
    </row>
    <row r="23" customFormat="false" ht="14.25" hidden="false" customHeight="true" outlineLevel="0" collapsed="false">
      <c r="A23" s="5" t="s">
        <v>1064</v>
      </c>
      <c r="B23" s="5" t="s">
        <v>1064</v>
      </c>
      <c r="C23" s="5" t="s">
        <v>1065</v>
      </c>
      <c r="D23" s="5" t="n">
        <v>2022</v>
      </c>
      <c r="E23" s="5" t="s">
        <v>80</v>
      </c>
      <c r="F23" s="5" t="s">
        <v>942</v>
      </c>
      <c r="G23" s="5" t="s">
        <v>943</v>
      </c>
      <c r="H23" s="5" t="n">
        <v>29.706</v>
      </c>
      <c r="I23" s="5" t="n">
        <v>76.956</v>
      </c>
      <c r="J23" s="5" t="s">
        <v>83</v>
      </c>
      <c r="K23" s="5" t="n">
        <v>2019</v>
      </c>
      <c r="L23" s="5" t="s">
        <v>84</v>
      </c>
      <c r="M23" s="5" t="s">
        <v>85</v>
      </c>
      <c r="N23" s="5" t="s">
        <v>3375</v>
      </c>
      <c r="O23" s="5" t="s">
        <v>3415</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729</v>
      </c>
      <c r="AV23" s="5" t="s">
        <v>2119</v>
      </c>
      <c r="AW23" s="5" t="s">
        <v>2120</v>
      </c>
      <c r="AX23" s="5" t="s">
        <v>2121</v>
      </c>
      <c r="AY23" s="5" t="s">
        <v>3411</v>
      </c>
      <c r="AZ23" s="23" t="s">
        <v>3412</v>
      </c>
      <c r="BA23" s="5" t="s">
        <v>1076</v>
      </c>
      <c r="BB23" s="5" t="s">
        <v>3413</v>
      </c>
    </row>
    <row r="24" customFormat="false" ht="14.25" hidden="false" customHeight="true" outlineLevel="0" collapsed="false">
      <c r="A24" s="5" t="n">
        <v>171</v>
      </c>
      <c r="B24" s="5" t="n">
        <v>171</v>
      </c>
      <c r="C24" s="5" t="s">
        <v>1079</v>
      </c>
      <c r="D24" s="5" t="n">
        <v>2012</v>
      </c>
      <c r="E24" s="5" t="s">
        <v>1080</v>
      </c>
      <c r="F24" s="5" t="s">
        <v>1083</v>
      </c>
      <c r="G24" s="5" t="s">
        <v>1084</v>
      </c>
      <c r="H24" s="5" t="n">
        <v>27.647</v>
      </c>
      <c r="I24" s="5" t="n">
        <v>84.346</v>
      </c>
      <c r="J24" s="5" t="s">
        <v>83</v>
      </c>
      <c r="K24" s="5" t="n">
        <v>2006</v>
      </c>
      <c r="L24" s="5" t="s">
        <v>84</v>
      </c>
      <c r="M24" s="5" t="s">
        <v>85</v>
      </c>
      <c r="N24" s="5" t="s">
        <v>2573</v>
      </c>
      <c r="O24" s="5" t="s">
        <v>3416</v>
      </c>
      <c r="P24" s="5" t="n">
        <f aca="false">12.7+11.6</f>
        <v>24.3</v>
      </c>
      <c r="Q24" s="5" t="n">
        <f aca="false">9.5+10</f>
        <v>19.5</v>
      </c>
      <c r="R24" s="5" t="n">
        <f aca="false">10.9+10.8</f>
        <v>21.7</v>
      </c>
      <c r="S24" s="5"/>
      <c r="T24" s="5"/>
      <c r="U24" s="5"/>
      <c r="V24" s="5" t="n">
        <f aca="false">9.9+9.87</f>
        <v>19.77</v>
      </c>
      <c r="W24" s="5"/>
      <c r="X24" s="5"/>
      <c r="Y24" s="5"/>
      <c r="Z24" s="5"/>
      <c r="AA24" s="5"/>
      <c r="AB24" s="5"/>
      <c r="AC24" s="5"/>
      <c r="AD24" s="5"/>
      <c r="AE24" s="5" t="n">
        <v>2</v>
      </c>
      <c r="AF24" s="5" t="n">
        <v>3</v>
      </c>
      <c r="AG24" s="5" t="n">
        <f aca="false">IF(AND(N(AE24)&gt;0,N(AF24)&gt;0),SQRT(2*AE24/AF24),"")</f>
        <v>1.15470053837925</v>
      </c>
      <c r="AH24" s="5" t="n">
        <v>24</v>
      </c>
      <c r="AI24" s="5"/>
      <c r="AJ24" s="5"/>
      <c r="AK24" s="5" t="n">
        <v>2000</v>
      </c>
      <c r="AL24" s="5" t="n">
        <v>27.647</v>
      </c>
      <c r="AM24" s="5" t="s">
        <v>3042</v>
      </c>
      <c r="AN24" s="5"/>
      <c r="AO24" s="5"/>
      <c r="AP24" s="5" t="n">
        <v>5.4</v>
      </c>
      <c r="AQ24" s="5"/>
      <c r="AR24" s="5"/>
      <c r="AS24" s="5" t="n">
        <v>57</v>
      </c>
      <c r="AT24" s="5" t="n">
        <v>19</v>
      </c>
      <c r="AU24" s="5" t="s">
        <v>729</v>
      </c>
      <c r="AV24" s="5" t="s">
        <v>3044</v>
      </c>
      <c r="AW24" s="5" t="s">
        <v>3045</v>
      </c>
      <c r="AX24" s="5" t="s">
        <v>3046</v>
      </c>
      <c r="AY24" s="5" t="s">
        <v>3417</v>
      </c>
      <c r="AZ24" s="23" t="s">
        <v>3418</v>
      </c>
      <c r="BA24" s="5" t="s">
        <v>1097</v>
      </c>
      <c r="BB24" s="5" t="s">
        <v>3419</v>
      </c>
    </row>
    <row r="25" customFormat="false" ht="14.25" hidden="false" customHeight="true" outlineLevel="0" collapsed="false">
      <c r="A25" s="5" t="n">
        <v>171</v>
      </c>
      <c r="B25" s="5" t="n">
        <v>171</v>
      </c>
      <c r="C25" s="5" t="s">
        <v>1079</v>
      </c>
      <c r="D25" s="5" t="n">
        <v>2012</v>
      </c>
      <c r="E25" s="5" t="s">
        <v>1080</v>
      </c>
      <c r="F25" s="5" t="s">
        <v>1083</v>
      </c>
      <c r="G25" s="5" t="s">
        <v>1084</v>
      </c>
      <c r="H25" s="5" t="n">
        <v>27.647</v>
      </c>
      <c r="I25" s="5" t="n">
        <v>84.346</v>
      </c>
      <c r="J25" s="5" t="s">
        <v>83</v>
      </c>
      <c r="K25" s="5" t="n">
        <v>2006</v>
      </c>
      <c r="L25" s="5" t="s">
        <v>84</v>
      </c>
      <c r="M25" s="5" t="s">
        <v>85</v>
      </c>
      <c r="N25" s="5" t="s">
        <v>3371</v>
      </c>
      <c r="O25" s="5" t="s">
        <v>3420</v>
      </c>
      <c r="P25" s="5" t="n">
        <f aca="false">12.7+11.6+12.2</f>
        <v>36.5</v>
      </c>
      <c r="Q25" s="5" t="n">
        <f aca="false">9.5+10+10.1</f>
        <v>29.6</v>
      </c>
      <c r="R25" s="5" t="n">
        <f aca="false">10.9+10.8+11.3</f>
        <v>33</v>
      </c>
      <c r="S25" s="5"/>
      <c r="T25" s="5"/>
      <c r="U25" s="5"/>
      <c r="V25" s="5" t="n">
        <f aca="false">9.9+9.87+10.8</f>
        <v>30.57</v>
      </c>
      <c r="W25" s="5"/>
      <c r="X25" s="5"/>
      <c r="Y25" s="5"/>
      <c r="Z25" s="5"/>
      <c r="AA25" s="5"/>
      <c r="AB25" s="5"/>
      <c r="AC25" s="5"/>
      <c r="AD25" s="5"/>
      <c r="AE25" s="5" t="n">
        <v>2</v>
      </c>
      <c r="AF25" s="5" t="n">
        <v>3</v>
      </c>
      <c r="AG25" s="5" t="n">
        <f aca="false">IF(AND(N(AE25)&gt;0,N(AF25)&gt;0),SQRT(2*AE25/AF25),"")</f>
        <v>1.15470053837925</v>
      </c>
      <c r="AH25" s="5" t="n">
        <v>24</v>
      </c>
      <c r="AI25" s="5"/>
      <c r="AJ25" s="5"/>
      <c r="AK25" s="5" t="n">
        <v>2000</v>
      </c>
      <c r="AL25" s="5" t="n">
        <v>27.647</v>
      </c>
      <c r="AM25" s="5" t="s">
        <v>3042</v>
      </c>
      <c r="AN25" s="5"/>
      <c r="AO25" s="5"/>
      <c r="AP25" s="5" t="n">
        <v>5.4</v>
      </c>
      <c r="AQ25" s="5"/>
      <c r="AR25" s="5"/>
      <c r="AS25" s="5" t="n">
        <v>57</v>
      </c>
      <c r="AT25" s="5" t="n">
        <v>19</v>
      </c>
      <c r="AU25" s="5" t="s">
        <v>729</v>
      </c>
      <c r="AV25" s="5" t="s">
        <v>3044</v>
      </c>
      <c r="AW25" s="5" t="s">
        <v>3045</v>
      </c>
      <c r="AX25" s="5" t="s">
        <v>3046</v>
      </c>
      <c r="AY25" s="5" t="s">
        <v>3417</v>
      </c>
      <c r="AZ25" s="23" t="s">
        <v>3418</v>
      </c>
      <c r="BA25" s="5" t="s">
        <v>1097</v>
      </c>
      <c r="BB25" s="5" t="s">
        <v>3419</v>
      </c>
    </row>
    <row r="26" customFormat="false" ht="14.25" hidden="false" customHeight="true" outlineLevel="0" collapsed="false">
      <c r="A26" s="5" t="n">
        <v>171</v>
      </c>
      <c r="B26" s="5" t="n">
        <v>171</v>
      </c>
      <c r="C26" s="5" t="s">
        <v>1079</v>
      </c>
      <c r="D26" s="5" t="n">
        <v>2012</v>
      </c>
      <c r="E26" s="5" t="s">
        <v>1080</v>
      </c>
      <c r="F26" s="5" t="s">
        <v>1083</v>
      </c>
      <c r="G26" s="5" t="s">
        <v>1084</v>
      </c>
      <c r="H26" s="5" t="n">
        <v>27.647</v>
      </c>
      <c r="I26" s="5" t="n">
        <v>84.346</v>
      </c>
      <c r="J26" s="5" t="s">
        <v>83</v>
      </c>
      <c r="K26" s="5" t="n">
        <v>2006</v>
      </c>
      <c r="L26" s="5" t="s">
        <v>84</v>
      </c>
      <c r="M26" s="5" t="s">
        <v>85</v>
      </c>
      <c r="N26" s="5" t="s">
        <v>3375</v>
      </c>
      <c r="O26" s="5" t="s">
        <v>3421</v>
      </c>
      <c r="P26" s="5" t="n">
        <f aca="false">12.7+11.6+12.2+24.3</f>
        <v>60.8</v>
      </c>
      <c r="Q26" s="5" t="n">
        <f aca="false">9.5+10+10.1+21.3</f>
        <v>50.9</v>
      </c>
      <c r="R26" s="5" t="n">
        <f aca="false">10.9+10.8+11.3+23</f>
        <v>56</v>
      </c>
      <c r="S26" s="5"/>
      <c r="T26" s="5"/>
      <c r="U26" s="5"/>
      <c r="V26" s="5" t="n">
        <f aca="false">9.9+9.87+10.8+21.9</f>
        <v>52.47</v>
      </c>
      <c r="W26" s="5"/>
      <c r="X26" s="5"/>
      <c r="Y26" s="5"/>
      <c r="Z26" s="5"/>
      <c r="AA26" s="5"/>
      <c r="AB26" s="5"/>
      <c r="AC26" s="5"/>
      <c r="AD26" s="5"/>
      <c r="AE26" s="5" t="n">
        <v>2</v>
      </c>
      <c r="AF26" s="5" t="n">
        <v>3</v>
      </c>
      <c r="AG26" s="5" t="n">
        <f aca="false">IF(AND(N(AE26)&gt;0,N(AF26)&gt;0),SQRT(2*AE26/AF26),"")</f>
        <v>1.15470053837925</v>
      </c>
      <c r="AH26" s="5" t="n">
        <v>24</v>
      </c>
      <c r="AI26" s="5"/>
      <c r="AJ26" s="5"/>
      <c r="AK26" s="5" t="n">
        <v>2000</v>
      </c>
      <c r="AL26" s="5" t="n">
        <v>27.647</v>
      </c>
      <c r="AM26" s="5" t="s">
        <v>3042</v>
      </c>
      <c r="AN26" s="5"/>
      <c r="AO26" s="5"/>
      <c r="AP26" s="5" t="n">
        <v>5.4</v>
      </c>
      <c r="AQ26" s="5"/>
      <c r="AR26" s="5"/>
      <c r="AS26" s="5" t="n">
        <v>57</v>
      </c>
      <c r="AT26" s="5" t="n">
        <v>19</v>
      </c>
      <c r="AU26" s="5" t="s">
        <v>729</v>
      </c>
      <c r="AV26" s="5" t="s">
        <v>3044</v>
      </c>
      <c r="AW26" s="5" t="s">
        <v>3045</v>
      </c>
      <c r="AX26" s="5" t="s">
        <v>3046</v>
      </c>
      <c r="AY26" s="5" t="s">
        <v>3417</v>
      </c>
      <c r="AZ26" s="23" t="s">
        <v>3418</v>
      </c>
      <c r="BA26" s="5" t="s">
        <v>1097</v>
      </c>
      <c r="BB26" s="5" t="s">
        <v>3419</v>
      </c>
    </row>
    <row r="27" customFormat="false" ht="14.25" hidden="false" customHeight="true" outlineLevel="0" collapsed="false">
      <c r="A27" s="5" t="n">
        <v>171</v>
      </c>
      <c r="B27" s="5" t="n">
        <v>171</v>
      </c>
      <c r="C27" s="5" t="s">
        <v>1079</v>
      </c>
      <c r="D27" s="5" t="n">
        <v>2012</v>
      </c>
      <c r="E27" s="5" t="s">
        <v>1080</v>
      </c>
      <c r="F27" s="5" t="s">
        <v>1083</v>
      </c>
      <c r="G27" s="5" t="s">
        <v>1084</v>
      </c>
      <c r="H27" s="5" t="n">
        <v>27.647</v>
      </c>
      <c r="I27" s="5" t="n">
        <v>84.346</v>
      </c>
      <c r="J27" s="5" t="s">
        <v>83</v>
      </c>
      <c r="K27" s="5" t="n">
        <v>2006</v>
      </c>
      <c r="L27" s="5" t="s">
        <v>84</v>
      </c>
      <c r="M27" s="5" t="s">
        <v>85</v>
      </c>
      <c r="N27" s="5" t="s">
        <v>3422</v>
      </c>
      <c r="O27" s="5" t="s">
        <v>3423</v>
      </c>
      <c r="P27" s="5" t="n">
        <v>86.4</v>
      </c>
      <c r="Q27" s="5" t="n">
        <v>76.1</v>
      </c>
      <c r="R27" s="5" t="n">
        <v>77.9</v>
      </c>
      <c r="S27" s="5"/>
      <c r="T27" s="5"/>
      <c r="U27" s="5"/>
      <c r="V27" s="5" t="n">
        <v>73.4</v>
      </c>
      <c r="W27" s="5"/>
      <c r="X27" s="5"/>
      <c r="Y27" s="5"/>
      <c r="Z27" s="5"/>
      <c r="AA27" s="5"/>
      <c r="AB27" s="5"/>
      <c r="AC27" s="5"/>
      <c r="AD27" s="5"/>
      <c r="AE27" s="5" t="n">
        <v>2</v>
      </c>
      <c r="AF27" s="5" t="n">
        <v>3</v>
      </c>
      <c r="AG27" s="5" t="n">
        <f aca="false">IF(AND(N(AE27)&gt;0,N(AF27)&gt;0),SQRT(2*AE27/AF27),"")</f>
        <v>1.15470053837925</v>
      </c>
      <c r="AH27" s="5" t="n">
        <v>24</v>
      </c>
      <c r="AI27" s="5"/>
      <c r="AJ27" s="5"/>
      <c r="AK27" s="5" t="n">
        <v>2000</v>
      </c>
      <c r="AL27" s="5" t="n">
        <v>27.647</v>
      </c>
      <c r="AM27" s="5" t="s">
        <v>3042</v>
      </c>
      <c r="AN27" s="5"/>
      <c r="AO27" s="5"/>
      <c r="AP27" s="5" t="n">
        <v>5.4</v>
      </c>
      <c r="AQ27" s="5"/>
      <c r="AR27" s="5"/>
      <c r="AS27" s="5" t="n">
        <v>57</v>
      </c>
      <c r="AT27" s="5" t="n">
        <v>19</v>
      </c>
      <c r="AU27" s="5" t="s">
        <v>729</v>
      </c>
      <c r="AV27" s="5" t="s">
        <v>3044</v>
      </c>
      <c r="AW27" s="5" t="s">
        <v>3045</v>
      </c>
      <c r="AX27" s="5" t="s">
        <v>3046</v>
      </c>
      <c r="AY27" s="5" t="s">
        <v>2079</v>
      </c>
      <c r="AZ27" s="23" t="s">
        <v>3424</v>
      </c>
      <c r="BA27" s="5" t="s">
        <v>1097</v>
      </c>
      <c r="BB27" s="5" t="s">
        <v>3425</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3426</v>
      </c>
      <c r="Q1" s="27" t="s">
        <v>3427</v>
      </c>
      <c r="R1" s="27" t="s">
        <v>3428</v>
      </c>
      <c r="S1" s="27" t="s">
        <v>3429</v>
      </c>
      <c r="T1" s="27" t="s">
        <v>3430</v>
      </c>
      <c r="U1" s="27" t="s">
        <v>3431</v>
      </c>
      <c r="V1" s="27" t="s">
        <v>3432</v>
      </c>
      <c r="W1" s="27" t="s">
        <v>3433</v>
      </c>
      <c r="X1" s="30" t="s">
        <v>3434</v>
      </c>
      <c r="Y1" s="30" t="s">
        <v>3435</v>
      </c>
      <c r="Z1" s="30" t="s">
        <v>3436</v>
      </c>
      <c r="AA1" s="30" t="s">
        <v>3437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982</v>
      </c>
      <c r="B2" s="5" t="s">
        <v>982</v>
      </c>
      <c r="C2" s="5" t="s">
        <v>983</v>
      </c>
      <c r="D2" s="5" t="n">
        <v>2023</v>
      </c>
      <c r="E2" s="5" t="s">
        <v>984</v>
      </c>
      <c r="F2" s="5" t="s">
        <v>987</v>
      </c>
      <c r="G2" s="5" t="s">
        <v>988</v>
      </c>
      <c r="H2" s="5" t="n">
        <v>35.27</v>
      </c>
      <c r="I2" s="5" t="n">
        <v>119.38</v>
      </c>
      <c r="J2" s="5" t="s">
        <v>921</v>
      </c>
      <c r="K2" s="5" t="n">
        <v>2020</v>
      </c>
      <c r="L2" s="5" t="s">
        <v>872</v>
      </c>
      <c r="M2" s="5"/>
      <c r="N2" s="5" t="s">
        <v>3375</v>
      </c>
      <c r="O2" s="5" t="s">
        <v>3438</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3439</v>
      </c>
      <c r="AS2" s="5" t="s">
        <v>2063</v>
      </c>
      <c r="AT2" s="5"/>
      <c r="AU2" s="5" t="s">
        <v>2065</v>
      </c>
      <c r="AV2" s="5" t="s">
        <v>3440</v>
      </c>
      <c r="AW2" s="23" t="s">
        <v>3441</v>
      </c>
      <c r="AX2" s="5" t="s">
        <v>998</v>
      </c>
      <c r="AY2" s="5" t="s">
        <v>3442</v>
      </c>
      <c r="BA2" s="33" t="s">
        <v>1374</v>
      </c>
    </row>
    <row r="3" customFormat="false" ht="15" hidden="false" customHeight="true" outlineLevel="0" collapsed="false">
      <c r="A3" s="5" t="s">
        <v>1041</v>
      </c>
      <c r="B3" s="5" t="s">
        <v>1041</v>
      </c>
      <c r="C3" s="5" t="s">
        <v>1042</v>
      </c>
      <c r="D3" s="5" t="n">
        <v>2022</v>
      </c>
      <c r="E3" s="5" t="s">
        <v>843</v>
      </c>
      <c r="F3" s="5" t="s">
        <v>1045</v>
      </c>
      <c r="G3" s="5" t="s">
        <v>1046</v>
      </c>
      <c r="H3" s="5" t="n">
        <v>24.724</v>
      </c>
      <c r="I3" s="5" t="n">
        <v>90.437</v>
      </c>
      <c r="J3" s="5" t="s">
        <v>83</v>
      </c>
      <c r="K3" s="5" t="s">
        <v>2111</v>
      </c>
      <c r="L3" s="5" t="s">
        <v>84</v>
      </c>
      <c r="M3" s="5" t="s">
        <v>85</v>
      </c>
      <c r="N3" s="5" t="s">
        <v>3371</v>
      </c>
      <c r="O3" s="5" t="s">
        <v>2043</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3439</v>
      </c>
      <c r="AS3" s="5" t="s">
        <v>2112</v>
      </c>
      <c r="AT3" s="5" t="s">
        <v>2113</v>
      </c>
      <c r="AU3" s="5" t="s">
        <v>2114</v>
      </c>
      <c r="AV3" s="5" t="s">
        <v>3440</v>
      </c>
      <c r="AW3" s="23" t="s">
        <v>3443</v>
      </c>
      <c r="AX3" s="5" t="s">
        <v>1060</v>
      </c>
      <c r="AY3" s="5" t="s">
        <v>3444</v>
      </c>
    </row>
    <row r="4" customFormat="false" ht="15" hidden="false" customHeight="true" outlineLevel="0" collapsed="false">
      <c r="A4" s="5" t="s">
        <v>1041</v>
      </c>
      <c r="B4" s="5" t="s">
        <v>1041</v>
      </c>
      <c r="C4" s="5" t="s">
        <v>1042</v>
      </c>
      <c r="D4" s="5" t="n">
        <v>2022</v>
      </c>
      <c r="E4" s="5" t="s">
        <v>843</v>
      </c>
      <c r="F4" s="5" t="s">
        <v>1045</v>
      </c>
      <c r="G4" s="5" t="s">
        <v>1046</v>
      </c>
      <c r="H4" s="5" t="n">
        <v>24.724</v>
      </c>
      <c r="I4" s="5" t="n">
        <v>90.437</v>
      </c>
      <c r="J4" s="5" t="s">
        <v>83</v>
      </c>
      <c r="K4" s="5" t="s">
        <v>2111</v>
      </c>
      <c r="L4" s="5" t="s">
        <v>84</v>
      </c>
      <c r="M4" s="5" t="s">
        <v>85</v>
      </c>
      <c r="N4" s="5" t="s">
        <v>3371</v>
      </c>
      <c r="O4" s="5" t="s">
        <v>2043</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3439</v>
      </c>
      <c r="AS4" s="5" t="s">
        <v>2112</v>
      </c>
      <c r="AT4" s="5" t="s">
        <v>2113</v>
      </c>
      <c r="AU4" s="5" t="s">
        <v>2114</v>
      </c>
      <c r="AV4" s="5" t="s">
        <v>3440</v>
      </c>
      <c r="AW4" s="23" t="s">
        <v>3445</v>
      </c>
      <c r="AX4" s="5" t="s">
        <v>1060</v>
      </c>
      <c r="AY4" s="5" t="s">
        <v>3444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3446</v>
      </c>
      <c r="Q1" s="27" t="s">
        <v>3447</v>
      </c>
      <c r="R1" s="27" t="s">
        <v>3448</v>
      </c>
      <c r="S1" s="27" t="s">
        <v>3449</v>
      </c>
      <c r="T1" s="27" t="s">
        <v>3450</v>
      </c>
      <c r="U1" s="27" t="s">
        <v>3451</v>
      </c>
      <c r="V1" s="27" t="s">
        <v>3452</v>
      </c>
      <c r="W1" s="27" t="s">
        <v>3453</v>
      </c>
      <c r="X1" s="30" t="s">
        <v>3454</v>
      </c>
      <c r="Y1" s="30" t="s">
        <v>3455</v>
      </c>
      <c r="Z1" s="30" t="s">
        <v>3456</v>
      </c>
      <c r="AA1" s="30" t="s">
        <v>3457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3458</v>
      </c>
      <c r="Q1" s="27" t="s">
        <v>3459</v>
      </c>
      <c r="R1" s="27" t="s">
        <v>3460</v>
      </c>
      <c r="S1" s="27" t="s">
        <v>3461</v>
      </c>
      <c r="T1" s="27" t="s">
        <v>3462</v>
      </c>
      <c r="U1" s="27" t="s">
        <v>3463</v>
      </c>
      <c r="V1" s="27" t="s">
        <v>3464</v>
      </c>
      <c r="W1" s="27" t="s">
        <v>3465</v>
      </c>
      <c r="X1" s="30" t="s">
        <v>3466</v>
      </c>
      <c r="Y1" s="30" t="s">
        <v>3467</v>
      </c>
      <c r="Z1" s="30" t="s">
        <v>3468</v>
      </c>
      <c r="AA1" s="30" t="s">
        <v>3469</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3470</v>
      </c>
      <c r="Q1" s="27" t="s">
        <v>3471</v>
      </c>
      <c r="R1" s="27" t="s">
        <v>3472</v>
      </c>
      <c r="S1" s="27" t="s">
        <v>3473</v>
      </c>
      <c r="T1" s="27" t="s">
        <v>3474</v>
      </c>
      <c r="U1" s="27" t="s">
        <v>3475</v>
      </c>
      <c r="V1" s="27" t="s">
        <v>3476</v>
      </c>
      <c r="W1" s="27" t="s">
        <v>3477</v>
      </c>
      <c r="X1" s="30" t="s">
        <v>3478</v>
      </c>
      <c r="Y1" s="30" t="s">
        <v>3479</v>
      </c>
      <c r="Z1" s="30" t="s">
        <v>3480</v>
      </c>
      <c r="AA1" s="30" t="s">
        <v>3481</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1381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3482</v>
      </c>
      <c r="Q1" s="27" t="s">
        <v>3483</v>
      </c>
      <c r="R1" s="27" t="s">
        <v>3484</v>
      </c>
      <c r="S1" s="27" t="s">
        <v>3485</v>
      </c>
      <c r="T1" s="27" t="s">
        <v>3486</v>
      </c>
      <c r="U1" s="27" t="s">
        <v>3487</v>
      </c>
      <c r="V1" s="27" t="s">
        <v>3488</v>
      </c>
      <c r="W1" s="27" t="s">
        <v>3489</v>
      </c>
      <c r="X1" s="30" t="s">
        <v>3490</v>
      </c>
      <c r="Y1" s="30" t="s">
        <v>3491</v>
      </c>
      <c r="Z1" s="30" t="s">
        <v>3492</v>
      </c>
      <c r="AA1" s="30" t="s">
        <v>3493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1383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3494</v>
      </c>
      <c r="Q1" s="27" t="s">
        <v>3495</v>
      </c>
      <c r="R1" s="27" t="s">
        <v>3496</v>
      </c>
      <c r="S1" s="27" t="s">
        <v>3497</v>
      </c>
      <c r="T1" s="27" t="s">
        <v>3498</v>
      </c>
      <c r="U1" s="27" t="s">
        <v>3499</v>
      </c>
      <c r="V1" s="27" t="s">
        <v>3500</v>
      </c>
      <c r="W1" s="27" t="s">
        <v>3501</v>
      </c>
      <c r="X1" s="30" t="s">
        <v>3502</v>
      </c>
      <c r="Y1" s="30" t="s">
        <v>3503</v>
      </c>
      <c r="Z1" s="30" t="s">
        <v>3504</v>
      </c>
      <c r="AA1" s="30" t="s">
        <v>3505</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2317</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3506</v>
      </c>
      <c r="AS2" s="18" t="s">
        <v>2044</v>
      </c>
      <c r="AT2" s="18" t="s">
        <v>2045</v>
      </c>
      <c r="AU2" s="18" t="s">
        <v>2046</v>
      </c>
      <c r="AV2" s="18" t="s">
        <v>3507</v>
      </c>
      <c r="AW2" s="32" t="s">
        <v>3508</v>
      </c>
      <c r="AX2" s="18" t="s">
        <v>928</v>
      </c>
      <c r="AY2" s="18" t="s">
        <v>3509</v>
      </c>
      <c r="BA2" s="33" t="s">
        <v>1385</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2052</v>
      </c>
      <c r="L3" s="5" t="s">
        <v>872</v>
      </c>
      <c r="M3" s="5" t="s">
        <v>85</v>
      </c>
      <c r="N3" s="5" t="s">
        <v>86</v>
      </c>
      <c r="O3" s="5" t="s">
        <v>2979</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3510</v>
      </c>
      <c r="AS3" s="5" t="s">
        <v>2053</v>
      </c>
      <c r="AT3" s="5" t="s">
        <v>3511</v>
      </c>
      <c r="AU3" s="5" t="s">
        <v>2055</v>
      </c>
      <c r="AV3" s="5" t="s">
        <v>3507</v>
      </c>
      <c r="AW3" s="23" t="s">
        <v>3512</v>
      </c>
      <c r="AX3" s="5" t="s">
        <v>880</v>
      </c>
      <c r="AY3" s="5" t="s">
        <v>3513</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2979</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3510</v>
      </c>
      <c r="AS4" s="5" t="s">
        <v>2059</v>
      </c>
      <c r="AT4" s="5" t="s">
        <v>3511</v>
      </c>
      <c r="AU4" s="5" t="s">
        <v>2055</v>
      </c>
      <c r="AV4" s="5" t="s">
        <v>3507</v>
      </c>
      <c r="AW4" s="23" t="s">
        <v>3514</v>
      </c>
      <c r="AX4" s="5" t="s">
        <v>880</v>
      </c>
      <c r="AY4" s="5" t="s">
        <v>3513</v>
      </c>
    </row>
    <row r="5" customFormat="false" ht="15" hidden="false" customHeight="true" outlineLevel="0" collapsed="false">
      <c r="A5" s="18" t="s">
        <v>955</v>
      </c>
      <c r="B5" s="18" t="s">
        <v>955</v>
      </c>
      <c r="C5" s="18" t="s">
        <v>956</v>
      </c>
      <c r="D5" s="18" t="n">
        <v>2019</v>
      </c>
      <c r="E5" s="18" t="s">
        <v>3303</v>
      </c>
      <c r="F5" s="18" t="s">
        <v>942</v>
      </c>
      <c r="G5" s="18" t="s">
        <v>943</v>
      </c>
      <c r="H5" s="18" t="n">
        <v>29.7</v>
      </c>
      <c r="I5" s="18" t="n">
        <v>76.96</v>
      </c>
      <c r="J5" s="18" t="s">
        <v>83</v>
      </c>
      <c r="K5" s="18" t="n">
        <v>2013</v>
      </c>
      <c r="L5" s="18" t="s">
        <v>84</v>
      </c>
      <c r="M5" s="18" t="s">
        <v>85</v>
      </c>
      <c r="N5" s="18" t="s">
        <v>86</v>
      </c>
      <c r="O5" s="18" t="s">
        <v>2043</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3515</v>
      </c>
      <c r="AS5" s="18" t="s">
        <v>2337</v>
      </c>
      <c r="AT5" s="18" t="s">
        <v>3305</v>
      </c>
      <c r="AU5" s="18" t="s">
        <v>2339</v>
      </c>
      <c r="AV5" s="18" t="s">
        <v>2047</v>
      </c>
      <c r="AW5" s="32" t="s">
        <v>3516</v>
      </c>
      <c r="AX5" s="18" t="s">
        <v>962</v>
      </c>
      <c r="AY5" s="18" t="s">
        <v>3517</v>
      </c>
    </row>
    <row r="6" customFormat="false" ht="14.25" hidden="false" customHeight="true" outlineLevel="0" collapsed="false">
      <c r="A6" s="18" t="n">
        <v>172</v>
      </c>
      <c r="B6" s="18" t="n">
        <v>172</v>
      </c>
      <c r="C6" s="18" t="s">
        <v>1100</v>
      </c>
      <c r="D6" s="18" t="n">
        <v>2005</v>
      </c>
      <c r="E6" s="18" t="s">
        <v>1101</v>
      </c>
      <c r="F6" s="18" t="s">
        <v>3054</v>
      </c>
      <c r="G6" s="18" t="s">
        <v>1105</v>
      </c>
      <c r="H6" s="18" t="n">
        <v>33.2</v>
      </c>
      <c r="I6" s="18" t="n">
        <v>130.5</v>
      </c>
      <c r="J6" s="18" t="s">
        <v>921</v>
      </c>
      <c r="K6" s="18" t="n">
        <v>2003</v>
      </c>
      <c r="L6" s="18" t="s">
        <v>853</v>
      </c>
      <c r="M6" s="18" t="s">
        <v>85</v>
      </c>
      <c r="N6" s="18" t="s">
        <v>86</v>
      </c>
      <c r="O6" s="18" t="s">
        <v>3055</v>
      </c>
      <c r="P6" s="18"/>
      <c r="Q6" s="18" t="n">
        <f aca="false">ROUND(8.6*44/12,1)</f>
        <v>31.5</v>
      </c>
      <c r="R6" s="18"/>
      <c r="S6" s="18"/>
      <c r="T6" s="18"/>
      <c r="U6" s="18"/>
      <c r="V6" s="18" t="n">
        <f aca="false">ROUND(11.6*44/12,1)</f>
        <v>42.5</v>
      </c>
      <c r="W6" s="18"/>
      <c r="X6" s="18"/>
      <c r="Y6" s="18"/>
      <c r="Z6" s="18"/>
      <c r="AA6" s="18"/>
      <c r="AB6" s="18" t="n">
        <v>3</v>
      </c>
      <c r="AC6" s="18" t="n">
        <v>3</v>
      </c>
      <c r="AD6" s="18" t="n">
        <f aca="false">IF(AND(N(AB6)&gt;0,N(AC6)&gt;0),SQRT(2*AB6/AC6),"")</f>
        <v>1.4142135623731</v>
      </c>
      <c r="AE6" s="18" t="n">
        <v>29</v>
      </c>
      <c r="AF6" s="18"/>
      <c r="AG6" s="18"/>
      <c r="AH6" s="18"/>
      <c r="AI6" s="18" t="n">
        <v>33.2</v>
      </c>
      <c r="AJ6" s="18" t="n">
        <v>40</v>
      </c>
      <c r="AK6" s="18"/>
      <c r="AL6" s="18"/>
      <c r="AM6" s="18"/>
      <c r="AN6" s="18"/>
      <c r="AO6" s="18"/>
      <c r="AP6" s="18" t="n">
        <v>16</v>
      </c>
      <c r="AQ6" s="18" t="n">
        <v>56</v>
      </c>
      <c r="AR6" s="18" t="s">
        <v>3518</v>
      </c>
      <c r="AS6" s="18" t="s">
        <v>3057</v>
      </c>
      <c r="AT6" s="18" t="s">
        <v>3058</v>
      </c>
      <c r="AU6" s="18" t="s">
        <v>3059</v>
      </c>
      <c r="AV6" s="18" t="s">
        <v>3038</v>
      </c>
      <c r="AW6" s="32" t="s">
        <v>3519</v>
      </c>
      <c r="AX6" s="18" t="s">
        <v>1112</v>
      </c>
      <c r="AY6" s="18" t="s">
        <v>3520</v>
      </c>
    </row>
    <row r="7" customFormat="false" ht="14.25" hidden="false" customHeight="true" outlineLevel="0" collapsed="false">
      <c r="A7" s="18" t="n">
        <v>172</v>
      </c>
      <c r="B7" s="18" t="n">
        <v>172</v>
      </c>
      <c r="C7" s="18" t="s">
        <v>1100</v>
      </c>
      <c r="D7" s="18" t="n">
        <v>2005</v>
      </c>
      <c r="E7" s="18" t="s">
        <v>1101</v>
      </c>
      <c r="F7" s="18" t="s">
        <v>3054</v>
      </c>
      <c r="G7" s="18" t="s">
        <v>1105</v>
      </c>
      <c r="H7" s="18" t="n">
        <v>33.2</v>
      </c>
      <c r="I7" s="18" t="n">
        <v>130.5</v>
      </c>
      <c r="J7" s="18" t="s">
        <v>921</v>
      </c>
      <c r="K7" s="18" t="n">
        <v>2003</v>
      </c>
      <c r="L7" s="18" t="s">
        <v>853</v>
      </c>
      <c r="M7" s="18" t="s">
        <v>85</v>
      </c>
      <c r="N7" s="18" t="s">
        <v>86</v>
      </c>
      <c r="O7" s="18" t="s">
        <v>3055</v>
      </c>
      <c r="P7" s="18"/>
      <c r="Q7" s="18" t="n">
        <f aca="false">ROUND(8.6*44/12,1)</f>
        <v>31.5</v>
      </c>
      <c r="R7" s="18"/>
      <c r="S7" s="18"/>
      <c r="T7" s="18"/>
      <c r="U7" s="18"/>
      <c r="V7" s="18" t="n">
        <f aca="false">ROUND(11.4*44/12,1)</f>
        <v>41.8</v>
      </c>
      <c r="W7" s="18"/>
      <c r="X7" s="18"/>
      <c r="Y7" s="18"/>
      <c r="Z7" s="18"/>
      <c r="AA7" s="18"/>
      <c r="AB7" s="18" t="n">
        <v>3</v>
      </c>
      <c r="AC7" s="18" t="n">
        <v>3</v>
      </c>
      <c r="AD7" s="18" t="n">
        <f aca="false">IF(AND(N(AB7)&gt;0,N(AC7)&gt;0),SQRT(2*AB7/AC7),"")</f>
        <v>1.4142135623731</v>
      </c>
      <c r="AE7" s="18" t="n">
        <v>29</v>
      </c>
      <c r="AF7" s="18"/>
      <c r="AG7" s="18"/>
      <c r="AH7" s="18"/>
      <c r="AI7" s="18" t="n">
        <v>33.2</v>
      </c>
      <c r="AJ7" s="18" t="n">
        <v>40</v>
      </c>
      <c r="AK7" s="18"/>
      <c r="AL7" s="18"/>
      <c r="AM7" s="18"/>
      <c r="AN7" s="18"/>
      <c r="AO7" s="18"/>
      <c r="AP7" s="18" t="n">
        <v>16</v>
      </c>
      <c r="AQ7" s="18" t="n">
        <v>56</v>
      </c>
      <c r="AR7" s="18" t="s">
        <v>3518</v>
      </c>
      <c r="AS7" s="18" t="s">
        <v>3057</v>
      </c>
      <c r="AT7" s="18" t="s">
        <v>3058</v>
      </c>
      <c r="AU7" s="18" t="s">
        <v>3059</v>
      </c>
      <c r="AV7" s="18" t="s">
        <v>3038</v>
      </c>
      <c r="AW7" s="32" t="s">
        <v>3521</v>
      </c>
      <c r="AX7" s="18" t="s">
        <v>1112</v>
      </c>
      <c r="AY7" s="18" t="s">
        <v>3520</v>
      </c>
    </row>
    <row r="8" customFormat="false" ht="14.25" hidden="false" customHeight="true" outlineLevel="0" collapsed="false">
      <c r="A8" s="18" t="n">
        <v>172</v>
      </c>
      <c r="B8" s="18" t="n">
        <v>172</v>
      </c>
      <c r="C8" s="18" t="s">
        <v>1100</v>
      </c>
      <c r="D8" s="18" t="n">
        <v>2005</v>
      </c>
      <c r="E8" s="18" t="s">
        <v>1101</v>
      </c>
      <c r="F8" s="18" t="s">
        <v>3054</v>
      </c>
      <c r="G8" s="18" t="s">
        <v>1105</v>
      </c>
      <c r="H8" s="18" t="n">
        <v>33.2</v>
      </c>
      <c r="I8" s="18" t="n">
        <v>130.5</v>
      </c>
      <c r="J8" s="18" t="s">
        <v>921</v>
      </c>
      <c r="K8" s="18" t="n">
        <v>2003</v>
      </c>
      <c r="L8" s="18" t="s">
        <v>853</v>
      </c>
      <c r="M8" s="18" t="s">
        <v>85</v>
      </c>
      <c r="N8" s="18" t="s">
        <v>86</v>
      </c>
      <c r="O8" s="18" t="s">
        <v>3055</v>
      </c>
      <c r="P8" s="18"/>
      <c r="Q8" s="18" t="n">
        <f aca="false">ROUND(8.6*44/12,1)</f>
        <v>31.5</v>
      </c>
      <c r="R8" s="18"/>
      <c r="S8" s="18"/>
      <c r="T8" s="18"/>
      <c r="U8" s="18"/>
      <c r="V8" s="18" t="n">
        <f aca="false">ROUND(12.4*44/12,1)</f>
        <v>45.5</v>
      </c>
      <c r="W8" s="18"/>
      <c r="X8" s="18"/>
      <c r="Y8" s="18"/>
      <c r="Z8" s="18"/>
      <c r="AA8" s="18"/>
      <c r="AB8" s="18" t="n">
        <v>3</v>
      </c>
      <c r="AC8" s="18" t="n">
        <v>3</v>
      </c>
      <c r="AD8" s="18" t="n">
        <f aca="false">IF(AND(N(AB8)&gt;0,N(AC8)&gt;0),SQRT(2*AB8/AC8),"")</f>
        <v>1.4142135623731</v>
      </c>
      <c r="AE8" s="18" t="n">
        <v>29</v>
      </c>
      <c r="AF8" s="18"/>
      <c r="AG8" s="18"/>
      <c r="AH8" s="18"/>
      <c r="AI8" s="18" t="n">
        <v>33.2</v>
      </c>
      <c r="AJ8" s="18" t="n">
        <v>40</v>
      </c>
      <c r="AK8" s="18"/>
      <c r="AL8" s="18"/>
      <c r="AM8" s="18"/>
      <c r="AN8" s="18"/>
      <c r="AO8" s="18"/>
      <c r="AP8" s="18" t="n">
        <v>16</v>
      </c>
      <c r="AQ8" s="18" t="n">
        <v>56</v>
      </c>
      <c r="AR8" s="18" t="s">
        <v>3518</v>
      </c>
      <c r="AS8" s="18" t="s">
        <v>3057</v>
      </c>
      <c r="AT8" s="18" t="s">
        <v>3058</v>
      </c>
      <c r="AU8" s="18" t="s">
        <v>3059</v>
      </c>
      <c r="AV8" s="18" t="s">
        <v>3038</v>
      </c>
      <c r="AW8" s="32" t="s">
        <v>3522</v>
      </c>
      <c r="AX8" s="18" t="s">
        <v>1112</v>
      </c>
      <c r="AY8" s="18" t="s">
        <v>3520</v>
      </c>
    </row>
    <row r="9" customFormat="false" ht="14.25" hidden="false" customHeight="true" outlineLevel="0" collapsed="false">
      <c r="A9" s="18" t="n">
        <v>172</v>
      </c>
      <c r="B9" s="18" t="n">
        <v>172</v>
      </c>
      <c r="C9" s="18" t="s">
        <v>1100</v>
      </c>
      <c r="D9" s="18" t="n">
        <v>2005</v>
      </c>
      <c r="E9" s="18" t="s">
        <v>1101</v>
      </c>
      <c r="F9" s="18" t="s">
        <v>3054</v>
      </c>
      <c r="G9" s="18" t="s">
        <v>1105</v>
      </c>
      <c r="H9" s="18" t="n">
        <v>33.2</v>
      </c>
      <c r="I9" s="18" t="n">
        <v>130.5</v>
      </c>
      <c r="J9" s="18" t="s">
        <v>921</v>
      </c>
      <c r="K9" s="18" t="n">
        <v>2003</v>
      </c>
      <c r="L9" s="18" t="s">
        <v>853</v>
      </c>
      <c r="M9" s="18" t="s">
        <v>85</v>
      </c>
      <c r="N9" s="18" t="s">
        <v>86</v>
      </c>
      <c r="O9" s="18" t="s">
        <v>3055</v>
      </c>
      <c r="P9" s="18"/>
      <c r="Q9" s="18" t="n">
        <f aca="false">ROUND(13.7*44/12,1)</f>
        <v>50.2</v>
      </c>
      <c r="R9" s="18"/>
      <c r="S9" s="18"/>
      <c r="T9" s="18"/>
      <c r="U9" s="18"/>
      <c r="V9" s="18" t="n">
        <f aca="false">ROUND(17.8*44/12,1)</f>
        <v>65.3</v>
      </c>
      <c r="W9" s="18"/>
      <c r="X9" s="18"/>
      <c r="Y9" s="18"/>
      <c r="Z9" s="18"/>
      <c r="AA9" s="18"/>
      <c r="AB9" s="18" t="n">
        <v>3</v>
      </c>
      <c r="AC9" s="18" t="n">
        <v>3</v>
      </c>
      <c r="AD9" s="18" t="n">
        <f aca="false">IF(AND(N(AB9)&gt;0,N(AC9)&gt;0),SQRT(2*AB9/AC9),"")</f>
        <v>1.4142135623731</v>
      </c>
      <c r="AE9" s="18" t="n">
        <v>29</v>
      </c>
      <c r="AF9" s="18"/>
      <c r="AG9" s="18"/>
      <c r="AH9" s="18"/>
      <c r="AI9" s="18" t="n">
        <v>33.2</v>
      </c>
      <c r="AJ9" s="18" t="n">
        <v>40</v>
      </c>
      <c r="AK9" s="18"/>
      <c r="AL9" s="18"/>
      <c r="AM9" s="18"/>
      <c r="AN9" s="18"/>
      <c r="AO9" s="18"/>
      <c r="AP9" s="18" t="n">
        <v>16</v>
      </c>
      <c r="AQ9" s="18" t="n">
        <v>56</v>
      </c>
      <c r="AR9" s="18" t="s">
        <v>3523</v>
      </c>
      <c r="AS9" s="18" t="s">
        <v>3057</v>
      </c>
      <c r="AT9" s="18" t="s">
        <v>3058</v>
      </c>
      <c r="AU9" s="18" t="s">
        <v>3059</v>
      </c>
      <c r="AV9" s="18" t="s">
        <v>3038</v>
      </c>
      <c r="AW9" s="32" t="s">
        <v>3524</v>
      </c>
      <c r="AX9" s="18" t="s">
        <v>1112</v>
      </c>
      <c r="AY9" s="18" t="s">
        <v>3525</v>
      </c>
    </row>
    <row r="10" customFormat="false" ht="14.25" hidden="false" customHeight="true" outlineLevel="0" collapsed="false">
      <c r="A10" s="18" t="n">
        <v>172</v>
      </c>
      <c r="B10" s="18" t="n">
        <v>172</v>
      </c>
      <c r="C10" s="18" t="s">
        <v>1100</v>
      </c>
      <c r="D10" s="18" t="n">
        <v>2005</v>
      </c>
      <c r="E10" s="18" t="s">
        <v>1101</v>
      </c>
      <c r="F10" s="18" t="s">
        <v>3054</v>
      </c>
      <c r="G10" s="18" t="s">
        <v>1105</v>
      </c>
      <c r="H10" s="18" t="n">
        <v>33.2</v>
      </c>
      <c r="I10" s="18" t="n">
        <v>130.5</v>
      </c>
      <c r="J10" s="18" t="s">
        <v>921</v>
      </c>
      <c r="K10" s="18" t="n">
        <v>2003</v>
      </c>
      <c r="L10" s="18" t="s">
        <v>853</v>
      </c>
      <c r="M10" s="18" t="s">
        <v>85</v>
      </c>
      <c r="N10" s="18" t="s">
        <v>86</v>
      </c>
      <c r="O10" s="18" t="s">
        <v>3055</v>
      </c>
      <c r="P10" s="18"/>
      <c r="Q10" s="18" t="n">
        <f aca="false">ROUND(13.7*44/12,1)</f>
        <v>50.2</v>
      </c>
      <c r="R10" s="18"/>
      <c r="S10" s="18"/>
      <c r="T10" s="18"/>
      <c r="U10" s="18"/>
      <c r="V10" s="18" t="n">
        <f aca="false">ROUND(14.1*44/12,1)</f>
        <v>51.7</v>
      </c>
      <c r="W10" s="18"/>
      <c r="X10" s="18"/>
      <c r="Y10" s="18"/>
      <c r="Z10" s="18"/>
      <c r="AA10" s="18"/>
      <c r="AB10" s="18" t="n">
        <v>3</v>
      </c>
      <c r="AC10" s="18" t="n">
        <v>3</v>
      </c>
      <c r="AD10" s="18" t="n">
        <f aca="false">IF(AND(N(AB10)&gt;0,N(AC10)&gt;0),SQRT(2*AB10/AC10),"")</f>
        <v>1.4142135623731</v>
      </c>
      <c r="AE10" s="18" t="n">
        <v>29</v>
      </c>
      <c r="AF10" s="18"/>
      <c r="AG10" s="18"/>
      <c r="AH10" s="18"/>
      <c r="AI10" s="18" t="n">
        <v>33.2</v>
      </c>
      <c r="AJ10" s="18" t="n">
        <v>40</v>
      </c>
      <c r="AK10" s="18"/>
      <c r="AL10" s="18"/>
      <c r="AM10" s="18"/>
      <c r="AN10" s="18"/>
      <c r="AO10" s="18"/>
      <c r="AP10" s="18" t="n">
        <v>16</v>
      </c>
      <c r="AQ10" s="18" t="n">
        <v>56</v>
      </c>
      <c r="AR10" s="18" t="s">
        <v>3523</v>
      </c>
      <c r="AS10" s="18" t="s">
        <v>3057</v>
      </c>
      <c r="AT10" s="18" t="s">
        <v>3058</v>
      </c>
      <c r="AU10" s="18" t="s">
        <v>3059</v>
      </c>
      <c r="AV10" s="18" t="s">
        <v>3038</v>
      </c>
      <c r="AW10" s="32" t="s">
        <v>3526</v>
      </c>
      <c r="AX10" s="18" t="s">
        <v>1112</v>
      </c>
      <c r="AY10" s="18" t="s">
        <v>3525</v>
      </c>
    </row>
    <row r="11" customFormat="false" ht="14.25" hidden="false" customHeight="true" outlineLevel="0" collapsed="false">
      <c r="A11" s="18" t="n">
        <v>172</v>
      </c>
      <c r="B11" s="18" t="n">
        <v>172</v>
      </c>
      <c r="C11" s="18" t="s">
        <v>1100</v>
      </c>
      <c r="D11" s="18" t="n">
        <v>2005</v>
      </c>
      <c r="E11" s="18" t="s">
        <v>1101</v>
      </c>
      <c r="F11" s="18" t="s">
        <v>3054</v>
      </c>
      <c r="G11" s="18" t="s">
        <v>1105</v>
      </c>
      <c r="H11" s="18" t="n">
        <v>33.2</v>
      </c>
      <c r="I11" s="18" t="n">
        <v>130.5</v>
      </c>
      <c r="J11" s="18" t="s">
        <v>921</v>
      </c>
      <c r="K11" s="18" t="n">
        <v>2003</v>
      </c>
      <c r="L11" s="18" t="s">
        <v>853</v>
      </c>
      <c r="M11" s="18" t="s">
        <v>85</v>
      </c>
      <c r="N11" s="18" t="s">
        <v>86</v>
      </c>
      <c r="O11" s="18" t="s">
        <v>3055</v>
      </c>
      <c r="P11" s="18"/>
      <c r="Q11" s="18" t="n">
        <f aca="false">ROUND(13.7*44/12,1)</f>
        <v>50.2</v>
      </c>
      <c r="R11" s="18"/>
      <c r="S11" s="18"/>
      <c r="T11" s="18"/>
      <c r="U11" s="18"/>
      <c r="V11" s="18" t="n">
        <f aca="false">ROUND(9.1*44/12,1)</f>
        <v>33.4</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3523</v>
      </c>
      <c r="AS11" s="18" t="s">
        <v>3057</v>
      </c>
      <c r="AT11" s="18" t="s">
        <v>3058</v>
      </c>
      <c r="AU11" s="18" t="s">
        <v>3059</v>
      </c>
      <c r="AV11" s="18" t="s">
        <v>3038</v>
      </c>
      <c r="AW11" s="32" t="s">
        <v>3527</v>
      </c>
      <c r="AX11" s="18" t="s">
        <v>1112</v>
      </c>
      <c r="AY11" s="18" t="s">
        <v>3525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3528</v>
      </c>
      <c r="Q1" s="27" t="s">
        <v>3529</v>
      </c>
      <c r="R1" s="27" t="s">
        <v>3530</v>
      </c>
      <c r="S1" s="27" t="s">
        <v>3531</v>
      </c>
      <c r="T1" s="27" t="s">
        <v>3532</v>
      </c>
      <c r="U1" s="27" t="s">
        <v>3533</v>
      </c>
      <c r="V1" s="27" t="s">
        <v>3534</v>
      </c>
      <c r="W1" s="27" t="s">
        <v>3535</v>
      </c>
      <c r="X1" s="30" t="s">
        <v>3536</v>
      </c>
      <c r="Y1" s="30" t="s">
        <v>3537</v>
      </c>
      <c r="Z1" s="30" t="s">
        <v>3538</v>
      </c>
      <c r="AA1" s="30" t="s">
        <v>3539</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965</v>
      </c>
      <c r="B2" s="18" t="s">
        <v>965</v>
      </c>
      <c r="C2" s="18" t="s">
        <v>966</v>
      </c>
      <c r="D2" s="18" t="n">
        <v>2020</v>
      </c>
      <c r="E2" s="18" t="s">
        <v>967</v>
      </c>
      <c r="F2" s="18" t="s">
        <v>866</v>
      </c>
      <c r="G2" s="18" t="s">
        <v>970</v>
      </c>
      <c r="H2" s="18" t="n">
        <v>28.4</v>
      </c>
      <c r="I2" s="18" t="n">
        <v>77.1</v>
      </c>
      <c r="J2" s="18" t="s">
        <v>83</v>
      </c>
      <c r="K2" s="18" t="s">
        <v>2075</v>
      </c>
      <c r="L2" s="18" t="s">
        <v>853</v>
      </c>
      <c r="M2" s="18" t="s">
        <v>85</v>
      </c>
      <c r="N2" s="18" t="s">
        <v>86</v>
      </c>
      <c r="O2" s="18" t="s">
        <v>2043</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1388</v>
      </c>
      <c r="AS2" s="18" t="s">
        <v>2076</v>
      </c>
      <c r="AT2" s="18" t="s">
        <v>2077</v>
      </c>
      <c r="AU2" s="18" t="s">
        <v>2078</v>
      </c>
      <c r="AV2" s="18" t="s">
        <v>2047</v>
      </c>
      <c r="AW2" s="32" t="s">
        <v>3540</v>
      </c>
      <c r="AX2" s="18" t="s">
        <v>979</v>
      </c>
      <c r="AY2" s="18" t="s">
        <v>3541</v>
      </c>
      <c r="BA2" s="33" t="s">
        <v>1388</v>
      </c>
    </row>
    <row r="3" customFormat="false" ht="15" hidden="false" customHeight="true" outlineLevel="0" collapsed="false">
      <c r="A3" s="18" t="s">
        <v>965</v>
      </c>
      <c r="B3" s="18" t="s">
        <v>965</v>
      </c>
      <c r="C3" s="18" t="s">
        <v>966</v>
      </c>
      <c r="D3" s="18" t="n">
        <v>2020</v>
      </c>
      <c r="E3" s="18" t="s">
        <v>967</v>
      </c>
      <c r="F3" s="18" t="s">
        <v>866</v>
      </c>
      <c r="G3" s="18" t="s">
        <v>970</v>
      </c>
      <c r="H3" s="18" t="n">
        <v>28.4</v>
      </c>
      <c r="I3" s="18" t="n">
        <v>77.1</v>
      </c>
      <c r="J3" s="18" t="s">
        <v>83</v>
      </c>
      <c r="K3" s="18" t="s">
        <v>2075</v>
      </c>
      <c r="L3" s="18" t="s">
        <v>853</v>
      </c>
      <c r="M3" s="18" t="s">
        <v>85</v>
      </c>
      <c r="N3" s="18" t="s">
        <v>86</v>
      </c>
      <c r="O3" s="18" t="s">
        <v>2043</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1388</v>
      </c>
      <c r="AS3" s="18" t="s">
        <v>2082</v>
      </c>
      <c r="AT3" s="18" t="s">
        <v>2077</v>
      </c>
      <c r="AU3" s="18" t="s">
        <v>2078</v>
      </c>
      <c r="AV3" s="18" t="s">
        <v>2047</v>
      </c>
      <c r="AW3" s="32" t="s">
        <v>3542</v>
      </c>
      <c r="AX3" s="18" t="s">
        <v>979</v>
      </c>
      <c r="AY3" s="18" t="s">
        <v>3541</v>
      </c>
    </row>
    <row r="4" customFormat="false" ht="1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1388</v>
      </c>
      <c r="AS4" s="18" t="s">
        <v>2084</v>
      </c>
      <c r="AT4" s="18" t="s">
        <v>2077</v>
      </c>
      <c r="AU4" s="18" t="s">
        <v>2078</v>
      </c>
      <c r="AV4" s="18" t="s">
        <v>2047</v>
      </c>
      <c r="AW4" s="32" t="s">
        <v>3543</v>
      </c>
      <c r="AX4" s="18" t="s">
        <v>979</v>
      </c>
      <c r="AY4" s="18" t="s">
        <v>3541</v>
      </c>
    </row>
    <row r="5" customFormat="false" ht="1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1388</v>
      </c>
      <c r="AS5" s="18" t="s">
        <v>2086</v>
      </c>
      <c r="AT5" s="18" t="s">
        <v>2077</v>
      </c>
      <c r="AU5" s="18" t="s">
        <v>2078</v>
      </c>
      <c r="AV5" s="18" t="s">
        <v>2047</v>
      </c>
      <c r="AW5" s="32" t="s">
        <v>3544</v>
      </c>
      <c r="AX5" s="18" t="s">
        <v>979</v>
      </c>
      <c r="AY5" s="18" t="s">
        <v>3541</v>
      </c>
    </row>
    <row r="6" customFormat="false" ht="1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1388</v>
      </c>
      <c r="AS6" s="18" t="s">
        <v>2088</v>
      </c>
      <c r="AT6" s="18" t="s">
        <v>2077</v>
      </c>
      <c r="AU6" s="18" t="s">
        <v>2078</v>
      </c>
      <c r="AV6" s="18" t="s">
        <v>2047</v>
      </c>
      <c r="AW6" s="32" t="s">
        <v>3545</v>
      </c>
      <c r="AX6" s="18" t="s">
        <v>979</v>
      </c>
      <c r="AY6" s="18" t="s">
        <v>3541</v>
      </c>
    </row>
    <row r="7" customFormat="false" ht="1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1388</v>
      </c>
      <c r="AS7" s="18" t="s">
        <v>2090</v>
      </c>
      <c r="AT7" s="18" t="s">
        <v>2077</v>
      </c>
      <c r="AU7" s="18" t="s">
        <v>2078</v>
      </c>
      <c r="AV7" s="18" t="s">
        <v>2047</v>
      </c>
      <c r="AW7" s="32" t="s">
        <v>3546</v>
      </c>
      <c r="AX7" s="18" t="s">
        <v>979</v>
      </c>
      <c r="AY7" s="18" t="s">
        <v>3541</v>
      </c>
    </row>
    <row r="8" customFormat="false" ht="1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1388</v>
      </c>
      <c r="AS8" s="18" t="s">
        <v>2092</v>
      </c>
      <c r="AT8" s="18" t="s">
        <v>2077</v>
      </c>
      <c r="AU8" s="18" t="s">
        <v>2078</v>
      </c>
      <c r="AV8" s="18" t="s">
        <v>2047</v>
      </c>
      <c r="AW8" s="32" t="s">
        <v>3547</v>
      </c>
      <c r="AX8" s="18" t="s">
        <v>979</v>
      </c>
      <c r="AY8" s="18" t="s">
        <v>3541</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1388</v>
      </c>
      <c r="AS9" s="18" t="s">
        <v>2094</v>
      </c>
      <c r="AT9" s="18" t="s">
        <v>2077</v>
      </c>
      <c r="AU9" s="18" t="s">
        <v>2078</v>
      </c>
      <c r="AV9" s="18" t="s">
        <v>2047</v>
      </c>
      <c r="AW9" s="32" t="s">
        <v>3548</v>
      </c>
      <c r="AX9" s="18" t="s">
        <v>979</v>
      </c>
      <c r="AY9" s="18" t="s">
        <v>3541</v>
      </c>
    </row>
    <row r="10" customFormat="false" ht="14.25" hidden="false" customHeight="true" outlineLevel="0" collapsed="false">
      <c r="A10" s="5" t="s">
        <v>1064</v>
      </c>
      <c r="B10" s="5" t="s">
        <v>1064</v>
      </c>
      <c r="C10" s="5" t="s">
        <v>1065</v>
      </c>
      <c r="D10" s="5" t="n">
        <v>2022</v>
      </c>
      <c r="E10" s="5" t="s">
        <v>80</v>
      </c>
      <c r="F10" s="5" t="s">
        <v>942</v>
      </c>
      <c r="G10" s="5" t="s">
        <v>943</v>
      </c>
      <c r="H10" s="5" t="n">
        <v>29.706</v>
      </c>
      <c r="I10" s="5" t="n">
        <v>76.956</v>
      </c>
      <c r="J10" s="5" t="s">
        <v>83</v>
      </c>
      <c r="K10" s="5" t="n">
        <v>2019</v>
      </c>
      <c r="L10" s="5" t="s">
        <v>84</v>
      </c>
      <c r="M10" s="5" t="s">
        <v>85</v>
      </c>
      <c r="N10" s="5" t="s">
        <v>86</v>
      </c>
      <c r="O10" s="5" t="s">
        <v>2097</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3549</v>
      </c>
      <c r="AS10" s="5" t="s">
        <v>2119</v>
      </c>
      <c r="AT10" s="5" t="s">
        <v>2120</v>
      </c>
      <c r="AU10" s="5" t="s">
        <v>2121</v>
      </c>
      <c r="AV10" s="5" t="s">
        <v>91</v>
      </c>
      <c r="AW10" s="23" t="s">
        <v>3550</v>
      </c>
      <c r="AX10" s="5" t="s">
        <v>1076</v>
      </c>
      <c r="AY10" s="5" t="s">
        <v>3551</v>
      </c>
    </row>
    <row r="11" customFormat="false" ht="14.25" hidden="false" customHeight="true" outlineLevel="0" collapsed="false">
      <c r="A11" s="5" t="s">
        <v>1064</v>
      </c>
      <c r="B11" s="5" t="s">
        <v>1064</v>
      </c>
      <c r="C11" s="5" t="s">
        <v>1065</v>
      </c>
      <c r="D11" s="5" t="n">
        <v>2022</v>
      </c>
      <c r="E11" s="5" t="s">
        <v>80</v>
      </c>
      <c r="F11" s="5" t="s">
        <v>942</v>
      </c>
      <c r="G11" s="5" t="s">
        <v>943</v>
      </c>
      <c r="H11" s="5" t="n">
        <v>29.706</v>
      </c>
      <c r="I11" s="5" t="n">
        <v>76.956</v>
      </c>
      <c r="J11" s="5" t="s">
        <v>83</v>
      </c>
      <c r="K11" s="5" t="n">
        <v>2019</v>
      </c>
      <c r="L11" s="5" t="s">
        <v>84</v>
      </c>
      <c r="M11" s="5" t="s">
        <v>85</v>
      </c>
      <c r="N11" s="5" t="s">
        <v>86</v>
      </c>
      <c r="O11" s="5" t="s">
        <v>2124</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3549</v>
      </c>
      <c r="AS11" s="5" t="s">
        <v>2119</v>
      </c>
      <c r="AT11" s="5" t="s">
        <v>2120</v>
      </c>
      <c r="AU11" s="5" t="s">
        <v>2121</v>
      </c>
      <c r="AV11" s="5" t="s">
        <v>91</v>
      </c>
      <c r="AW11" s="23" t="s">
        <v>3552</v>
      </c>
      <c r="AX11" s="5" t="s">
        <v>1076</v>
      </c>
      <c r="AY11" s="5" t="s">
        <v>3551</v>
      </c>
    </row>
    <row r="12" customFormat="false" ht="14.25" hidden="false" customHeight="true" outlineLevel="0" collapsed="false">
      <c r="A12" s="5" t="s">
        <v>1064</v>
      </c>
      <c r="B12" s="5" t="s">
        <v>1064</v>
      </c>
      <c r="C12" s="5" t="s">
        <v>1065</v>
      </c>
      <c r="D12" s="5" t="n">
        <v>2022</v>
      </c>
      <c r="E12" s="5" t="s">
        <v>80</v>
      </c>
      <c r="F12" s="5" t="s">
        <v>942</v>
      </c>
      <c r="G12" s="5" t="s">
        <v>943</v>
      </c>
      <c r="H12" s="5" t="n">
        <v>29.706</v>
      </c>
      <c r="I12" s="5" t="n">
        <v>76.956</v>
      </c>
      <c r="J12" s="5" t="s">
        <v>83</v>
      </c>
      <c r="K12" s="5" t="n">
        <v>2019</v>
      </c>
      <c r="L12" s="5" t="s">
        <v>84</v>
      </c>
      <c r="M12" s="5" t="s">
        <v>85</v>
      </c>
      <c r="N12" s="5" t="s">
        <v>2050</v>
      </c>
      <c r="O12" s="5" t="s">
        <v>2051</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3549</v>
      </c>
      <c r="AS12" s="5" t="s">
        <v>2119</v>
      </c>
      <c r="AT12" s="5" t="s">
        <v>2120</v>
      </c>
      <c r="AU12" s="5" t="s">
        <v>2121</v>
      </c>
      <c r="AV12" s="5" t="s">
        <v>91</v>
      </c>
      <c r="AW12" s="23" t="s">
        <v>3553</v>
      </c>
      <c r="AX12" s="5" t="s">
        <v>1076</v>
      </c>
      <c r="AY12" s="5" t="s">
        <v>3551</v>
      </c>
    </row>
    <row r="13" customFormat="false" ht="14.25" hidden="false" customHeight="true" outlineLevel="0" collapsed="false">
      <c r="A13" s="18" t="n">
        <v>172</v>
      </c>
      <c r="B13" s="18" t="n">
        <v>172</v>
      </c>
      <c r="C13" s="18" t="s">
        <v>1100</v>
      </c>
      <c r="D13" s="18" t="n">
        <v>2005</v>
      </c>
      <c r="E13" s="18" t="s">
        <v>1101</v>
      </c>
      <c r="F13" s="18" t="s">
        <v>3054</v>
      </c>
      <c r="G13" s="18" t="s">
        <v>1105</v>
      </c>
      <c r="H13" s="18" t="n">
        <v>33.2</v>
      </c>
      <c r="I13" s="18" t="n">
        <v>130.5</v>
      </c>
      <c r="J13" s="18" t="s">
        <v>921</v>
      </c>
      <c r="K13" s="18" t="n">
        <v>2003</v>
      </c>
      <c r="L13" s="18" t="s">
        <v>853</v>
      </c>
      <c r="M13" s="18" t="s">
        <v>85</v>
      </c>
      <c r="N13" s="18" t="s">
        <v>86</v>
      </c>
      <c r="O13" s="18" t="s">
        <v>3055</v>
      </c>
      <c r="P13" s="18"/>
      <c r="Q13" s="18" t="n">
        <v>5.4</v>
      </c>
      <c r="R13" s="18"/>
      <c r="S13" s="18"/>
      <c r="T13" s="18"/>
      <c r="U13" s="18"/>
      <c r="V13" s="18" t="n">
        <v>5.3</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3554</v>
      </c>
      <c r="AS13" s="18" t="s">
        <v>3057</v>
      </c>
      <c r="AT13" s="18" t="s">
        <v>3058</v>
      </c>
      <c r="AU13" s="18" t="s">
        <v>3059</v>
      </c>
      <c r="AV13" s="18" t="s">
        <v>2102</v>
      </c>
      <c r="AW13" s="32" t="s">
        <v>3555</v>
      </c>
      <c r="AX13" s="18" t="s">
        <v>1112</v>
      </c>
      <c r="AY13" s="18" t="s">
        <v>3556</v>
      </c>
    </row>
    <row r="14" customFormat="false" ht="14.25" hidden="false" customHeight="true" outlineLevel="0" collapsed="false">
      <c r="A14" s="18" t="n">
        <v>172</v>
      </c>
      <c r="B14" s="18" t="n">
        <v>172</v>
      </c>
      <c r="C14" s="18" t="s">
        <v>1100</v>
      </c>
      <c r="D14" s="18" t="n">
        <v>2005</v>
      </c>
      <c r="E14" s="18" t="s">
        <v>1101</v>
      </c>
      <c r="F14" s="18" t="s">
        <v>3054</v>
      </c>
      <c r="G14" s="18" t="s">
        <v>1105</v>
      </c>
      <c r="H14" s="18" t="n">
        <v>33.2</v>
      </c>
      <c r="I14" s="18" t="n">
        <v>130.5</v>
      </c>
      <c r="J14" s="18" t="s">
        <v>921</v>
      </c>
      <c r="K14" s="18" t="n">
        <v>2003</v>
      </c>
      <c r="L14" s="18" t="s">
        <v>853</v>
      </c>
      <c r="M14" s="18" t="s">
        <v>85</v>
      </c>
      <c r="N14" s="18" t="s">
        <v>86</v>
      </c>
      <c r="O14" s="18" t="s">
        <v>3055</v>
      </c>
      <c r="P14" s="18"/>
      <c r="Q14" s="18" t="n">
        <v>5.4</v>
      </c>
      <c r="R14" s="18"/>
      <c r="S14" s="18"/>
      <c r="T14" s="18"/>
      <c r="U14" s="18"/>
      <c r="V14" s="18" t="n">
        <v>5.2</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3554</v>
      </c>
      <c r="AS14" s="18" t="s">
        <v>3057</v>
      </c>
      <c r="AT14" s="18" t="s">
        <v>3058</v>
      </c>
      <c r="AU14" s="18" t="s">
        <v>3059</v>
      </c>
      <c r="AV14" s="18" t="s">
        <v>2102</v>
      </c>
      <c r="AW14" s="32" t="s">
        <v>3557</v>
      </c>
      <c r="AX14" s="18" t="s">
        <v>1112</v>
      </c>
      <c r="AY14" s="18" t="s">
        <v>3556</v>
      </c>
    </row>
    <row r="15" customFormat="false" ht="14.25" hidden="false" customHeight="true" outlineLevel="0" collapsed="false">
      <c r="A15" s="18" t="n">
        <v>172</v>
      </c>
      <c r="B15" s="18" t="n">
        <v>172</v>
      </c>
      <c r="C15" s="18" t="s">
        <v>1100</v>
      </c>
      <c r="D15" s="18" t="n">
        <v>2005</v>
      </c>
      <c r="E15" s="18" t="s">
        <v>1101</v>
      </c>
      <c r="F15" s="18" t="s">
        <v>3054</v>
      </c>
      <c r="G15" s="18" t="s">
        <v>1105</v>
      </c>
      <c r="H15" s="18" t="n">
        <v>33.2</v>
      </c>
      <c r="I15" s="18" t="n">
        <v>130.5</v>
      </c>
      <c r="J15" s="18" t="s">
        <v>921</v>
      </c>
      <c r="K15" s="18" t="n">
        <v>2003</v>
      </c>
      <c r="L15" s="18" t="s">
        <v>853</v>
      </c>
      <c r="M15" s="18" t="s">
        <v>85</v>
      </c>
      <c r="N15" s="18" t="s">
        <v>86</v>
      </c>
      <c r="O15" s="18" t="s">
        <v>3055</v>
      </c>
      <c r="P15" s="18"/>
      <c r="Q15" s="18" t="n">
        <v>5.4</v>
      </c>
      <c r="R15" s="18"/>
      <c r="S15" s="18"/>
      <c r="T15" s="18"/>
      <c r="U15" s="18"/>
      <c r="V15" s="18" t="n">
        <v>5.3</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3554</v>
      </c>
      <c r="AS15" s="18" t="s">
        <v>3057</v>
      </c>
      <c r="AT15" s="18" t="s">
        <v>3058</v>
      </c>
      <c r="AU15" s="18" t="s">
        <v>3059</v>
      </c>
      <c r="AV15" s="18" t="s">
        <v>2102</v>
      </c>
      <c r="AW15" s="32" t="s">
        <v>3558</v>
      </c>
      <c r="AX15" s="18" t="s">
        <v>1112</v>
      </c>
      <c r="AY15" s="18" t="s">
        <v>3556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3559</v>
      </c>
      <c r="Q1" s="27" t="s">
        <v>3560</v>
      </c>
      <c r="R1" s="27" t="s">
        <v>3561</v>
      </c>
      <c r="S1" s="27" t="s">
        <v>3562</v>
      </c>
      <c r="T1" s="27" t="s">
        <v>3563</v>
      </c>
      <c r="U1" s="27" t="s">
        <v>3564</v>
      </c>
      <c r="V1" s="27" t="s">
        <v>3565</v>
      </c>
      <c r="W1" s="27" t="s">
        <v>3566</v>
      </c>
      <c r="X1" s="30" t="s">
        <v>3567</v>
      </c>
      <c r="Y1" s="30" t="s">
        <v>3568</v>
      </c>
      <c r="Z1" s="30" t="s">
        <v>3569</v>
      </c>
      <c r="AA1" s="30" t="s">
        <v>3570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965</v>
      </c>
      <c r="B2" s="18" t="s">
        <v>965</v>
      </c>
      <c r="C2" s="18" t="s">
        <v>966</v>
      </c>
      <c r="D2" s="18" t="n">
        <v>2020</v>
      </c>
      <c r="E2" s="18" t="s">
        <v>967</v>
      </c>
      <c r="F2" s="18" t="s">
        <v>866</v>
      </c>
      <c r="G2" s="18" t="s">
        <v>970</v>
      </c>
      <c r="H2" s="18" t="n">
        <v>28.4</v>
      </c>
      <c r="I2" s="18" t="n">
        <v>77.1</v>
      </c>
      <c r="J2" s="18" t="s">
        <v>83</v>
      </c>
      <c r="K2" s="18" t="s">
        <v>2075</v>
      </c>
      <c r="L2" s="18" t="s">
        <v>853</v>
      </c>
      <c r="M2" s="18" t="s">
        <v>85</v>
      </c>
      <c r="N2" s="18" t="s">
        <v>86</v>
      </c>
      <c r="O2" s="18" t="s">
        <v>2043</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3571</v>
      </c>
      <c r="AS2" s="18" t="s">
        <v>2076</v>
      </c>
      <c r="AT2" s="18" t="s">
        <v>2077</v>
      </c>
      <c r="AU2" s="18" t="s">
        <v>2078</v>
      </c>
      <c r="AV2" s="18" t="s">
        <v>2047</v>
      </c>
      <c r="AW2" s="32" t="s">
        <v>3572</v>
      </c>
      <c r="AX2" s="18" t="s">
        <v>979</v>
      </c>
      <c r="AY2" s="18" t="s">
        <v>3541</v>
      </c>
      <c r="BA2" s="33" t="s">
        <v>1391</v>
      </c>
    </row>
    <row r="3" customFormat="false" ht="15" hidden="false" customHeight="true" outlineLevel="0" collapsed="false">
      <c r="A3" s="18" t="s">
        <v>965</v>
      </c>
      <c r="B3" s="18" t="s">
        <v>965</v>
      </c>
      <c r="C3" s="18" t="s">
        <v>966</v>
      </c>
      <c r="D3" s="18" t="n">
        <v>2020</v>
      </c>
      <c r="E3" s="18" t="s">
        <v>967</v>
      </c>
      <c r="F3" s="18" t="s">
        <v>866</v>
      </c>
      <c r="G3" s="18" t="s">
        <v>970</v>
      </c>
      <c r="H3" s="18" t="n">
        <v>28.4</v>
      </c>
      <c r="I3" s="18" t="n">
        <v>77.1</v>
      </c>
      <c r="J3" s="18" t="s">
        <v>83</v>
      </c>
      <c r="K3" s="18" t="s">
        <v>2075</v>
      </c>
      <c r="L3" s="18" t="s">
        <v>853</v>
      </c>
      <c r="M3" s="18" t="s">
        <v>85</v>
      </c>
      <c r="N3" s="18" t="s">
        <v>86</v>
      </c>
      <c r="O3" s="18" t="s">
        <v>2043</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3571</v>
      </c>
      <c r="AS3" s="18" t="s">
        <v>2082</v>
      </c>
      <c r="AT3" s="18" t="s">
        <v>2077</v>
      </c>
      <c r="AU3" s="18" t="s">
        <v>2078</v>
      </c>
      <c r="AV3" s="18" t="s">
        <v>2047</v>
      </c>
      <c r="AW3" s="32" t="s">
        <v>3573</v>
      </c>
      <c r="AX3" s="18" t="s">
        <v>979</v>
      </c>
      <c r="AY3" s="18" t="s">
        <v>3541</v>
      </c>
    </row>
    <row r="4" customFormat="false" ht="1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3571</v>
      </c>
      <c r="AS4" s="18" t="s">
        <v>2084</v>
      </c>
      <c r="AT4" s="18" t="s">
        <v>2077</v>
      </c>
      <c r="AU4" s="18" t="s">
        <v>2078</v>
      </c>
      <c r="AV4" s="18" t="s">
        <v>2047</v>
      </c>
      <c r="AW4" s="32" t="s">
        <v>3574</v>
      </c>
      <c r="AX4" s="18" t="s">
        <v>979</v>
      </c>
      <c r="AY4" s="18" t="s">
        <v>3541</v>
      </c>
    </row>
    <row r="5" customFormat="false" ht="14.2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3571</v>
      </c>
      <c r="AS5" s="18" t="s">
        <v>2086</v>
      </c>
      <c r="AT5" s="18" t="s">
        <v>2077</v>
      </c>
      <c r="AU5" s="18" t="s">
        <v>2078</v>
      </c>
      <c r="AV5" s="18" t="s">
        <v>2047</v>
      </c>
      <c r="AW5" s="32" t="s">
        <v>3575</v>
      </c>
      <c r="AX5" s="18" t="s">
        <v>979</v>
      </c>
      <c r="AY5" s="18" t="s">
        <v>3541</v>
      </c>
    </row>
    <row r="6" customFormat="false" ht="14.2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3571</v>
      </c>
      <c r="AS6" s="18" t="s">
        <v>2088</v>
      </c>
      <c r="AT6" s="18" t="s">
        <v>2077</v>
      </c>
      <c r="AU6" s="18" t="s">
        <v>2078</v>
      </c>
      <c r="AV6" s="18" t="s">
        <v>2047</v>
      </c>
      <c r="AW6" s="32" t="s">
        <v>3576</v>
      </c>
      <c r="AX6" s="18" t="s">
        <v>979</v>
      </c>
      <c r="AY6" s="18" t="s">
        <v>3541</v>
      </c>
    </row>
    <row r="7" customFormat="false" ht="14.2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3571</v>
      </c>
      <c r="AS7" s="18" t="s">
        <v>2090</v>
      </c>
      <c r="AT7" s="18" t="s">
        <v>2077</v>
      </c>
      <c r="AU7" s="18" t="s">
        <v>2078</v>
      </c>
      <c r="AV7" s="18" t="s">
        <v>2047</v>
      </c>
      <c r="AW7" s="32" t="s">
        <v>3577</v>
      </c>
      <c r="AX7" s="18" t="s">
        <v>979</v>
      </c>
      <c r="AY7" s="18" t="s">
        <v>3541</v>
      </c>
    </row>
    <row r="8" customFormat="false" ht="14.2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3571</v>
      </c>
      <c r="AS8" s="18" t="s">
        <v>2092</v>
      </c>
      <c r="AT8" s="18" t="s">
        <v>2077</v>
      </c>
      <c r="AU8" s="18" t="s">
        <v>2078</v>
      </c>
      <c r="AV8" s="18" t="s">
        <v>2047</v>
      </c>
      <c r="AW8" s="32" t="s">
        <v>3578</v>
      </c>
      <c r="AX8" s="18" t="s">
        <v>979</v>
      </c>
      <c r="AY8" s="18" t="s">
        <v>3541</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3571</v>
      </c>
      <c r="AS9" s="18" t="s">
        <v>2094</v>
      </c>
      <c r="AT9" s="18" t="s">
        <v>2077</v>
      </c>
      <c r="AU9" s="18" t="s">
        <v>2078</v>
      </c>
      <c r="AV9" s="18" t="s">
        <v>2047</v>
      </c>
      <c r="AW9" s="32" t="s">
        <v>3579</v>
      </c>
      <c r="AX9" s="18" t="s">
        <v>979</v>
      </c>
      <c r="AY9" s="18" t="s">
        <v>3541</v>
      </c>
    </row>
    <row r="10" customFormat="false" ht="14.25" hidden="false" customHeight="true" outlineLevel="0" collapsed="false">
      <c r="A10" s="5" t="s">
        <v>1064</v>
      </c>
      <c r="B10" s="5" t="s">
        <v>1064</v>
      </c>
      <c r="C10" s="5" t="s">
        <v>1065</v>
      </c>
      <c r="D10" s="5" t="n">
        <v>2022</v>
      </c>
      <c r="E10" s="5" t="s">
        <v>80</v>
      </c>
      <c r="F10" s="5" t="s">
        <v>942</v>
      </c>
      <c r="G10" s="5" t="s">
        <v>943</v>
      </c>
      <c r="H10" s="5" t="n">
        <v>29.706</v>
      </c>
      <c r="I10" s="5" t="n">
        <v>76.956</v>
      </c>
      <c r="J10" s="5" t="s">
        <v>83</v>
      </c>
      <c r="K10" s="5" t="n">
        <v>2019</v>
      </c>
      <c r="L10" s="5" t="s">
        <v>84</v>
      </c>
      <c r="M10" s="5" t="s">
        <v>85</v>
      </c>
      <c r="N10" s="5" t="s">
        <v>86</v>
      </c>
      <c r="O10" s="5" t="s">
        <v>2097</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3580</v>
      </c>
      <c r="AS10" s="5" t="s">
        <v>2119</v>
      </c>
      <c r="AT10" s="5" t="s">
        <v>2120</v>
      </c>
      <c r="AU10" s="5" t="s">
        <v>2121</v>
      </c>
      <c r="AV10" s="5" t="s">
        <v>91</v>
      </c>
      <c r="AW10" s="23" t="s">
        <v>3581</v>
      </c>
      <c r="AX10" s="5" t="s">
        <v>1076</v>
      </c>
      <c r="AY10" s="5" t="s">
        <v>3582</v>
      </c>
    </row>
    <row r="11" customFormat="false" ht="14.25" hidden="false" customHeight="true" outlineLevel="0" collapsed="false">
      <c r="A11" s="5" t="s">
        <v>1064</v>
      </c>
      <c r="B11" s="5" t="s">
        <v>1064</v>
      </c>
      <c r="C11" s="5" t="s">
        <v>1065</v>
      </c>
      <c r="D11" s="5" t="n">
        <v>2022</v>
      </c>
      <c r="E11" s="5" t="s">
        <v>80</v>
      </c>
      <c r="F11" s="5" t="s">
        <v>942</v>
      </c>
      <c r="G11" s="5" t="s">
        <v>943</v>
      </c>
      <c r="H11" s="5" t="n">
        <v>29.706</v>
      </c>
      <c r="I11" s="5" t="n">
        <v>76.956</v>
      </c>
      <c r="J11" s="5" t="s">
        <v>83</v>
      </c>
      <c r="K11" s="5" t="n">
        <v>2019</v>
      </c>
      <c r="L11" s="5" t="s">
        <v>84</v>
      </c>
      <c r="M11" s="5" t="s">
        <v>85</v>
      </c>
      <c r="N11" s="5" t="s">
        <v>86</v>
      </c>
      <c r="O11" s="5" t="s">
        <v>2124</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3580</v>
      </c>
      <c r="AS11" s="5" t="s">
        <v>2119</v>
      </c>
      <c r="AT11" s="5" t="s">
        <v>2120</v>
      </c>
      <c r="AU11" s="5" t="s">
        <v>2121</v>
      </c>
      <c r="AV11" s="5" t="s">
        <v>91</v>
      </c>
      <c r="AW11" s="23" t="s">
        <v>3583</v>
      </c>
      <c r="AX11" s="5" t="s">
        <v>1076</v>
      </c>
      <c r="AY11" s="5" t="s">
        <v>3582</v>
      </c>
    </row>
    <row r="12" customFormat="false" ht="14.25" hidden="false" customHeight="true" outlineLevel="0" collapsed="false">
      <c r="A12" s="5" t="s">
        <v>1064</v>
      </c>
      <c r="B12" s="5" t="s">
        <v>1064</v>
      </c>
      <c r="C12" s="5" t="s">
        <v>1065</v>
      </c>
      <c r="D12" s="5" t="n">
        <v>2022</v>
      </c>
      <c r="E12" s="5" t="s">
        <v>80</v>
      </c>
      <c r="F12" s="5" t="s">
        <v>942</v>
      </c>
      <c r="G12" s="5" t="s">
        <v>943</v>
      </c>
      <c r="H12" s="5" t="n">
        <v>29.706</v>
      </c>
      <c r="I12" s="5" t="n">
        <v>76.956</v>
      </c>
      <c r="J12" s="5" t="s">
        <v>83</v>
      </c>
      <c r="K12" s="5" t="n">
        <v>2019</v>
      </c>
      <c r="L12" s="5" t="s">
        <v>84</v>
      </c>
      <c r="M12" s="5" t="s">
        <v>85</v>
      </c>
      <c r="N12" s="5" t="s">
        <v>2050</v>
      </c>
      <c r="O12" s="5" t="s">
        <v>2051</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3580</v>
      </c>
      <c r="AS12" s="5" t="s">
        <v>2119</v>
      </c>
      <c r="AT12" s="5" t="s">
        <v>2120</v>
      </c>
      <c r="AU12" s="5" t="s">
        <v>2121</v>
      </c>
      <c r="AV12" s="5" t="s">
        <v>91</v>
      </c>
      <c r="AW12" s="23" t="s">
        <v>3584</v>
      </c>
      <c r="AX12" s="5" t="s">
        <v>1076</v>
      </c>
      <c r="AY12" s="5" t="s">
        <v>3582</v>
      </c>
    </row>
    <row r="13" customFormat="false" ht="14.25" hidden="false" customHeight="false" outlineLevel="0" collapsed="false">
      <c r="A13" s="24" t="n">
        <v>174</v>
      </c>
      <c r="B13" s="24" t="n">
        <v>174</v>
      </c>
      <c r="C13" s="24" t="s">
        <v>1152</v>
      </c>
      <c r="D13" s="24" t="n">
        <v>2017</v>
      </c>
      <c r="E13" s="24" t="s">
        <v>1153</v>
      </c>
      <c r="F13" s="24" t="s">
        <v>887</v>
      </c>
      <c r="G13" s="24" t="s">
        <v>1156</v>
      </c>
      <c r="H13" s="24" t="n">
        <v>29.067</v>
      </c>
      <c r="I13" s="24" t="n">
        <v>77.767</v>
      </c>
      <c r="J13" s="24" t="s">
        <v>83</v>
      </c>
      <c r="K13" s="24" t="s">
        <v>2183</v>
      </c>
      <c r="L13" s="24" t="s">
        <v>872</v>
      </c>
      <c r="M13" s="24" t="s">
        <v>85</v>
      </c>
      <c r="N13" s="24" t="s">
        <v>86</v>
      </c>
      <c r="O13" s="24" t="s">
        <v>2043</v>
      </c>
      <c r="P13" s="24" t="n">
        <v>0.127</v>
      </c>
      <c r="Q13" s="24"/>
      <c r="R13" s="24" t="n">
        <v>0.127</v>
      </c>
      <c r="S13" s="24"/>
      <c r="T13" s="24"/>
      <c r="U13" s="24"/>
      <c r="V13" s="24"/>
      <c r="W13" s="24"/>
      <c r="X13" s="24" t="n">
        <v>0.124</v>
      </c>
      <c r="Y13" s="24" t="n">
        <v>0.146</v>
      </c>
      <c r="Z13" s="24"/>
      <c r="AA13" s="24"/>
      <c r="AB13" s="24" t="n">
        <v>2</v>
      </c>
      <c r="AC13" s="24" t="n">
        <v>3</v>
      </c>
      <c r="AD13" s="24" t="n">
        <f aca="false">IF(AND(N(AB13)&gt;0,N(AC13)&gt;0),SQRT(2*AB13/AC13),"")</f>
        <v>1.15470053837925</v>
      </c>
      <c r="AE13" s="24" t="n">
        <v>16.5</v>
      </c>
      <c r="AF13" s="24" t="n">
        <v>5</v>
      </c>
      <c r="AG13" s="24" t="n">
        <v>46</v>
      </c>
      <c r="AH13" s="24" t="n">
        <v>863</v>
      </c>
      <c r="AI13" s="24" t="n">
        <v>29.067</v>
      </c>
      <c r="AJ13" s="24" t="n">
        <v>2</v>
      </c>
      <c r="AK13" s="24"/>
      <c r="AL13" s="24"/>
      <c r="AM13" s="24" t="n">
        <v>8.1</v>
      </c>
      <c r="AN13" s="24" t="n">
        <v>8.3</v>
      </c>
      <c r="AO13" s="24"/>
      <c r="AP13" s="24" t="n">
        <v>62</v>
      </c>
      <c r="AQ13" s="24" t="n">
        <v>20.5</v>
      </c>
      <c r="AR13" s="24" t="s">
        <v>3585</v>
      </c>
      <c r="AS13" s="24" t="s">
        <v>2184</v>
      </c>
      <c r="AT13" s="24" t="s">
        <v>2185</v>
      </c>
      <c r="AU13" s="24" t="s">
        <v>2186</v>
      </c>
      <c r="AV13" s="24" t="s">
        <v>2102</v>
      </c>
      <c r="AW13" s="25" t="s">
        <v>3586</v>
      </c>
      <c r="AX13" s="24" t="s">
        <v>1167</v>
      </c>
      <c r="AY13" s="24" t="s">
        <v>3587</v>
      </c>
    </row>
    <row r="14" customFormat="false" ht="14.25" hidden="false" customHeight="false" outlineLevel="0" collapsed="false">
      <c r="A14" s="24" t="n">
        <v>174</v>
      </c>
      <c r="B14" s="24" t="n">
        <v>174</v>
      </c>
      <c r="C14" s="24" t="s">
        <v>1152</v>
      </c>
      <c r="D14" s="24" t="n">
        <v>2017</v>
      </c>
      <c r="E14" s="24" t="s">
        <v>1153</v>
      </c>
      <c r="F14" s="24" t="s">
        <v>887</v>
      </c>
      <c r="G14" s="24" t="s">
        <v>1156</v>
      </c>
      <c r="H14" s="24" t="n">
        <v>29.067</v>
      </c>
      <c r="I14" s="24" t="n">
        <v>77.767</v>
      </c>
      <c r="J14" s="24" t="s">
        <v>83</v>
      </c>
      <c r="K14" s="24" t="s">
        <v>2183</v>
      </c>
      <c r="L14" s="24" t="s">
        <v>872</v>
      </c>
      <c r="M14" s="24" t="s">
        <v>85</v>
      </c>
      <c r="N14" s="24" t="s">
        <v>86</v>
      </c>
      <c r="O14" s="24" t="s">
        <v>2043</v>
      </c>
      <c r="P14" s="24" t="n">
        <v>0.128</v>
      </c>
      <c r="Q14" s="24"/>
      <c r="R14" s="24" t="n">
        <v>0.134</v>
      </c>
      <c r="S14" s="24"/>
      <c r="T14" s="24"/>
      <c r="U14" s="24"/>
      <c r="V14" s="24"/>
      <c r="W14" s="24"/>
      <c r="X14" s="24" t="n">
        <v>0.124</v>
      </c>
      <c r="Y14" s="24" t="n">
        <v>0.146</v>
      </c>
      <c r="Z14" s="24"/>
      <c r="AA14" s="24"/>
      <c r="AB14" s="24" t="n">
        <v>2</v>
      </c>
      <c r="AC14" s="24" t="n">
        <v>3</v>
      </c>
      <c r="AD14" s="24" t="n">
        <f aca="false">IF(AND(N(AB14)&gt;0,N(AC14)&gt;0),SQRT(2*AB14/AC14),"")</f>
        <v>1.15470053837925</v>
      </c>
      <c r="AE14" s="24" t="n">
        <v>16.5</v>
      </c>
      <c r="AF14" s="24" t="n">
        <v>5</v>
      </c>
      <c r="AG14" s="24" t="n">
        <v>46</v>
      </c>
      <c r="AH14" s="24" t="n">
        <v>863</v>
      </c>
      <c r="AI14" s="24" t="n">
        <v>29.067</v>
      </c>
      <c r="AJ14" s="24" t="n">
        <v>2</v>
      </c>
      <c r="AK14" s="24"/>
      <c r="AL14" s="24"/>
      <c r="AM14" s="24" t="n">
        <v>8.1</v>
      </c>
      <c r="AN14" s="24" t="n">
        <v>8.3</v>
      </c>
      <c r="AO14" s="24"/>
      <c r="AP14" s="24" t="n">
        <v>62</v>
      </c>
      <c r="AQ14" s="24" t="n">
        <v>20.5</v>
      </c>
      <c r="AR14" s="24" t="s">
        <v>3585</v>
      </c>
      <c r="AS14" s="24" t="s">
        <v>2184</v>
      </c>
      <c r="AT14" s="24" t="s">
        <v>2185</v>
      </c>
      <c r="AU14" s="24" t="s">
        <v>2186</v>
      </c>
      <c r="AV14" s="24" t="s">
        <v>2102</v>
      </c>
      <c r="AW14" s="25" t="s">
        <v>3588</v>
      </c>
      <c r="AX14" s="24" t="s">
        <v>1167</v>
      </c>
      <c r="AY14" s="24" t="s">
        <v>3587</v>
      </c>
    </row>
    <row r="15" customFormat="false" ht="14.25" hidden="false" customHeight="false" outlineLevel="0" collapsed="false">
      <c r="A15" s="24" t="n">
        <v>176</v>
      </c>
      <c r="B15" s="24" t="n">
        <v>176</v>
      </c>
      <c r="C15" s="24" t="s">
        <v>1191</v>
      </c>
      <c r="D15" s="24" t="n">
        <v>2015</v>
      </c>
      <c r="E15" s="24" t="s">
        <v>1192</v>
      </c>
      <c r="F15" s="24" t="s">
        <v>1195</v>
      </c>
      <c r="G15" s="24" t="s">
        <v>1196</v>
      </c>
      <c r="H15" s="24" t="n">
        <v>41.55</v>
      </c>
      <c r="I15" s="24" t="n">
        <v>60.63</v>
      </c>
      <c r="J15" s="24" t="s">
        <v>921</v>
      </c>
      <c r="K15" s="24" t="s">
        <v>2355</v>
      </c>
      <c r="L15" s="24" t="s">
        <v>872</v>
      </c>
      <c r="M15" s="24" t="s">
        <v>85</v>
      </c>
      <c r="N15" s="24" t="s">
        <v>86</v>
      </c>
      <c r="O15" s="24" t="s">
        <v>2062</v>
      </c>
      <c r="P15" s="24" t="n">
        <v>2.93</v>
      </c>
      <c r="Q15" s="24"/>
      <c r="R15" s="24" t="n">
        <v>4.13</v>
      </c>
      <c r="S15" s="24"/>
      <c r="T15" s="24"/>
      <c r="U15" s="24"/>
      <c r="V15" s="24"/>
      <c r="W15" s="24"/>
      <c r="X15" s="24"/>
      <c r="Y15" s="24"/>
      <c r="Z15" s="24"/>
      <c r="AA15" s="24"/>
      <c r="AB15" s="24" t="n">
        <v>2</v>
      </c>
      <c r="AC15" s="24" t="n">
        <v>4</v>
      </c>
      <c r="AD15" s="24" t="n">
        <f aca="false">IF(AND(N(AB15)&gt;0,N(AC15)&gt;0),SQRT(2*AB15/AC15),"")</f>
        <v>1</v>
      </c>
      <c r="AE15" s="24" t="n">
        <v>19</v>
      </c>
      <c r="AF15" s="24" t="n">
        <v>-7</v>
      </c>
      <c r="AG15" s="24" t="n">
        <v>40</v>
      </c>
      <c r="AH15" s="24" t="n">
        <v>100</v>
      </c>
      <c r="AI15" s="24" t="n">
        <v>41.55</v>
      </c>
      <c r="AJ15" s="24" t="n">
        <v>1</v>
      </c>
      <c r="AK15" s="24" t="n">
        <v>13.4</v>
      </c>
      <c r="AL15" s="24"/>
      <c r="AM15" s="24"/>
      <c r="AN15" s="24" t="n">
        <v>3.6</v>
      </c>
      <c r="AO15" s="24" t="n">
        <v>1.35</v>
      </c>
      <c r="AP15" s="24" t="n">
        <v>23</v>
      </c>
      <c r="AQ15" s="24" t="n">
        <v>58</v>
      </c>
      <c r="AR15" s="24" t="s">
        <v>3589</v>
      </c>
      <c r="AS15" s="24" t="s">
        <v>3590</v>
      </c>
      <c r="AT15" s="24" t="s">
        <v>3591</v>
      </c>
      <c r="AU15" s="24" t="s">
        <v>3592</v>
      </c>
      <c r="AV15" s="24" t="s">
        <v>2638</v>
      </c>
      <c r="AW15" s="25" t="s">
        <v>3593</v>
      </c>
      <c r="AX15" s="24" t="s">
        <v>1211</v>
      </c>
      <c r="AY15" s="24" t="s">
        <v>3594</v>
      </c>
    </row>
    <row r="16" customFormat="false" ht="14.25" hidden="false" customHeight="false" outlineLevel="0" collapsed="false">
      <c r="A16" s="24" t="n">
        <v>176</v>
      </c>
      <c r="B16" s="24" t="n">
        <v>176</v>
      </c>
      <c r="C16" s="24" t="s">
        <v>1191</v>
      </c>
      <c r="D16" s="24" t="n">
        <v>2015</v>
      </c>
      <c r="E16" s="24" t="s">
        <v>1192</v>
      </c>
      <c r="F16" s="24" t="s">
        <v>1195</v>
      </c>
      <c r="G16" s="24" t="s">
        <v>1196</v>
      </c>
      <c r="H16" s="24" t="n">
        <v>41.55</v>
      </c>
      <c r="I16" s="24" t="n">
        <v>60.63</v>
      </c>
      <c r="J16" s="24" t="s">
        <v>921</v>
      </c>
      <c r="K16" s="24" t="s">
        <v>2355</v>
      </c>
      <c r="L16" s="24" t="s">
        <v>872</v>
      </c>
      <c r="M16" s="24" t="s">
        <v>85</v>
      </c>
      <c r="N16" s="24" t="s">
        <v>86</v>
      </c>
      <c r="O16" s="24" t="s">
        <v>2062</v>
      </c>
      <c r="P16" s="24" t="n">
        <v>1.93</v>
      </c>
      <c r="Q16" s="24"/>
      <c r="R16" s="24" t="n">
        <v>2.26</v>
      </c>
      <c r="S16" s="24"/>
      <c r="T16" s="24"/>
      <c r="U16" s="24"/>
      <c r="V16" s="24"/>
      <c r="W16" s="24"/>
      <c r="X16" s="24"/>
      <c r="Y16" s="24"/>
      <c r="Z16" s="24"/>
      <c r="AA16" s="24"/>
      <c r="AB16" s="24" t="n">
        <v>2</v>
      </c>
      <c r="AC16" s="24" t="n">
        <v>4</v>
      </c>
      <c r="AD16" s="24" t="n">
        <f aca="false">IF(AND(N(AB16)&gt;0,N(AC16)&gt;0),SQRT(2*AB16/AC16),"")</f>
        <v>1</v>
      </c>
      <c r="AE16" s="24" t="n">
        <v>19</v>
      </c>
      <c r="AF16" s="24" t="n">
        <v>-7</v>
      </c>
      <c r="AG16" s="24" t="n">
        <v>40</v>
      </c>
      <c r="AH16" s="24" t="n">
        <v>100</v>
      </c>
      <c r="AI16" s="24" t="n">
        <v>41.55</v>
      </c>
      <c r="AJ16" s="24" t="n">
        <v>1</v>
      </c>
      <c r="AK16" s="24" t="n">
        <v>13.4</v>
      </c>
      <c r="AL16" s="24"/>
      <c r="AM16" s="24"/>
      <c r="AN16" s="24" t="n">
        <v>3.6</v>
      </c>
      <c r="AO16" s="24" t="n">
        <v>1.35</v>
      </c>
      <c r="AP16" s="24" t="n">
        <v>23</v>
      </c>
      <c r="AQ16" s="24" t="n">
        <v>58</v>
      </c>
      <c r="AR16" s="24" t="s">
        <v>3589</v>
      </c>
      <c r="AS16" s="24" t="s">
        <v>3590</v>
      </c>
      <c r="AT16" s="24" t="s">
        <v>3591</v>
      </c>
      <c r="AU16" s="24" t="s">
        <v>3592</v>
      </c>
      <c r="AV16" s="24" t="s">
        <v>2638</v>
      </c>
      <c r="AW16" s="25" t="s">
        <v>3595</v>
      </c>
      <c r="AX16" s="24" t="s">
        <v>1211</v>
      </c>
      <c r="AY16" s="24" t="s">
        <v>3594</v>
      </c>
    </row>
    <row r="17" customFormat="false" ht="14.25" hidden="false" customHeight="false" outlineLevel="0" collapsed="false">
      <c r="A17" s="24" t="n">
        <v>176</v>
      </c>
      <c r="B17" s="24" t="n">
        <v>176</v>
      </c>
      <c r="C17" s="24" t="s">
        <v>1191</v>
      </c>
      <c r="D17" s="24" t="n">
        <v>2015</v>
      </c>
      <c r="E17" s="24" t="s">
        <v>1192</v>
      </c>
      <c r="F17" s="24" t="s">
        <v>1195</v>
      </c>
      <c r="G17" s="24" t="s">
        <v>1196</v>
      </c>
      <c r="H17" s="24" t="n">
        <v>41.55</v>
      </c>
      <c r="I17" s="24" t="n">
        <v>60.63</v>
      </c>
      <c r="J17" s="24" t="s">
        <v>921</v>
      </c>
      <c r="K17" s="24" t="s">
        <v>2355</v>
      </c>
      <c r="L17" s="24" t="s">
        <v>872</v>
      </c>
      <c r="M17" s="24" t="s">
        <v>85</v>
      </c>
      <c r="N17" s="24" t="s">
        <v>2050</v>
      </c>
      <c r="O17" s="24" t="s">
        <v>2071</v>
      </c>
      <c r="P17" s="24" t="n">
        <v>1.75</v>
      </c>
      <c r="Q17" s="24"/>
      <c r="R17" s="24" t="n">
        <v>2.56</v>
      </c>
      <c r="S17" s="24"/>
      <c r="T17" s="24"/>
      <c r="U17" s="24"/>
      <c r="V17" s="24"/>
      <c r="W17" s="24"/>
      <c r="X17" s="24"/>
      <c r="Y17" s="24"/>
      <c r="Z17" s="24"/>
      <c r="AA17" s="24"/>
      <c r="AB17" s="24" t="n">
        <v>4</v>
      </c>
      <c r="AC17" s="24" t="n">
        <v>4</v>
      </c>
      <c r="AD17" s="24" t="n">
        <f aca="false">IF(AND(N(AB17)&gt;0,N(AC17)&gt;0),SQRT(2*AB17/AC17),"")</f>
        <v>1.4142135623731</v>
      </c>
      <c r="AE17" s="24" t="n">
        <v>19</v>
      </c>
      <c r="AF17" s="24" t="n">
        <v>-7</v>
      </c>
      <c r="AG17" s="24" t="n">
        <v>40</v>
      </c>
      <c r="AH17" s="24" t="n">
        <v>100</v>
      </c>
      <c r="AI17" s="24" t="n">
        <v>41.55</v>
      </c>
      <c r="AJ17" s="24" t="n">
        <v>1</v>
      </c>
      <c r="AK17" s="24" t="n">
        <v>13.4</v>
      </c>
      <c r="AL17" s="24"/>
      <c r="AM17" s="24"/>
      <c r="AN17" s="24" t="n">
        <v>3.6</v>
      </c>
      <c r="AO17" s="24" t="n">
        <v>1.35</v>
      </c>
      <c r="AP17" s="24" t="n">
        <v>23</v>
      </c>
      <c r="AQ17" s="24" t="n">
        <v>58</v>
      </c>
      <c r="AR17" s="24" t="s">
        <v>3589</v>
      </c>
      <c r="AS17" s="24" t="s">
        <v>3590</v>
      </c>
      <c r="AT17" s="24" t="s">
        <v>3591</v>
      </c>
      <c r="AU17" s="24" t="s">
        <v>3592</v>
      </c>
      <c r="AV17" s="24" t="s">
        <v>2638</v>
      </c>
      <c r="AW17" s="25" t="s">
        <v>3596</v>
      </c>
      <c r="AX17" s="24" t="s">
        <v>1211</v>
      </c>
      <c r="AY17" s="24" t="s">
        <v>3594</v>
      </c>
    </row>
    <row r="18" customFormat="false" ht="14.25" hidden="false" customHeight="false" outlineLevel="0" collapsed="false">
      <c r="A18" s="24" t="n">
        <v>176</v>
      </c>
      <c r="B18" s="24" t="n">
        <v>176</v>
      </c>
      <c r="C18" s="24" t="s">
        <v>1191</v>
      </c>
      <c r="D18" s="24" t="n">
        <v>2015</v>
      </c>
      <c r="E18" s="24" t="s">
        <v>1192</v>
      </c>
      <c r="F18" s="24" t="s">
        <v>1195</v>
      </c>
      <c r="G18" s="24" t="s">
        <v>1196</v>
      </c>
      <c r="H18" s="24" t="n">
        <v>41.55</v>
      </c>
      <c r="I18" s="24" t="n">
        <v>60.63</v>
      </c>
      <c r="J18" s="24" t="s">
        <v>921</v>
      </c>
      <c r="K18" s="24" t="s">
        <v>2355</v>
      </c>
      <c r="L18" s="24" t="s">
        <v>872</v>
      </c>
      <c r="M18" s="24" t="s">
        <v>85</v>
      </c>
      <c r="N18" s="24" t="s">
        <v>2050</v>
      </c>
      <c r="O18" s="24" t="s">
        <v>2071</v>
      </c>
      <c r="P18" s="24" t="n">
        <v>1.77</v>
      </c>
      <c r="Q18" s="24"/>
      <c r="R18" s="24" t="n">
        <v>1.69</v>
      </c>
      <c r="S18" s="24"/>
      <c r="T18" s="24"/>
      <c r="U18" s="24"/>
      <c r="V18" s="24"/>
      <c r="W18" s="24"/>
      <c r="X18" s="24"/>
      <c r="Y18" s="24"/>
      <c r="Z18" s="24"/>
      <c r="AA18" s="24"/>
      <c r="AB18" s="24" t="n">
        <v>4</v>
      </c>
      <c r="AC18" s="24" t="n">
        <v>4</v>
      </c>
      <c r="AD18" s="24" t="n">
        <f aca="false">IF(AND(N(AB18)&gt;0,N(AC18)&gt;0),SQRT(2*AB18/AC18),"")</f>
        <v>1.4142135623731</v>
      </c>
      <c r="AE18" s="24" t="n">
        <v>19</v>
      </c>
      <c r="AF18" s="24" t="n">
        <v>-7</v>
      </c>
      <c r="AG18" s="24" t="n">
        <v>40</v>
      </c>
      <c r="AH18" s="24" t="n">
        <v>100</v>
      </c>
      <c r="AI18" s="24" t="n">
        <v>41.55</v>
      </c>
      <c r="AJ18" s="24" t="n">
        <v>1</v>
      </c>
      <c r="AK18" s="24" t="n">
        <v>13.4</v>
      </c>
      <c r="AL18" s="24"/>
      <c r="AM18" s="24"/>
      <c r="AN18" s="24" t="n">
        <v>3.6</v>
      </c>
      <c r="AO18" s="24" t="n">
        <v>1.35</v>
      </c>
      <c r="AP18" s="24" t="n">
        <v>23</v>
      </c>
      <c r="AQ18" s="24" t="n">
        <v>58</v>
      </c>
      <c r="AR18" s="24" t="s">
        <v>3589</v>
      </c>
      <c r="AS18" s="24" t="s">
        <v>3590</v>
      </c>
      <c r="AT18" s="24" t="s">
        <v>3591</v>
      </c>
      <c r="AU18" s="24" t="s">
        <v>3592</v>
      </c>
      <c r="AV18" s="24" t="s">
        <v>2638</v>
      </c>
      <c r="AW18" s="25" t="s">
        <v>3597</v>
      </c>
      <c r="AX18" s="24" t="s">
        <v>1211</v>
      </c>
      <c r="AY18" s="24" t="s">
        <v>3594</v>
      </c>
    </row>
    <row r="19" customFormat="false" ht="14.25" hidden="false" customHeight="false" outlineLevel="0" collapsed="false">
      <c r="A19" s="24" t="n">
        <v>176</v>
      </c>
      <c r="B19" s="24" t="n">
        <v>176</v>
      </c>
      <c r="C19" s="24" t="s">
        <v>1191</v>
      </c>
      <c r="D19" s="24" t="n">
        <v>2015</v>
      </c>
      <c r="E19" s="24" t="s">
        <v>1192</v>
      </c>
      <c r="F19" s="24" t="s">
        <v>1195</v>
      </c>
      <c r="G19" s="24" t="s">
        <v>1196</v>
      </c>
      <c r="H19" s="24" t="n">
        <v>41.55</v>
      </c>
      <c r="I19" s="24" t="n">
        <v>60.63</v>
      </c>
      <c r="J19" s="24" t="s">
        <v>921</v>
      </c>
      <c r="K19" s="24" t="s">
        <v>2355</v>
      </c>
      <c r="L19" s="24" t="s">
        <v>872</v>
      </c>
      <c r="M19" s="24" t="s">
        <v>85</v>
      </c>
      <c r="N19" s="24" t="s">
        <v>2050</v>
      </c>
      <c r="O19" s="24" t="s">
        <v>2073</v>
      </c>
      <c r="P19" s="24" t="n">
        <v>1.65</v>
      </c>
      <c r="Q19" s="24"/>
      <c r="R19" s="24" t="n">
        <v>2.4</v>
      </c>
      <c r="S19" s="24"/>
      <c r="T19" s="24"/>
      <c r="U19" s="24"/>
      <c r="V19" s="24"/>
      <c r="W19" s="24"/>
      <c r="X19" s="24"/>
      <c r="Y19" s="24"/>
      <c r="Z19" s="24"/>
      <c r="AA19" s="24"/>
      <c r="AB19" s="24" t="n">
        <v>4</v>
      </c>
      <c r="AC19" s="24" t="n">
        <v>4</v>
      </c>
      <c r="AD19" s="24" t="n">
        <f aca="false">IF(AND(N(AB19)&gt;0,N(AC19)&gt;0),SQRT(2*AB19/AC19),"")</f>
        <v>1.4142135623731</v>
      </c>
      <c r="AE19" s="24" t="n">
        <v>19</v>
      </c>
      <c r="AF19" s="24" t="n">
        <v>-7</v>
      </c>
      <c r="AG19" s="24" t="n">
        <v>40</v>
      </c>
      <c r="AH19" s="24" t="n">
        <v>100</v>
      </c>
      <c r="AI19" s="24" t="n">
        <v>41.55</v>
      </c>
      <c r="AJ19" s="24" t="n">
        <v>1</v>
      </c>
      <c r="AK19" s="24" t="n">
        <v>13.4</v>
      </c>
      <c r="AL19" s="24"/>
      <c r="AM19" s="24"/>
      <c r="AN19" s="24" t="n">
        <v>3.6</v>
      </c>
      <c r="AO19" s="24" t="n">
        <v>1.35</v>
      </c>
      <c r="AP19" s="24" t="n">
        <v>23</v>
      </c>
      <c r="AQ19" s="24" t="n">
        <v>58</v>
      </c>
      <c r="AR19" s="24" t="s">
        <v>3589</v>
      </c>
      <c r="AS19" s="24" t="s">
        <v>3590</v>
      </c>
      <c r="AT19" s="24" t="s">
        <v>3591</v>
      </c>
      <c r="AU19" s="24" t="s">
        <v>3592</v>
      </c>
      <c r="AV19" s="24" t="s">
        <v>2638</v>
      </c>
      <c r="AW19" s="25" t="s">
        <v>3598</v>
      </c>
      <c r="AX19" s="24" t="s">
        <v>1211</v>
      </c>
      <c r="AY19" s="24" t="s">
        <v>3594</v>
      </c>
    </row>
    <row r="20" customFormat="false" ht="14.25" hidden="false" customHeight="false" outlineLevel="0" collapsed="false">
      <c r="A20" s="24" t="n">
        <v>176</v>
      </c>
      <c r="B20" s="24" t="n">
        <v>176</v>
      </c>
      <c r="C20" s="24" t="s">
        <v>1191</v>
      </c>
      <c r="D20" s="24" t="n">
        <v>2015</v>
      </c>
      <c r="E20" s="24" t="s">
        <v>1192</v>
      </c>
      <c r="F20" s="24" t="s">
        <v>1195</v>
      </c>
      <c r="G20" s="24" t="s">
        <v>1196</v>
      </c>
      <c r="H20" s="24" t="n">
        <v>41.55</v>
      </c>
      <c r="I20" s="24" t="n">
        <v>60.63</v>
      </c>
      <c r="J20" s="24" t="s">
        <v>921</v>
      </c>
      <c r="K20" s="24" t="s">
        <v>2355</v>
      </c>
      <c r="L20" s="24" t="s">
        <v>872</v>
      </c>
      <c r="M20" s="24" t="s">
        <v>85</v>
      </c>
      <c r="N20" s="24" t="s">
        <v>2050</v>
      </c>
      <c r="O20" s="24" t="s">
        <v>2073</v>
      </c>
      <c r="P20" s="24" t="n">
        <v>1.58</v>
      </c>
      <c r="Q20" s="24"/>
      <c r="R20" s="24" t="n">
        <v>1.5</v>
      </c>
      <c r="S20" s="24"/>
      <c r="T20" s="24"/>
      <c r="U20" s="24"/>
      <c r="V20" s="24"/>
      <c r="W20" s="24"/>
      <c r="X20" s="24"/>
      <c r="Y20" s="24"/>
      <c r="Z20" s="24"/>
      <c r="AA20" s="24"/>
      <c r="AB20" s="24" t="n">
        <v>4</v>
      </c>
      <c r="AC20" s="24" t="n">
        <v>4</v>
      </c>
      <c r="AD20" s="24" t="n">
        <f aca="false">IF(AND(N(AB20)&gt;0,N(AC20)&gt;0),SQRT(2*AB20/AC20),"")</f>
        <v>1.4142135623731</v>
      </c>
      <c r="AE20" s="24" t="n">
        <v>19</v>
      </c>
      <c r="AF20" s="24" t="n">
        <v>-7</v>
      </c>
      <c r="AG20" s="24" t="n">
        <v>40</v>
      </c>
      <c r="AH20" s="24" t="n">
        <v>100</v>
      </c>
      <c r="AI20" s="24" t="n">
        <v>41.55</v>
      </c>
      <c r="AJ20" s="24" t="n">
        <v>1</v>
      </c>
      <c r="AK20" s="24" t="n">
        <v>13.4</v>
      </c>
      <c r="AL20" s="24"/>
      <c r="AM20" s="24"/>
      <c r="AN20" s="24" t="n">
        <v>3.6</v>
      </c>
      <c r="AO20" s="24" t="n">
        <v>1.35</v>
      </c>
      <c r="AP20" s="24" t="n">
        <v>23</v>
      </c>
      <c r="AQ20" s="24" t="n">
        <v>58</v>
      </c>
      <c r="AR20" s="24" t="s">
        <v>3589</v>
      </c>
      <c r="AS20" s="24" t="s">
        <v>3590</v>
      </c>
      <c r="AT20" s="24" t="s">
        <v>3591</v>
      </c>
      <c r="AU20" s="24" t="s">
        <v>3592</v>
      </c>
      <c r="AV20" s="24" t="s">
        <v>2638</v>
      </c>
      <c r="AW20" s="25" t="s">
        <v>3599</v>
      </c>
      <c r="AX20" s="24" t="s">
        <v>1211</v>
      </c>
      <c r="AY20" s="24" t="s">
        <v>3594</v>
      </c>
    </row>
    <row r="21" customFormat="false" ht="14.25" hidden="false" customHeight="false" outlineLevel="0" collapsed="false">
      <c r="A21" s="24" t="n">
        <v>176</v>
      </c>
      <c r="B21" s="24" t="n">
        <v>176</v>
      </c>
      <c r="C21" s="24" t="s">
        <v>1191</v>
      </c>
      <c r="D21" s="24" t="n">
        <v>2015</v>
      </c>
      <c r="E21" s="24" t="s">
        <v>1192</v>
      </c>
      <c r="F21" s="24" t="s">
        <v>1195</v>
      </c>
      <c r="G21" s="24" t="s">
        <v>1196</v>
      </c>
      <c r="H21" s="24" t="n">
        <v>41.55</v>
      </c>
      <c r="I21" s="24" t="n">
        <v>60.63</v>
      </c>
      <c r="J21" s="24" t="s">
        <v>921</v>
      </c>
      <c r="K21" s="24" t="s">
        <v>2355</v>
      </c>
      <c r="L21" s="24" t="s">
        <v>872</v>
      </c>
      <c r="M21" s="24" t="s">
        <v>85</v>
      </c>
      <c r="N21" s="24" t="s">
        <v>2177</v>
      </c>
      <c r="O21" s="24" t="s">
        <v>3052</v>
      </c>
      <c r="P21" s="24" t="n">
        <v>1.42</v>
      </c>
      <c r="Q21" s="24"/>
      <c r="R21" s="24" t="n">
        <v>1.64</v>
      </c>
      <c r="S21" s="24"/>
      <c r="T21" s="24"/>
      <c r="U21" s="24"/>
      <c r="V21" s="24"/>
      <c r="W21" s="24"/>
      <c r="X21" s="24"/>
      <c r="Y21" s="24"/>
      <c r="Z21" s="24"/>
      <c r="AA21" s="24"/>
      <c r="AB21" s="24" t="n">
        <v>2</v>
      </c>
      <c r="AC21" s="24" t="n">
        <v>4</v>
      </c>
      <c r="AD21" s="24" t="n">
        <f aca="false">IF(AND(N(AB21)&gt;0,N(AC21)&gt;0),SQRT(2*AB21/AC21),"")</f>
        <v>1</v>
      </c>
      <c r="AE21" s="24" t="n">
        <v>19</v>
      </c>
      <c r="AF21" s="24" t="n">
        <v>-7</v>
      </c>
      <c r="AG21" s="24" t="n">
        <v>40</v>
      </c>
      <c r="AH21" s="24" t="n">
        <v>100</v>
      </c>
      <c r="AI21" s="24" t="n">
        <v>41.55</v>
      </c>
      <c r="AJ21" s="24" t="n">
        <v>1</v>
      </c>
      <c r="AK21" s="24" t="n">
        <v>13.4</v>
      </c>
      <c r="AL21" s="24"/>
      <c r="AM21" s="24"/>
      <c r="AN21" s="24" t="n">
        <v>3.6</v>
      </c>
      <c r="AO21" s="24" t="n">
        <v>1.35</v>
      </c>
      <c r="AP21" s="24" t="n">
        <v>23</v>
      </c>
      <c r="AQ21" s="24" t="n">
        <v>58</v>
      </c>
      <c r="AR21" s="24" t="s">
        <v>3589</v>
      </c>
      <c r="AS21" s="24" t="s">
        <v>3590</v>
      </c>
      <c r="AT21" s="24" t="s">
        <v>3591</v>
      </c>
      <c r="AU21" s="24" t="s">
        <v>3592</v>
      </c>
      <c r="AV21" s="24" t="s">
        <v>2638</v>
      </c>
      <c r="AW21" s="25" t="s">
        <v>3600</v>
      </c>
      <c r="AX21" s="24" t="s">
        <v>1211</v>
      </c>
      <c r="AY21" s="24" t="s">
        <v>3594</v>
      </c>
    </row>
    <row r="22" customFormat="false" ht="14.25" hidden="false" customHeight="false" outlineLevel="0" collapsed="false">
      <c r="A22" s="24" t="n">
        <v>176</v>
      </c>
      <c r="B22" s="24" t="n">
        <v>176</v>
      </c>
      <c r="C22" s="24" t="s">
        <v>1191</v>
      </c>
      <c r="D22" s="24" t="n">
        <v>2015</v>
      </c>
      <c r="E22" s="24" t="s">
        <v>1192</v>
      </c>
      <c r="F22" s="24" t="s">
        <v>1195</v>
      </c>
      <c r="G22" s="24" t="s">
        <v>1196</v>
      </c>
      <c r="H22" s="24" t="n">
        <v>41.55</v>
      </c>
      <c r="I22" s="24" t="n">
        <v>60.63</v>
      </c>
      <c r="J22" s="24" t="s">
        <v>921</v>
      </c>
      <c r="K22" s="24" t="s">
        <v>2355</v>
      </c>
      <c r="L22" s="24" t="s">
        <v>872</v>
      </c>
      <c r="M22" s="24" t="s">
        <v>85</v>
      </c>
      <c r="N22" s="24" t="s">
        <v>2177</v>
      </c>
      <c r="O22" s="24" t="s">
        <v>3052</v>
      </c>
      <c r="P22" s="24" t="n">
        <v>1.26</v>
      </c>
      <c r="Q22" s="24"/>
      <c r="R22" s="24" t="n">
        <v>1.28</v>
      </c>
      <c r="S22" s="24"/>
      <c r="T22" s="24"/>
      <c r="U22" s="24"/>
      <c r="V22" s="24"/>
      <c r="W22" s="24"/>
      <c r="X22" s="24"/>
      <c r="Y22" s="24"/>
      <c r="Z22" s="24"/>
      <c r="AA22" s="24"/>
      <c r="AB22" s="24" t="n">
        <v>2</v>
      </c>
      <c r="AC22" s="24" t="n">
        <v>4</v>
      </c>
      <c r="AD22" s="24" t="n">
        <f aca="false">IF(AND(N(AB22)&gt;0,N(AC22)&gt;0),SQRT(2*AB22/AC22),"")</f>
        <v>1</v>
      </c>
      <c r="AE22" s="24" t="n">
        <v>19</v>
      </c>
      <c r="AF22" s="24" t="n">
        <v>-7</v>
      </c>
      <c r="AG22" s="24" t="n">
        <v>40</v>
      </c>
      <c r="AH22" s="24" t="n">
        <v>100</v>
      </c>
      <c r="AI22" s="24" t="n">
        <v>41.55</v>
      </c>
      <c r="AJ22" s="24" t="n">
        <v>1</v>
      </c>
      <c r="AK22" s="24" t="n">
        <v>13.4</v>
      </c>
      <c r="AL22" s="24"/>
      <c r="AM22" s="24"/>
      <c r="AN22" s="24" t="n">
        <v>3.6</v>
      </c>
      <c r="AO22" s="24" t="n">
        <v>1.35</v>
      </c>
      <c r="AP22" s="24" t="n">
        <v>23</v>
      </c>
      <c r="AQ22" s="24" t="n">
        <v>58</v>
      </c>
      <c r="AR22" s="24" t="s">
        <v>3589</v>
      </c>
      <c r="AS22" s="24" t="s">
        <v>3590</v>
      </c>
      <c r="AT22" s="24" t="s">
        <v>3591</v>
      </c>
      <c r="AU22" s="24" t="s">
        <v>3592</v>
      </c>
      <c r="AV22" s="24" t="s">
        <v>2638</v>
      </c>
      <c r="AW22" s="25" t="s">
        <v>3601</v>
      </c>
      <c r="AX22" s="24" t="s">
        <v>1211</v>
      </c>
      <c r="AY22" s="24" t="s">
        <v>3594</v>
      </c>
    </row>
    <row r="23" customFormat="false" ht="14.25" hidden="false" customHeight="false" outlineLevel="0" collapsed="false">
      <c r="A23" s="24" t="n">
        <v>176</v>
      </c>
      <c r="B23" s="24" t="n">
        <v>176</v>
      </c>
      <c r="C23" s="24" t="s">
        <v>1191</v>
      </c>
      <c r="D23" s="24" t="n">
        <v>2015</v>
      </c>
      <c r="E23" s="24" t="s">
        <v>1192</v>
      </c>
      <c r="F23" s="24" t="s">
        <v>1195</v>
      </c>
      <c r="G23" s="24" t="s">
        <v>1196</v>
      </c>
      <c r="H23" s="24" t="n">
        <v>41.55</v>
      </c>
      <c r="I23" s="24" t="n">
        <v>60.63</v>
      </c>
      <c r="J23" s="24" t="s">
        <v>921</v>
      </c>
      <c r="K23" s="24" t="s">
        <v>2355</v>
      </c>
      <c r="L23" s="24" t="s">
        <v>872</v>
      </c>
      <c r="M23" s="24" t="s">
        <v>85</v>
      </c>
      <c r="N23" s="24" t="s">
        <v>3602</v>
      </c>
      <c r="O23" s="24" t="s">
        <v>3603</v>
      </c>
      <c r="P23" s="24" t="n">
        <v>1.24</v>
      </c>
      <c r="Q23" s="24"/>
      <c r="R23" s="24" t="n">
        <v>1.53</v>
      </c>
      <c r="S23" s="24"/>
      <c r="T23" s="24"/>
      <c r="U23" s="24"/>
      <c r="V23" s="24"/>
      <c r="W23" s="24"/>
      <c r="X23" s="24"/>
      <c r="Y23" s="24"/>
      <c r="Z23" s="24"/>
      <c r="AA23" s="24"/>
      <c r="AB23" s="24" t="n">
        <v>2</v>
      </c>
      <c r="AC23" s="24" t="n">
        <v>4</v>
      </c>
      <c r="AD23" s="24" t="n">
        <f aca="false">IF(AND(N(AB23)&gt;0,N(AC23)&gt;0),SQRT(2*AB23/AC23),"")</f>
        <v>1</v>
      </c>
      <c r="AE23" s="24" t="n">
        <v>19</v>
      </c>
      <c r="AF23" s="24" t="n">
        <v>-7</v>
      </c>
      <c r="AG23" s="24" t="n">
        <v>40</v>
      </c>
      <c r="AH23" s="24" t="n">
        <v>100</v>
      </c>
      <c r="AI23" s="24" t="n">
        <v>41.55</v>
      </c>
      <c r="AJ23" s="24" t="n">
        <v>1</v>
      </c>
      <c r="AK23" s="24" t="n">
        <v>13.4</v>
      </c>
      <c r="AL23" s="24"/>
      <c r="AM23" s="24"/>
      <c r="AN23" s="24" t="n">
        <v>3.6</v>
      </c>
      <c r="AO23" s="24" t="n">
        <v>1.35</v>
      </c>
      <c r="AP23" s="24" t="n">
        <v>23</v>
      </c>
      <c r="AQ23" s="24" t="n">
        <v>58</v>
      </c>
      <c r="AR23" s="24" t="s">
        <v>3589</v>
      </c>
      <c r="AS23" s="24" t="s">
        <v>3590</v>
      </c>
      <c r="AT23" s="24" t="s">
        <v>3591</v>
      </c>
      <c r="AU23" s="24" t="s">
        <v>3592</v>
      </c>
      <c r="AV23" s="24" t="s">
        <v>2638</v>
      </c>
      <c r="AW23" s="25" t="s">
        <v>3604</v>
      </c>
      <c r="AX23" s="24" t="s">
        <v>1211</v>
      </c>
      <c r="AY23" s="24" t="s">
        <v>3594</v>
      </c>
    </row>
    <row r="24" customFormat="false" ht="14.25" hidden="false" customHeight="false" outlineLevel="0" collapsed="false">
      <c r="A24" s="24" t="n">
        <v>176</v>
      </c>
      <c r="B24" s="24" t="n">
        <v>176</v>
      </c>
      <c r="C24" s="24" t="s">
        <v>1191</v>
      </c>
      <c r="D24" s="24" t="n">
        <v>2015</v>
      </c>
      <c r="E24" s="24" t="s">
        <v>1192</v>
      </c>
      <c r="F24" s="24" t="s">
        <v>1195</v>
      </c>
      <c r="G24" s="24" t="s">
        <v>1196</v>
      </c>
      <c r="H24" s="24" t="n">
        <v>41.55</v>
      </c>
      <c r="I24" s="24" t="n">
        <v>60.63</v>
      </c>
      <c r="J24" s="24" t="s">
        <v>921</v>
      </c>
      <c r="K24" s="24" t="s">
        <v>2355</v>
      </c>
      <c r="L24" s="24" t="s">
        <v>872</v>
      </c>
      <c r="M24" s="24" t="s">
        <v>85</v>
      </c>
      <c r="N24" s="24" t="s">
        <v>3602</v>
      </c>
      <c r="O24" s="24" t="s">
        <v>3603</v>
      </c>
      <c r="P24" s="24" t="n">
        <v>1.21</v>
      </c>
      <c r="Q24" s="24"/>
      <c r="R24" s="24" t="n">
        <v>1.24</v>
      </c>
      <c r="S24" s="24"/>
      <c r="T24" s="24"/>
      <c r="U24" s="24"/>
      <c r="V24" s="24"/>
      <c r="W24" s="24"/>
      <c r="X24" s="24"/>
      <c r="Y24" s="24"/>
      <c r="Z24" s="24"/>
      <c r="AA24" s="24"/>
      <c r="AB24" s="24" t="n">
        <v>2</v>
      </c>
      <c r="AC24" s="24" t="n">
        <v>4</v>
      </c>
      <c r="AD24" s="24" t="n">
        <f aca="false">IF(AND(N(AB24)&gt;0,N(AC24)&gt;0),SQRT(2*AB24/AC24),"")</f>
        <v>1</v>
      </c>
      <c r="AE24" s="24" t="n">
        <v>19</v>
      </c>
      <c r="AF24" s="24" t="n">
        <v>-7</v>
      </c>
      <c r="AG24" s="24" t="n">
        <v>40</v>
      </c>
      <c r="AH24" s="24" t="n">
        <v>100</v>
      </c>
      <c r="AI24" s="24" t="n">
        <v>41.55</v>
      </c>
      <c r="AJ24" s="24" t="n">
        <v>1</v>
      </c>
      <c r="AK24" s="24" t="n">
        <v>13.4</v>
      </c>
      <c r="AL24" s="24"/>
      <c r="AM24" s="24"/>
      <c r="AN24" s="24" t="n">
        <v>3.6</v>
      </c>
      <c r="AO24" s="24" t="n">
        <v>1.35</v>
      </c>
      <c r="AP24" s="24" t="n">
        <v>23</v>
      </c>
      <c r="AQ24" s="24" t="n">
        <v>58</v>
      </c>
      <c r="AR24" s="24" t="s">
        <v>3589</v>
      </c>
      <c r="AS24" s="24" t="s">
        <v>3590</v>
      </c>
      <c r="AT24" s="24" t="s">
        <v>3591</v>
      </c>
      <c r="AU24" s="24" t="s">
        <v>3592</v>
      </c>
      <c r="AV24" s="24" t="s">
        <v>2638</v>
      </c>
      <c r="AW24" s="25" t="s">
        <v>3605</v>
      </c>
      <c r="AX24" s="24" t="s">
        <v>1211</v>
      </c>
      <c r="AY24" s="24" t="s">
        <v>3594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3606</v>
      </c>
      <c r="Q1" s="27" t="s">
        <v>3607</v>
      </c>
      <c r="R1" s="27" t="s">
        <v>3608</v>
      </c>
      <c r="S1" s="27" t="s">
        <v>3609</v>
      </c>
      <c r="T1" s="27" t="s">
        <v>3610</v>
      </c>
      <c r="U1" s="27" t="s">
        <v>3611</v>
      </c>
      <c r="V1" s="27" t="s">
        <v>3612</v>
      </c>
      <c r="W1" s="27" t="s">
        <v>3613</v>
      </c>
      <c r="X1" s="30" t="s">
        <v>3614</v>
      </c>
      <c r="Y1" s="30" t="s">
        <v>3615</v>
      </c>
      <c r="Z1" s="30" t="s">
        <v>3616</v>
      </c>
      <c r="AA1" s="30" t="s">
        <v>3617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172</v>
      </c>
      <c r="B2" s="18" t="n">
        <v>172</v>
      </c>
      <c r="C2" s="18" t="s">
        <v>1100</v>
      </c>
      <c r="D2" s="18" t="n">
        <v>2005</v>
      </c>
      <c r="E2" s="18" t="s">
        <v>1101</v>
      </c>
      <c r="F2" s="18" t="s">
        <v>3054</v>
      </c>
      <c r="G2" s="18" t="s">
        <v>1105</v>
      </c>
      <c r="H2" s="18" t="n">
        <v>33.2</v>
      </c>
      <c r="I2" s="18" t="n">
        <v>130.5</v>
      </c>
      <c r="J2" s="18" t="s">
        <v>921</v>
      </c>
      <c r="K2" s="18" t="n">
        <v>2003</v>
      </c>
      <c r="L2" s="18" t="s">
        <v>853</v>
      </c>
      <c r="M2" s="18" t="s">
        <v>85</v>
      </c>
      <c r="N2" s="18" t="s">
        <v>86</v>
      </c>
      <c r="O2" s="18" t="s">
        <v>3055</v>
      </c>
      <c r="P2" s="18"/>
      <c r="Q2" s="18" t="n">
        <v>17.4</v>
      </c>
      <c r="R2" s="18"/>
      <c r="S2" s="18"/>
      <c r="T2" s="18"/>
      <c r="U2" s="18"/>
      <c r="V2" s="18" t="n">
        <v>18.3</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3618</v>
      </c>
      <c r="AS2" s="18" t="s">
        <v>3057</v>
      </c>
      <c r="AT2" s="18" t="s">
        <v>3058</v>
      </c>
      <c r="AU2" s="18" t="s">
        <v>3059</v>
      </c>
      <c r="AV2" s="18" t="s">
        <v>2102</v>
      </c>
      <c r="AW2" s="32" t="s">
        <v>3619</v>
      </c>
      <c r="AX2" s="18" t="s">
        <v>1112</v>
      </c>
      <c r="AY2" s="18" t="s">
        <v>3620</v>
      </c>
      <c r="BA2" s="33" t="s">
        <v>1394</v>
      </c>
    </row>
    <row r="3" customFormat="false" ht="14.25" hidden="false" customHeight="true" outlineLevel="0" collapsed="false">
      <c r="A3" s="18" t="n">
        <v>172</v>
      </c>
      <c r="B3" s="18" t="n">
        <v>172</v>
      </c>
      <c r="C3" s="18" t="s">
        <v>1100</v>
      </c>
      <c r="D3" s="18" t="n">
        <v>2005</v>
      </c>
      <c r="E3" s="18" t="s">
        <v>1101</v>
      </c>
      <c r="F3" s="18" t="s">
        <v>3054</v>
      </c>
      <c r="G3" s="18" t="s">
        <v>1105</v>
      </c>
      <c r="H3" s="18" t="n">
        <v>33.2</v>
      </c>
      <c r="I3" s="18" t="n">
        <v>130.5</v>
      </c>
      <c r="J3" s="18" t="s">
        <v>921</v>
      </c>
      <c r="K3" s="18" t="n">
        <v>2003</v>
      </c>
      <c r="L3" s="18" t="s">
        <v>853</v>
      </c>
      <c r="M3" s="18" t="s">
        <v>85</v>
      </c>
      <c r="N3" s="18" t="s">
        <v>86</v>
      </c>
      <c r="O3" s="18" t="s">
        <v>3055</v>
      </c>
      <c r="P3" s="18"/>
      <c r="Q3" s="18" t="n">
        <v>17.4</v>
      </c>
      <c r="R3" s="18"/>
      <c r="S3" s="18"/>
      <c r="T3" s="18"/>
      <c r="U3" s="18"/>
      <c r="V3" s="18" t="n">
        <v>18.2</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3618</v>
      </c>
      <c r="AS3" s="18" t="s">
        <v>3057</v>
      </c>
      <c r="AT3" s="18" t="s">
        <v>3058</v>
      </c>
      <c r="AU3" s="18" t="s">
        <v>3059</v>
      </c>
      <c r="AV3" s="18" t="s">
        <v>2102</v>
      </c>
      <c r="AW3" s="32" t="s">
        <v>3621</v>
      </c>
      <c r="AX3" s="18" t="s">
        <v>1112</v>
      </c>
      <c r="AY3" s="18" t="s">
        <v>3620</v>
      </c>
    </row>
    <row r="4" customFormat="false" ht="14.25" hidden="false" customHeight="true" outlineLevel="0" collapsed="false">
      <c r="A4" s="18" t="n">
        <v>172</v>
      </c>
      <c r="B4" s="18" t="n">
        <v>172</v>
      </c>
      <c r="C4" s="18" t="s">
        <v>1100</v>
      </c>
      <c r="D4" s="18" t="n">
        <v>2005</v>
      </c>
      <c r="E4" s="18" t="s">
        <v>1101</v>
      </c>
      <c r="F4" s="18" t="s">
        <v>3054</v>
      </c>
      <c r="G4" s="18" t="s">
        <v>1105</v>
      </c>
      <c r="H4" s="18" t="n">
        <v>33.2</v>
      </c>
      <c r="I4" s="18" t="n">
        <v>130.5</v>
      </c>
      <c r="J4" s="18" t="s">
        <v>921</v>
      </c>
      <c r="K4" s="18" t="n">
        <v>2003</v>
      </c>
      <c r="L4" s="18" t="s">
        <v>853</v>
      </c>
      <c r="M4" s="18" t="s">
        <v>85</v>
      </c>
      <c r="N4" s="18" t="s">
        <v>86</v>
      </c>
      <c r="O4" s="18" t="s">
        <v>3055</v>
      </c>
      <c r="P4" s="18"/>
      <c r="Q4" s="18" t="n">
        <v>17.4</v>
      </c>
      <c r="R4" s="18"/>
      <c r="S4" s="18"/>
      <c r="T4" s="18"/>
      <c r="U4" s="18"/>
      <c r="V4" s="18" t="n">
        <v>19.8</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3618</v>
      </c>
      <c r="AS4" s="18" t="s">
        <v>3057</v>
      </c>
      <c r="AT4" s="18" t="s">
        <v>3058</v>
      </c>
      <c r="AU4" s="18" t="s">
        <v>3059</v>
      </c>
      <c r="AV4" s="18" t="s">
        <v>2102</v>
      </c>
      <c r="AW4" s="32" t="s">
        <v>3622</v>
      </c>
      <c r="AX4" s="18" t="s">
        <v>1112</v>
      </c>
      <c r="AY4" s="18" t="s">
        <v>3620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3623</v>
      </c>
      <c r="Q1" s="27" t="s">
        <v>3624</v>
      </c>
      <c r="R1" s="27" t="s">
        <v>3625</v>
      </c>
      <c r="S1" s="27" t="s">
        <v>3626</v>
      </c>
      <c r="T1" s="27" t="s">
        <v>3627</v>
      </c>
      <c r="U1" s="27" t="s">
        <v>3628</v>
      </c>
      <c r="V1" s="27" t="s">
        <v>3629</v>
      </c>
      <c r="W1" s="27" t="s">
        <v>3630</v>
      </c>
      <c r="X1" s="30" t="s">
        <v>3631</v>
      </c>
      <c r="Y1" s="30" t="s">
        <v>3632</v>
      </c>
      <c r="Z1" s="30" t="s">
        <v>3633</v>
      </c>
      <c r="AA1" s="30" t="s">
        <v>3634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164</v>
      </c>
      <c r="B2" s="5" t="n">
        <v>164</v>
      </c>
      <c r="C2" s="5" t="s">
        <v>842</v>
      </c>
      <c r="D2" s="5" t="n">
        <v>2000</v>
      </c>
      <c r="E2" s="5" t="s">
        <v>843</v>
      </c>
      <c r="F2" s="5" t="s">
        <v>917</v>
      </c>
      <c r="G2" s="5" t="s">
        <v>2987</v>
      </c>
      <c r="H2" s="5" t="n">
        <v>30.933</v>
      </c>
      <c r="I2" s="5" t="n">
        <v>75.867</v>
      </c>
      <c r="J2" s="5" t="s">
        <v>921</v>
      </c>
      <c r="K2" s="5" t="s">
        <v>2988</v>
      </c>
      <c r="L2" s="5" t="s">
        <v>853</v>
      </c>
      <c r="M2" s="5" t="s">
        <v>85</v>
      </c>
      <c r="N2" s="5" t="s">
        <v>86</v>
      </c>
      <c r="O2" s="5" t="s">
        <v>2043</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3635</v>
      </c>
      <c r="AS2" s="5" t="s">
        <v>2989</v>
      </c>
      <c r="AT2" s="5" t="s">
        <v>2990</v>
      </c>
      <c r="AU2" s="5" t="s">
        <v>2991</v>
      </c>
      <c r="AV2" s="5" t="s">
        <v>3636</v>
      </c>
      <c r="AW2" s="23" t="s">
        <v>3637</v>
      </c>
      <c r="AX2" s="5" t="s">
        <v>858</v>
      </c>
      <c r="AY2" s="5" t="s">
        <v>3638</v>
      </c>
      <c r="BA2" s="33" t="s">
        <v>1396</v>
      </c>
    </row>
    <row r="3" customFormat="false" ht="15" hidden="false" customHeight="true" outlineLevel="0" collapsed="false">
      <c r="A3" s="5" t="n">
        <v>164</v>
      </c>
      <c r="B3" s="5" t="n">
        <v>164</v>
      </c>
      <c r="C3" s="5" t="s">
        <v>842</v>
      </c>
      <c r="D3" s="5" t="n">
        <v>2000</v>
      </c>
      <c r="E3" s="5" t="s">
        <v>843</v>
      </c>
      <c r="F3" s="5" t="s">
        <v>887</v>
      </c>
      <c r="G3" s="5" t="s">
        <v>3001</v>
      </c>
      <c r="H3" s="5" t="n">
        <v>26.067</v>
      </c>
      <c r="I3" s="5" t="n">
        <v>82.133</v>
      </c>
      <c r="J3" s="5" t="s">
        <v>83</v>
      </c>
      <c r="K3" s="5" t="s">
        <v>2988</v>
      </c>
      <c r="L3" s="5" t="s">
        <v>853</v>
      </c>
      <c r="M3" s="5" t="s">
        <v>85</v>
      </c>
      <c r="N3" s="5" t="s">
        <v>86</v>
      </c>
      <c r="O3" s="5" t="s">
        <v>2043</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3635</v>
      </c>
      <c r="AS3" s="5" t="s">
        <v>2989</v>
      </c>
      <c r="AT3" s="5" t="s">
        <v>2990</v>
      </c>
      <c r="AU3" s="5" t="s">
        <v>3002</v>
      </c>
      <c r="AV3" s="5" t="s">
        <v>3636</v>
      </c>
      <c r="AW3" s="23" t="s">
        <v>3639</v>
      </c>
      <c r="AX3" s="5" t="s">
        <v>858</v>
      </c>
      <c r="AY3" s="5" t="s">
        <v>3638</v>
      </c>
    </row>
    <row r="4" customFormat="false" ht="15" hidden="false" customHeight="true" outlineLevel="0" collapsed="false">
      <c r="A4" s="5" t="n">
        <v>164</v>
      </c>
      <c r="B4" s="5" t="n">
        <v>164</v>
      </c>
      <c r="C4" s="5" t="s">
        <v>842</v>
      </c>
      <c r="D4" s="5" t="n">
        <v>2000</v>
      </c>
      <c r="E4" s="5" t="s">
        <v>843</v>
      </c>
      <c r="F4" s="5" t="s">
        <v>1980</v>
      </c>
      <c r="G4" s="5" t="s">
        <v>3008</v>
      </c>
      <c r="H4" s="5" t="n">
        <v>23</v>
      </c>
      <c r="I4" s="5" t="n">
        <v>89</v>
      </c>
      <c r="J4" s="5" t="s">
        <v>83</v>
      </c>
      <c r="K4" s="5" t="s">
        <v>3009</v>
      </c>
      <c r="L4" s="5" t="s">
        <v>853</v>
      </c>
      <c r="M4" s="5"/>
      <c r="N4" s="5" t="s">
        <v>86</v>
      </c>
      <c r="O4" s="5" t="s">
        <v>2043</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3635</v>
      </c>
      <c r="AS4" s="5" t="s">
        <v>2989</v>
      </c>
      <c r="AT4" s="5" t="s">
        <v>3010</v>
      </c>
      <c r="AU4" s="5" t="s">
        <v>3011</v>
      </c>
      <c r="AV4" s="5" t="s">
        <v>3636</v>
      </c>
      <c r="AW4" s="23" t="s">
        <v>3640</v>
      </c>
      <c r="AX4" s="5" t="s">
        <v>858</v>
      </c>
      <c r="AY4" s="5" t="s">
        <v>3638</v>
      </c>
    </row>
    <row r="5" customFormat="false" ht="14.25" hidden="false" customHeight="true" outlineLevel="0" collapsed="false">
      <c r="A5" s="5" t="n">
        <v>164</v>
      </c>
      <c r="B5" s="5" t="n">
        <v>164</v>
      </c>
      <c r="C5" s="5" t="s">
        <v>842</v>
      </c>
      <c r="D5" s="5" t="n">
        <v>2000</v>
      </c>
      <c r="E5" s="5" t="s">
        <v>843</v>
      </c>
      <c r="F5" s="5" t="s">
        <v>1985</v>
      </c>
      <c r="G5" s="5" t="s">
        <v>3013</v>
      </c>
      <c r="H5" s="5" t="n">
        <v>23.167</v>
      </c>
      <c r="I5" s="5" t="n">
        <v>79.95</v>
      </c>
      <c r="J5" s="5" t="s">
        <v>83</v>
      </c>
      <c r="K5" s="5" t="s">
        <v>2988</v>
      </c>
      <c r="L5" s="5" t="s">
        <v>853</v>
      </c>
      <c r="M5" s="5" t="s">
        <v>3005</v>
      </c>
      <c r="N5" s="5" t="s">
        <v>86</v>
      </c>
      <c r="O5" s="5" t="s">
        <v>2043</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3635</v>
      </c>
      <c r="AS5" s="5" t="s">
        <v>2989</v>
      </c>
      <c r="AT5" s="5" t="s">
        <v>2990</v>
      </c>
      <c r="AU5" s="5" t="s">
        <v>3014</v>
      </c>
      <c r="AV5" s="5" t="s">
        <v>3636</v>
      </c>
      <c r="AW5" s="23" t="s">
        <v>3641</v>
      </c>
      <c r="AX5" s="5" t="s">
        <v>858</v>
      </c>
      <c r="AY5" s="5" t="s">
        <v>3638</v>
      </c>
    </row>
    <row r="6" customFormat="false" ht="14.25" hidden="false" customHeight="true" outlineLevel="0" collapsed="false">
      <c r="A6" s="5" t="s">
        <v>982</v>
      </c>
      <c r="B6" s="5" t="s">
        <v>982</v>
      </c>
      <c r="C6" s="5" t="s">
        <v>983</v>
      </c>
      <c r="D6" s="5" t="n">
        <v>2023</v>
      </c>
      <c r="E6" s="5" t="s">
        <v>984</v>
      </c>
      <c r="F6" s="5" t="s">
        <v>987</v>
      </c>
      <c r="G6" s="5" t="s">
        <v>988</v>
      </c>
      <c r="H6" s="5" t="n">
        <v>35.27</v>
      </c>
      <c r="I6" s="5" t="n">
        <v>119.38</v>
      </c>
      <c r="J6" s="5" t="s">
        <v>921</v>
      </c>
      <c r="K6" s="5" t="n">
        <v>2020</v>
      </c>
      <c r="L6" s="5" t="s">
        <v>872</v>
      </c>
      <c r="M6" s="5"/>
      <c r="N6" s="5" t="s">
        <v>86</v>
      </c>
      <c r="O6" s="5" t="s">
        <v>2062</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3642</v>
      </c>
      <c r="AS6" s="5" t="s">
        <v>2063</v>
      </c>
      <c r="AT6" s="5" t="s">
        <v>2332</v>
      </c>
      <c r="AU6" s="5" t="s">
        <v>2065</v>
      </c>
      <c r="AV6" s="5" t="s">
        <v>2422</v>
      </c>
      <c r="AW6" s="23" t="s">
        <v>3643</v>
      </c>
      <c r="AX6" s="5" t="s">
        <v>998</v>
      </c>
      <c r="AY6" s="5" t="s">
        <v>3644</v>
      </c>
    </row>
    <row r="7" customFormat="false" ht="14.25" hidden="false" customHeight="true" outlineLevel="0" collapsed="false">
      <c r="A7" s="5" t="s">
        <v>982</v>
      </c>
      <c r="B7" s="5" t="s">
        <v>982</v>
      </c>
      <c r="C7" s="5" t="s">
        <v>983</v>
      </c>
      <c r="D7" s="5" t="n">
        <v>2023</v>
      </c>
      <c r="E7" s="5" t="s">
        <v>984</v>
      </c>
      <c r="F7" s="5" t="s">
        <v>987</v>
      </c>
      <c r="G7" s="5" t="s">
        <v>988</v>
      </c>
      <c r="H7" s="5" t="n">
        <v>35.27</v>
      </c>
      <c r="I7" s="5" t="n">
        <v>119.38</v>
      </c>
      <c r="J7" s="5" t="s">
        <v>921</v>
      </c>
      <c r="K7" s="5" t="n">
        <v>2020</v>
      </c>
      <c r="L7" s="5" t="s">
        <v>872</v>
      </c>
      <c r="M7" s="5"/>
      <c r="N7" s="5" t="s">
        <v>2050</v>
      </c>
      <c r="O7" s="5" t="s">
        <v>2071</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3642</v>
      </c>
      <c r="AS7" s="5" t="s">
        <v>2063</v>
      </c>
      <c r="AT7" s="5" t="s">
        <v>2332</v>
      </c>
      <c r="AU7" s="5" t="s">
        <v>2065</v>
      </c>
      <c r="AV7" s="5" t="s">
        <v>2422</v>
      </c>
      <c r="AW7" s="23" t="s">
        <v>3645</v>
      </c>
      <c r="AX7" s="5" t="s">
        <v>998</v>
      </c>
      <c r="AY7" s="5" t="s">
        <v>3644</v>
      </c>
    </row>
    <row r="8" customFormat="false" ht="14.25" hidden="false" customHeight="true" outlineLevel="0" collapsed="false">
      <c r="A8" s="5" t="s">
        <v>982</v>
      </c>
      <c r="B8" s="5" t="s">
        <v>982</v>
      </c>
      <c r="C8" s="5" t="s">
        <v>983</v>
      </c>
      <c r="D8" s="5" t="n">
        <v>2023</v>
      </c>
      <c r="E8" s="5" t="s">
        <v>984</v>
      </c>
      <c r="F8" s="5" t="s">
        <v>987</v>
      </c>
      <c r="G8" s="5" t="s">
        <v>988</v>
      </c>
      <c r="H8" s="5" t="n">
        <v>35.27</v>
      </c>
      <c r="I8" s="5" t="n">
        <v>119.38</v>
      </c>
      <c r="J8" s="5" t="s">
        <v>921</v>
      </c>
      <c r="K8" s="5" t="n">
        <v>2020</v>
      </c>
      <c r="L8" s="5" t="s">
        <v>872</v>
      </c>
      <c r="M8" s="5"/>
      <c r="N8" s="5" t="s">
        <v>2050</v>
      </c>
      <c r="O8" s="5" t="s">
        <v>2073</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3642</v>
      </c>
      <c r="AS8" s="5" t="s">
        <v>2063</v>
      </c>
      <c r="AT8" s="5" t="s">
        <v>2332</v>
      </c>
      <c r="AU8" s="5" t="s">
        <v>2065</v>
      </c>
      <c r="AV8" s="5" t="s">
        <v>2422</v>
      </c>
      <c r="AW8" s="23" t="s">
        <v>3646</v>
      </c>
      <c r="AX8" s="5" t="s">
        <v>998</v>
      </c>
      <c r="AY8" s="5" t="s">
        <v>3644</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3647</v>
      </c>
      <c r="AS9" s="18" t="s">
        <v>2076</v>
      </c>
      <c r="AT9" s="18" t="s">
        <v>2077</v>
      </c>
      <c r="AU9" s="18" t="s">
        <v>2078</v>
      </c>
      <c r="AV9" s="18" t="s">
        <v>2047</v>
      </c>
      <c r="AW9" s="32" t="s">
        <v>3648</v>
      </c>
      <c r="AX9" s="18" t="s">
        <v>979</v>
      </c>
      <c r="AY9" s="18" t="s">
        <v>3649</v>
      </c>
    </row>
    <row r="10" customFormat="false" ht="14.25" hidden="false" customHeight="true" outlineLevel="0" collapsed="false">
      <c r="A10" s="18" t="s">
        <v>965</v>
      </c>
      <c r="B10" s="18" t="s">
        <v>965</v>
      </c>
      <c r="C10" s="18" t="s">
        <v>966</v>
      </c>
      <c r="D10" s="18" t="n">
        <v>2020</v>
      </c>
      <c r="E10" s="18" t="s">
        <v>967</v>
      </c>
      <c r="F10" s="18" t="s">
        <v>866</v>
      </c>
      <c r="G10" s="18" t="s">
        <v>970</v>
      </c>
      <c r="H10" s="18" t="n">
        <v>28.4</v>
      </c>
      <c r="I10" s="18" t="n">
        <v>77.1</v>
      </c>
      <c r="J10" s="18" t="s">
        <v>83</v>
      </c>
      <c r="K10" s="18" t="s">
        <v>2075</v>
      </c>
      <c r="L10" s="18" t="s">
        <v>853</v>
      </c>
      <c r="M10" s="18" t="s">
        <v>85</v>
      </c>
      <c r="N10" s="18" t="s">
        <v>86</v>
      </c>
      <c r="O10" s="18" t="s">
        <v>2043</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3647</v>
      </c>
      <c r="AS10" s="18" t="s">
        <v>2082</v>
      </c>
      <c r="AT10" s="18" t="s">
        <v>2077</v>
      </c>
      <c r="AU10" s="18" t="s">
        <v>2078</v>
      </c>
      <c r="AV10" s="18" t="s">
        <v>2047</v>
      </c>
      <c r="AW10" s="32" t="s">
        <v>3650</v>
      </c>
      <c r="AX10" s="18" t="s">
        <v>979</v>
      </c>
      <c r="AY10" s="18" t="s">
        <v>3649</v>
      </c>
    </row>
    <row r="11" customFormat="false" ht="14.25" hidden="false" customHeight="true" outlineLevel="0" collapsed="false">
      <c r="A11" s="18" t="s">
        <v>965</v>
      </c>
      <c r="B11" s="18" t="s">
        <v>965</v>
      </c>
      <c r="C11" s="18" t="s">
        <v>966</v>
      </c>
      <c r="D11" s="18" t="n">
        <v>2020</v>
      </c>
      <c r="E11" s="18" t="s">
        <v>967</v>
      </c>
      <c r="F11" s="18" t="s">
        <v>866</v>
      </c>
      <c r="G11" s="18" t="s">
        <v>970</v>
      </c>
      <c r="H11" s="18" t="n">
        <v>28.4</v>
      </c>
      <c r="I11" s="18" t="n">
        <v>77.1</v>
      </c>
      <c r="J11" s="18" t="s">
        <v>83</v>
      </c>
      <c r="K11" s="18" t="s">
        <v>2075</v>
      </c>
      <c r="L11" s="18" t="s">
        <v>853</v>
      </c>
      <c r="M11" s="18" t="s">
        <v>85</v>
      </c>
      <c r="N11" s="18" t="s">
        <v>86</v>
      </c>
      <c r="O11" s="18" t="s">
        <v>2043</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3647</v>
      </c>
      <c r="AS11" s="18" t="s">
        <v>2084</v>
      </c>
      <c r="AT11" s="18" t="s">
        <v>2077</v>
      </c>
      <c r="AU11" s="18" t="s">
        <v>2078</v>
      </c>
      <c r="AV11" s="18" t="s">
        <v>2047</v>
      </c>
      <c r="AW11" s="32" t="s">
        <v>3651</v>
      </c>
      <c r="AX11" s="18" t="s">
        <v>979</v>
      </c>
      <c r="AY11" s="18" t="s">
        <v>3649</v>
      </c>
    </row>
    <row r="12" customFormat="false" ht="14.25" hidden="false" customHeight="true" outlineLevel="0" collapsed="false">
      <c r="A12" s="18" t="s">
        <v>965</v>
      </c>
      <c r="B12" s="18" t="s">
        <v>965</v>
      </c>
      <c r="C12" s="18" t="s">
        <v>966</v>
      </c>
      <c r="D12" s="18" t="n">
        <v>2020</v>
      </c>
      <c r="E12" s="18" t="s">
        <v>967</v>
      </c>
      <c r="F12" s="18" t="s">
        <v>866</v>
      </c>
      <c r="G12" s="18" t="s">
        <v>970</v>
      </c>
      <c r="H12" s="18" t="n">
        <v>28.4</v>
      </c>
      <c r="I12" s="18" t="n">
        <v>77.1</v>
      </c>
      <c r="J12" s="18" t="s">
        <v>83</v>
      </c>
      <c r="K12" s="18" t="s">
        <v>2075</v>
      </c>
      <c r="L12" s="18" t="s">
        <v>853</v>
      </c>
      <c r="M12" s="18" t="s">
        <v>85</v>
      </c>
      <c r="N12" s="18" t="s">
        <v>86</v>
      </c>
      <c r="O12" s="18" t="s">
        <v>2043</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3647</v>
      </c>
      <c r="AS12" s="18" t="s">
        <v>2086</v>
      </c>
      <c r="AT12" s="18" t="s">
        <v>2077</v>
      </c>
      <c r="AU12" s="18" t="s">
        <v>2078</v>
      </c>
      <c r="AV12" s="18" t="s">
        <v>2047</v>
      </c>
      <c r="AW12" s="32" t="s">
        <v>3652</v>
      </c>
      <c r="AX12" s="18" t="s">
        <v>979</v>
      </c>
      <c r="AY12" s="18" t="s">
        <v>3649</v>
      </c>
    </row>
    <row r="13" customFormat="false" ht="14.25" hidden="false" customHeight="true" outlineLevel="0" collapsed="false">
      <c r="A13" s="18" t="s">
        <v>965</v>
      </c>
      <c r="B13" s="18" t="s">
        <v>965</v>
      </c>
      <c r="C13" s="18" t="s">
        <v>966</v>
      </c>
      <c r="D13" s="18" t="n">
        <v>2020</v>
      </c>
      <c r="E13" s="18" t="s">
        <v>967</v>
      </c>
      <c r="F13" s="18" t="s">
        <v>866</v>
      </c>
      <c r="G13" s="18" t="s">
        <v>970</v>
      </c>
      <c r="H13" s="18" t="n">
        <v>28.4</v>
      </c>
      <c r="I13" s="18" t="n">
        <v>77.1</v>
      </c>
      <c r="J13" s="18" t="s">
        <v>83</v>
      </c>
      <c r="K13" s="18" t="s">
        <v>2075</v>
      </c>
      <c r="L13" s="18" t="s">
        <v>853</v>
      </c>
      <c r="M13" s="18" t="s">
        <v>85</v>
      </c>
      <c r="N13" s="18" t="s">
        <v>86</v>
      </c>
      <c r="O13" s="18" t="s">
        <v>2043</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3647</v>
      </c>
      <c r="AS13" s="18" t="s">
        <v>2088</v>
      </c>
      <c r="AT13" s="18" t="s">
        <v>2077</v>
      </c>
      <c r="AU13" s="18" t="s">
        <v>2078</v>
      </c>
      <c r="AV13" s="18" t="s">
        <v>2047</v>
      </c>
      <c r="AW13" s="32" t="s">
        <v>3653</v>
      </c>
      <c r="AX13" s="18" t="s">
        <v>979</v>
      </c>
      <c r="AY13" s="18" t="s">
        <v>3649</v>
      </c>
    </row>
    <row r="14" customFormat="false" ht="14.25" hidden="false" customHeight="true" outlineLevel="0" collapsed="false">
      <c r="A14" s="18" t="s">
        <v>965</v>
      </c>
      <c r="B14" s="18" t="s">
        <v>965</v>
      </c>
      <c r="C14" s="18" t="s">
        <v>966</v>
      </c>
      <c r="D14" s="18" t="n">
        <v>2020</v>
      </c>
      <c r="E14" s="18" t="s">
        <v>967</v>
      </c>
      <c r="F14" s="18" t="s">
        <v>866</v>
      </c>
      <c r="G14" s="18" t="s">
        <v>970</v>
      </c>
      <c r="H14" s="18" t="n">
        <v>28.4</v>
      </c>
      <c r="I14" s="18" t="n">
        <v>77.1</v>
      </c>
      <c r="J14" s="18" t="s">
        <v>83</v>
      </c>
      <c r="K14" s="18" t="s">
        <v>2075</v>
      </c>
      <c r="L14" s="18" t="s">
        <v>853</v>
      </c>
      <c r="M14" s="18" t="s">
        <v>85</v>
      </c>
      <c r="N14" s="18" t="s">
        <v>86</v>
      </c>
      <c r="O14" s="18" t="s">
        <v>2043</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3647</v>
      </c>
      <c r="AS14" s="18" t="s">
        <v>2090</v>
      </c>
      <c r="AT14" s="18" t="s">
        <v>2077</v>
      </c>
      <c r="AU14" s="18" t="s">
        <v>2078</v>
      </c>
      <c r="AV14" s="18" t="s">
        <v>2047</v>
      </c>
      <c r="AW14" s="32" t="s">
        <v>3654</v>
      </c>
      <c r="AX14" s="18" t="s">
        <v>979</v>
      </c>
      <c r="AY14" s="18" t="s">
        <v>3649</v>
      </c>
    </row>
    <row r="15" customFormat="false" ht="14.25" hidden="false" customHeight="true" outlineLevel="0" collapsed="false">
      <c r="A15" s="18" t="s">
        <v>965</v>
      </c>
      <c r="B15" s="18" t="s">
        <v>965</v>
      </c>
      <c r="C15" s="18" t="s">
        <v>966</v>
      </c>
      <c r="D15" s="18" t="n">
        <v>2020</v>
      </c>
      <c r="E15" s="18" t="s">
        <v>967</v>
      </c>
      <c r="F15" s="18" t="s">
        <v>866</v>
      </c>
      <c r="G15" s="18" t="s">
        <v>970</v>
      </c>
      <c r="H15" s="18" t="n">
        <v>28.4</v>
      </c>
      <c r="I15" s="18" t="n">
        <v>77.1</v>
      </c>
      <c r="J15" s="18" t="s">
        <v>83</v>
      </c>
      <c r="K15" s="18" t="s">
        <v>2075</v>
      </c>
      <c r="L15" s="18" t="s">
        <v>853</v>
      </c>
      <c r="M15" s="18" t="s">
        <v>85</v>
      </c>
      <c r="N15" s="18" t="s">
        <v>86</v>
      </c>
      <c r="O15" s="18" t="s">
        <v>2043</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3647</v>
      </c>
      <c r="AS15" s="18" t="s">
        <v>2092</v>
      </c>
      <c r="AT15" s="18" t="s">
        <v>2077</v>
      </c>
      <c r="AU15" s="18" t="s">
        <v>2078</v>
      </c>
      <c r="AV15" s="18" t="s">
        <v>2047</v>
      </c>
      <c r="AW15" s="32" t="s">
        <v>3655</v>
      </c>
      <c r="AX15" s="18" t="s">
        <v>979</v>
      </c>
      <c r="AY15" s="18" t="s">
        <v>3649</v>
      </c>
    </row>
    <row r="16" customFormat="false" ht="14.25" hidden="false" customHeight="true" outlineLevel="0" collapsed="false">
      <c r="A16" s="18" t="s">
        <v>965</v>
      </c>
      <c r="B16" s="18" t="s">
        <v>965</v>
      </c>
      <c r="C16" s="18" t="s">
        <v>966</v>
      </c>
      <c r="D16" s="18" t="n">
        <v>2020</v>
      </c>
      <c r="E16" s="18" t="s">
        <v>967</v>
      </c>
      <c r="F16" s="18" t="s">
        <v>866</v>
      </c>
      <c r="G16" s="18" t="s">
        <v>970</v>
      </c>
      <c r="H16" s="18" t="n">
        <v>28.4</v>
      </c>
      <c r="I16" s="18" t="n">
        <v>77.1</v>
      </c>
      <c r="J16" s="18" t="s">
        <v>83</v>
      </c>
      <c r="K16" s="18" t="s">
        <v>2075</v>
      </c>
      <c r="L16" s="18" t="s">
        <v>853</v>
      </c>
      <c r="M16" s="18" t="s">
        <v>85</v>
      </c>
      <c r="N16" s="18" t="s">
        <v>86</v>
      </c>
      <c r="O16" s="18" t="s">
        <v>2043</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3647</v>
      </c>
      <c r="AS16" s="18" t="s">
        <v>2094</v>
      </c>
      <c r="AT16" s="18" t="s">
        <v>2077</v>
      </c>
      <c r="AU16" s="18" t="s">
        <v>2078</v>
      </c>
      <c r="AV16" s="18" t="s">
        <v>2047</v>
      </c>
      <c r="AW16" s="32" t="s">
        <v>3656</v>
      </c>
      <c r="AX16" s="18" t="s">
        <v>979</v>
      </c>
      <c r="AY16" s="18" t="s">
        <v>3649</v>
      </c>
    </row>
    <row r="17" customFormat="false" ht="14.25" hidden="false" customHeight="true" outlineLevel="0" collapsed="false">
      <c r="A17" s="5" t="s">
        <v>1064</v>
      </c>
      <c r="B17" s="5" t="s">
        <v>1064</v>
      </c>
      <c r="C17" s="5" t="s">
        <v>1065</v>
      </c>
      <c r="D17" s="5" t="n">
        <v>2022</v>
      </c>
      <c r="E17" s="5" t="s">
        <v>80</v>
      </c>
      <c r="F17" s="5" t="s">
        <v>942</v>
      </c>
      <c r="G17" s="5" t="s">
        <v>943</v>
      </c>
      <c r="H17" s="5" t="n">
        <v>29.706</v>
      </c>
      <c r="I17" s="5" t="n">
        <v>76.956</v>
      </c>
      <c r="J17" s="5" t="s">
        <v>83</v>
      </c>
      <c r="K17" s="5" t="n">
        <v>2019</v>
      </c>
      <c r="L17" s="5" t="s">
        <v>84</v>
      </c>
      <c r="M17" s="5" t="s">
        <v>85</v>
      </c>
      <c r="N17" s="5" t="s">
        <v>86</v>
      </c>
      <c r="O17" s="5" t="s">
        <v>2097</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3657</v>
      </c>
      <c r="AS17" s="5" t="s">
        <v>2119</v>
      </c>
      <c r="AT17" s="5" t="s">
        <v>2120</v>
      </c>
      <c r="AU17" s="5" t="s">
        <v>2121</v>
      </c>
      <c r="AV17" s="5" t="s">
        <v>2079</v>
      </c>
      <c r="AW17" s="23" t="s">
        <v>3658</v>
      </c>
      <c r="AX17" s="5" t="s">
        <v>1076</v>
      </c>
      <c r="AY17" s="5" t="s">
        <v>3659</v>
      </c>
    </row>
    <row r="18" customFormat="false" ht="14.25" hidden="false" customHeight="true" outlineLevel="0" collapsed="false">
      <c r="A18" s="5" t="s">
        <v>1064</v>
      </c>
      <c r="B18" s="5" t="s">
        <v>1064</v>
      </c>
      <c r="C18" s="5" t="s">
        <v>1065</v>
      </c>
      <c r="D18" s="5" t="n">
        <v>2022</v>
      </c>
      <c r="E18" s="5" t="s">
        <v>80</v>
      </c>
      <c r="F18" s="5" t="s">
        <v>942</v>
      </c>
      <c r="G18" s="5" t="s">
        <v>943</v>
      </c>
      <c r="H18" s="5" t="n">
        <v>29.706</v>
      </c>
      <c r="I18" s="5" t="n">
        <v>76.956</v>
      </c>
      <c r="J18" s="5" t="s">
        <v>83</v>
      </c>
      <c r="K18" s="5" t="n">
        <v>2019</v>
      </c>
      <c r="L18" s="5" t="s">
        <v>84</v>
      </c>
      <c r="M18" s="5" t="s">
        <v>85</v>
      </c>
      <c r="N18" s="5" t="s">
        <v>86</v>
      </c>
      <c r="O18" s="5" t="s">
        <v>2124</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3657</v>
      </c>
      <c r="AS18" s="5" t="s">
        <v>2119</v>
      </c>
      <c r="AT18" s="5" t="s">
        <v>2120</v>
      </c>
      <c r="AU18" s="5" t="s">
        <v>2121</v>
      </c>
      <c r="AV18" s="5" t="s">
        <v>2079</v>
      </c>
      <c r="AW18" s="23" t="s">
        <v>3660</v>
      </c>
      <c r="AX18" s="5" t="s">
        <v>1076</v>
      </c>
      <c r="AY18" s="5" t="s">
        <v>3659</v>
      </c>
    </row>
    <row r="19" customFormat="false" ht="14.25" hidden="false" customHeight="true" outlineLevel="0" collapsed="false">
      <c r="A19" s="5" t="s">
        <v>1064</v>
      </c>
      <c r="B19" s="5" t="s">
        <v>1064</v>
      </c>
      <c r="C19" s="5" t="s">
        <v>1065</v>
      </c>
      <c r="D19" s="5" t="n">
        <v>2022</v>
      </c>
      <c r="E19" s="5" t="s">
        <v>80</v>
      </c>
      <c r="F19" s="5" t="s">
        <v>942</v>
      </c>
      <c r="G19" s="5" t="s">
        <v>943</v>
      </c>
      <c r="H19" s="5" t="n">
        <v>29.706</v>
      </c>
      <c r="I19" s="5" t="n">
        <v>76.956</v>
      </c>
      <c r="J19" s="5" t="s">
        <v>83</v>
      </c>
      <c r="K19" s="5" t="n">
        <v>2019</v>
      </c>
      <c r="L19" s="5" t="s">
        <v>84</v>
      </c>
      <c r="M19" s="5" t="s">
        <v>85</v>
      </c>
      <c r="N19" s="5" t="s">
        <v>2050</v>
      </c>
      <c r="O19" s="5" t="s">
        <v>2051</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3657</v>
      </c>
      <c r="AS19" s="5" t="s">
        <v>2119</v>
      </c>
      <c r="AT19" s="5" t="s">
        <v>2120</v>
      </c>
      <c r="AU19" s="5" t="s">
        <v>2121</v>
      </c>
      <c r="AV19" s="5" t="s">
        <v>2079</v>
      </c>
      <c r="AW19" s="23" t="s">
        <v>3661</v>
      </c>
      <c r="AX19" s="5" t="s">
        <v>1076</v>
      </c>
      <c r="AY19" s="5" t="s">
        <v>3659</v>
      </c>
    </row>
    <row r="20" customFormat="false" ht="14.25" hidden="false" customHeight="true" outlineLevel="0" collapsed="false">
      <c r="A20" s="18" t="n">
        <v>173</v>
      </c>
      <c r="B20" s="18" t="n">
        <v>173</v>
      </c>
      <c r="C20" s="18" t="s">
        <v>1133</v>
      </c>
      <c r="D20" s="18" t="n">
        <v>2023</v>
      </c>
      <c r="E20" s="18" t="s">
        <v>1134</v>
      </c>
      <c r="F20" s="18" t="s">
        <v>866</v>
      </c>
      <c r="G20" s="18" t="s">
        <v>1137</v>
      </c>
      <c r="H20" s="18" t="n">
        <v>28.633</v>
      </c>
      <c r="I20" s="18" t="n">
        <v>77.15</v>
      </c>
      <c r="J20" s="18" t="s">
        <v>83</v>
      </c>
      <c r="K20" s="18" t="n">
        <v>2020</v>
      </c>
      <c r="L20" s="18" t="s">
        <v>84</v>
      </c>
      <c r="M20" s="18" t="s">
        <v>85</v>
      </c>
      <c r="N20" s="18" t="s">
        <v>86</v>
      </c>
      <c r="O20" s="18" t="s">
        <v>2043</v>
      </c>
      <c r="P20" s="18" t="n">
        <v>176.9</v>
      </c>
      <c r="Q20" s="18" t="n">
        <v>163.5</v>
      </c>
      <c r="R20" s="18"/>
      <c r="S20" s="18" t="n">
        <v>178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3657</v>
      </c>
      <c r="AS20" s="18" t="s">
        <v>2165</v>
      </c>
      <c r="AT20" s="18" t="s">
        <v>2166</v>
      </c>
      <c r="AU20" s="18" t="s">
        <v>2167</v>
      </c>
      <c r="AV20" s="18" t="s">
        <v>2047</v>
      </c>
      <c r="AW20" s="32" t="s">
        <v>3662</v>
      </c>
      <c r="AX20" s="18" t="s">
        <v>1148</v>
      </c>
      <c r="AY20" s="18" t="s">
        <v>3663</v>
      </c>
    </row>
    <row r="21" customFormat="false" ht="14.25" hidden="false" customHeight="true" outlineLevel="0" collapsed="false">
      <c r="A21" s="18" t="n">
        <v>173</v>
      </c>
      <c r="B21" s="18" t="n">
        <v>173</v>
      </c>
      <c r="C21" s="18" t="s">
        <v>1133</v>
      </c>
      <c r="D21" s="18" t="n">
        <v>2023</v>
      </c>
      <c r="E21" s="18" t="s">
        <v>1134</v>
      </c>
      <c r="F21" s="18" t="s">
        <v>866</v>
      </c>
      <c r="G21" s="18" t="s">
        <v>1137</v>
      </c>
      <c r="H21" s="18" t="n">
        <v>28.633</v>
      </c>
      <c r="I21" s="18" t="n">
        <v>77.15</v>
      </c>
      <c r="J21" s="18" t="s">
        <v>83</v>
      </c>
      <c r="K21" s="18" t="n">
        <v>2020</v>
      </c>
      <c r="L21" s="18" t="s">
        <v>84</v>
      </c>
      <c r="M21" s="18" t="s">
        <v>85</v>
      </c>
      <c r="N21" s="18" t="s">
        <v>86</v>
      </c>
      <c r="O21" s="18" t="s">
        <v>2043</v>
      </c>
      <c r="P21" s="18" t="n">
        <v>175.9</v>
      </c>
      <c r="Q21" s="18" t="n">
        <v>167.5</v>
      </c>
      <c r="R21" s="18"/>
      <c r="S21" s="18" t="n">
        <v>172.7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3657</v>
      </c>
      <c r="AS21" s="18" t="s">
        <v>2165</v>
      </c>
      <c r="AT21" s="18" t="s">
        <v>2166</v>
      </c>
      <c r="AU21" s="18" t="s">
        <v>2167</v>
      </c>
      <c r="AV21" s="18" t="s">
        <v>2047</v>
      </c>
      <c r="AW21" s="32" t="s">
        <v>3664</v>
      </c>
      <c r="AX21" s="18" t="s">
        <v>1148</v>
      </c>
      <c r="AY21" s="18" t="s">
        <v>3663</v>
      </c>
    </row>
    <row r="22" customFormat="false" ht="14.25" hidden="false" customHeight="true" outlineLevel="0" collapsed="false">
      <c r="A22" s="18" t="n">
        <v>173</v>
      </c>
      <c r="B22" s="18" t="n">
        <v>173</v>
      </c>
      <c r="C22" s="18" t="s">
        <v>1133</v>
      </c>
      <c r="D22" s="18" t="n">
        <v>2023</v>
      </c>
      <c r="E22" s="18" t="s">
        <v>1134</v>
      </c>
      <c r="F22" s="18" t="s">
        <v>866</v>
      </c>
      <c r="G22" s="18" t="s">
        <v>1137</v>
      </c>
      <c r="H22" s="18" t="n">
        <v>28.633</v>
      </c>
      <c r="I22" s="18" t="n">
        <v>77.15</v>
      </c>
      <c r="J22" s="18" t="s">
        <v>83</v>
      </c>
      <c r="K22" s="18" t="n">
        <v>2020</v>
      </c>
      <c r="L22" s="18" t="s">
        <v>84</v>
      </c>
      <c r="M22" s="18" t="s">
        <v>85</v>
      </c>
      <c r="N22" s="18" t="s">
        <v>86</v>
      </c>
      <c r="O22" s="18" t="s">
        <v>2043</v>
      </c>
      <c r="P22" s="18" t="n">
        <v>186</v>
      </c>
      <c r="Q22" s="18" t="n">
        <v>163.5</v>
      </c>
      <c r="R22" s="18"/>
      <c r="S22" s="18" t="n">
        <v>178</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3657</v>
      </c>
      <c r="AS22" s="18" t="s">
        <v>2165</v>
      </c>
      <c r="AT22" s="18" t="s">
        <v>2166</v>
      </c>
      <c r="AU22" s="18" t="s">
        <v>2167</v>
      </c>
      <c r="AV22" s="18" t="s">
        <v>2047</v>
      </c>
      <c r="AW22" s="32" t="s">
        <v>3665</v>
      </c>
      <c r="AX22" s="18" t="s">
        <v>1148</v>
      </c>
      <c r="AY22" s="18" t="s">
        <v>3663</v>
      </c>
    </row>
    <row r="23" customFormat="false" ht="14.25" hidden="false" customHeight="true" outlineLevel="0" collapsed="false">
      <c r="A23" s="18" t="n">
        <v>173</v>
      </c>
      <c r="B23" s="18" t="n">
        <v>173</v>
      </c>
      <c r="C23" s="18" t="s">
        <v>1133</v>
      </c>
      <c r="D23" s="18" t="n">
        <v>2023</v>
      </c>
      <c r="E23" s="18" t="s">
        <v>1134</v>
      </c>
      <c r="F23" s="18" t="s">
        <v>866</v>
      </c>
      <c r="G23" s="18" t="s">
        <v>1137</v>
      </c>
      <c r="H23" s="18" t="n">
        <v>28.633</v>
      </c>
      <c r="I23" s="18" t="n">
        <v>77.15</v>
      </c>
      <c r="J23" s="18" t="s">
        <v>83</v>
      </c>
      <c r="K23" s="18" t="n">
        <v>2020</v>
      </c>
      <c r="L23" s="18" t="s">
        <v>84</v>
      </c>
      <c r="M23" s="18" t="s">
        <v>85</v>
      </c>
      <c r="N23" s="18" t="s">
        <v>86</v>
      </c>
      <c r="O23" s="18" t="s">
        <v>2043</v>
      </c>
      <c r="P23" s="18" t="n">
        <v>179.1</v>
      </c>
      <c r="Q23" s="18" t="n">
        <v>167.5</v>
      </c>
      <c r="R23" s="18"/>
      <c r="S23" s="18" t="n">
        <v>172.7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3657</v>
      </c>
      <c r="AS23" s="18" t="s">
        <v>2165</v>
      </c>
      <c r="AT23" s="18" t="s">
        <v>2166</v>
      </c>
      <c r="AU23" s="18" t="s">
        <v>2167</v>
      </c>
      <c r="AV23" s="18" t="s">
        <v>2047</v>
      </c>
      <c r="AW23" s="32" t="s">
        <v>3666</v>
      </c>
      <c r="AX23" s="18" t="s">
        <v>1148</v>
      </c>
      <c r="AY23" s="18" t="s">
        <v>3663</v>
      </c>
    </row>
    <row r="24" customFormat="false" ht="14.25" hidden="false" customHeight="true" outlineLevel="0" collapsed="false">
      <c r="A24" s="18" t="n">
        <v>173</v>
      </c>
      <c r="B24" s="18" t="n">
        <v>173</v>
      </c>
      <c r="C24" s="18" t="s">
        <v>1133</v>
      </c>
      <c r="D24" s="18" t="n">
        <v>2023</v>
      </c>
      <c r="E24" s="18" t="s">
        <v>1134</v>
      </c>
      <c r="F24" s="18" t="s">
        <v>866</v>
      </c>
      <c r="G24" s="18" t="s">
        <v>1137</v>
      </c>
      <c r="H24" s="18" t="n">
        <v>28.633</v>
      </c>
      <c r="I24" s="18" t="n">
        <v>77.15</v>
      </c>
      <c r="J24" s="18" t="s">
        <v>83</v>
      </c>
      <c r="K24" s="18" t="n">
        <v>2020</v>
      </c>
      <c r="L24" s="18" t="s">
        <v>84</v>
      </c>
      <c r="M24" s="18" t="s">
        <v>85</v>
      </c>
      <c r="N24" s="18" t="s">
        <v>2050</v>
      </c>
      <c r="O24" s="18" t="s">
        <v>2051</v>
      </c>
      <c r="P24" s="18" t="n">
        <v>167.1</v>
      </c>
      <c r="Q24" s="18" t="n">
        <v>161</v>
      </c>
      <c r="R24" s="18"/>
      <c r="S24" s="18" t="n">
        <v>170.3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3657</v>
      </c>
      <c r="AS24" s="18" t="s">
        <v>2165</v>
      </c>
      <c r="AT24" s="18" t="s">
        <v>2166</v>
      </c>
      <c r="AU24" s="18" t="s">
        <v>2167</v>
      </c>
      <c r="AV24" s="18" t="s">
        <v>2047</v>
      </c>
      <c r="AW24" s="32" t="s">
        <v>3667</v>
      </c>
      <c r="AX24" s="18" t="s">
        <v>1148</v>
      </c>
      <c r="AY24" s="18" t="s">
        <v>3663</v>
      </c>
    </row>
    <row r="25" customFormat="false" ht="14.25" hidden="false" customHeight="true" outlineLevel="0" collapsed="false">
      <c r="A25" s="18" t="n">
        <v>173</v>
      </c>
      <c r="B25" s="18" t="n">
        <v>173</v>
      </c>
      <c r="C25" s="18" t="s">
        <v>1133</v>
      </c>
      <c r="D25" s="18" t="n">
        <v>2023</v>
      </c>
      <c r="E25" s="18" t="s">
        <v>1134</v>
      </c>
      <c r="F25" s="18" t="s">
        <v>866</v>
      </c>
      <c r="G25" s="18" t="s">
        <v>1137</v>
      </c>
      <c r="H25" s="18" t="n">
        <v>28.633</v>
      </c>
      <c r="I25" s="18" t="n">
        <v>77.15</v>
      </c>
      <c r="J25" s="18" t="s">
        <v>83</v>
      </c>
      <c r="K25" s="18" t="n">
        <v>2020</v>
      </c>
      <c r="L25" s="18" t="s">
        <v>84</v>
      </c>
      <c r="M25" s="18" t="s">
        <v>85</v>
      </c>
      <c r="N25" s="18" t="s">
        <v>2050</v>
      </c>
      <c r="O25" s="18" t="s">
        <v>2051</v>
      </c>
      <c r="P25" s="18" t="n">
        <v>162.7</v>
      </c>
      <c r="Q25" s="18" t="n">
        <v>164</v>
      </c>
      <c r="R25" s="18"/>
      <c r="S25" s="18" t="n">
        <v>168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3657</v>
      </c>
      <c r="AS25" s="18" t="s">
        <v>2165</v>
      </c>
      <c r="AT25" s="18" t="s">
        <v>2166</v>
      </c>
      <c r="AU25" s="18" t="s">
        <v>2167</v>
      </c>
      <c r="AV25" s="18" t="s">
        <v>2047</v>
      </c>
      <c r="AW25" s="32" t="s">
        <v>3668</v>
      </c>
      <c r="AX25" s="18" t="s">
        <v>1148</v>
      </c>
      <c r="AY25" s="18" t="s">
        <v>3663</v>
      </c>
    </row>
    <row r="26" customFormat="false" ht="14.25" hidden="false" customHeight="true" outlineLevel="0" collapsed="false">
      <c r="A26" s="18" t="n">
        <v>173</v>
      </c>
      <c r="B26" s="18" t="n">
        <v>173</v>
      </c>
      <c r="C26" s="18" t="s">
        <v>1133</v>
      </c>
      <c r="D26" s="18" t="n">
        <v>2023</v>
      </c>
      <c r="E26" s="18" t="s">
        <v>1134</v>
      </c>
      <c r="F26" s="18" t="s">
        <v>866</v>
      </c>
      <c r="G26" s="18" t="s">
        <v>1137</v>
      </c>
      <c r="H26" s="18" t="n">
        <v>28.633</v>
      </c>
      <c r="I26" s="18" t="n">
        <v>77.15</v>
      </c>
      <c r="J26" s="18" t="s">
        <v>83</v>
      </c>
      <c r="K26" s="18" t="n">
        <v>2020</v>
      </c>
      <c r="L26" s="18" t="s">
        <v>84</v>
      </c>
      <c r="M26" s="18" t="s">
        <v>85</v>
      </c>
      <c r="N26" s="18" t="s">
        <v>2050</v>
      </c>
      <c r="O26" s="18" t="s">
        <v>2051</v>
      </c>
      <c r="P26" s="18" t="n">
        <v>175.3</v>
      </c>
      <c r="Q26" s="18" t="n">
        <v>161</v>
      </c>
      <c r="R26" s="18"/>
      <c r="S26" s="18" t="n">
        <v>170.3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3657</v>
      </c>
      <c r="AS26" s="18" t="s">
        <v>2165</v>
      </c>
      <c r="AT26" s="18" t="s">
        <v>2166</v>
      </c>
      <c r="AU26" s="18" t="s">
        <v>2167</v>
      </c>
      <c r="AV26" s="18" t="s">
        <v>2047</v>
      </c>
      <c r="AW26" s="32" t="s">
        <v>3669</v>
      </c>
      <c r="AX26" s="18" t="s">
        <v>1148</v>
      </c>
      <c r="AY26" s="18" t="s">
        <v>3663</v>
      </c>
    </row>
    <row r="27" customFormat="false" ht="14.25" hidden="false" customHeight="true" outlineLevel="0" collapsed="false">
      <c r="A27" s="18" t="n">
        <v>173</v>
      </c>
      <c r="B27" s="18" t="n">
        <v>173</v>
      </c>
      <c r="C27" s="18" t="s">
        <v>1133</v>
      </c>
      <c r="D27" s="18" t="n">
        <v>2023</v>
      </c>
      <c r="E27" s="18" t="s">
        <v>1134</v>
      </c>
      <c r="F27" s="18" t="s">
        <v>866</v>
      </c>
      <c r="G27" s="18" t="s">
        <v>1137</v>
      </c>
      <c r="H27" s="18" t="n">
        <v>28.633</v>
      </c>
      <c r="I27" s="18" t="n">
        <v>77.15</v>
      </c>
      <c r="J27" s="18" t="s">
        <v>83</v>
      </c>
      <c r="K27" s="18" t="n">
        <v>2020</v>
      </c>
      <c r="L27" s="18" t="s">
        <v>84</v>
      </c>
      <c r="M27" s="18" t="s">
        <v>85</v>
      </c>
      <c r="N27" s="18" t="s">
        <v>2050</v>
      </c>
      <c r="O27" s="18" t="s">
        <v>2051</v>
      </c>
      <c r="P27" s="18" t="n">
        <v>173.4</v>
      </c>
      <c r="Q27" s="18" t="n">
        <v>164</v>
      </c>
      <c r="R27" s="18"/>
      <c r="S27" s="18" t="n">
        <v>168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3657</v>
      </c>
      <c r="AS27" s="18" t="s">
        <v>2165</v>
      </c>
      <c r="AT27" s="18" t="s">
        <v>2166</v>
      </c>
      <c r="AU27" s="18" t="s">
        <v>2167</v>
      </c>
      <c r="AV27" s="18" t="s">
        <v>2047</v>
      </c>
      <c r="AW27" s="32" t="s">
        <v>3670</v>
      </c>
      <c r="AX27" s="18" t="s">
        <v>1148</v>
      </c>
      <c r="AY27" s="18" t="s">
        <v>3663</v>
      </c>
    </row>
    <row r="28" customFormat="false" ht="14.25" hidden="false" customHeight="true" outlineLevel="0" collapsed="false">
      <c r="A28" s="18" t="n">
        <v>173</v>
      </c>
      <c r="B28" s="18" t="n">
        <v>173</v>
      </c>
      <c r="C28" s="18" t="s">
        <v>1133</v>
      </c>
      <c r="D28" s="18" t="n">
        <v>2023</v>
      </c>
      <c r="E28" s="18" t="s">
        <v>1134</v>
      </c>
      <c r="F28" s="18" t="s">
        <v>866</v>
      </c>
      <c r="G28" s="18" t="s">
        <v>1137</v>
      </c>
      <c r="H28" s="18" t="n">
        <v>28.633</v>
      </c>
      <c r="I28" s="18" t="n">
        <v>77.15</v>
      </c>
      <c r="J28" s="18" t="s">
        <v>83</v>
      </c>
      <c r="K28" s="18" t="n">
        <v>2020</v>
      </c>
      <c r="L28" s="18" t="s">
        <v>84</v>
      </c>
      <c r="M28" s="18" t="s">
        <v>85</v>
      </c>
      <c r="N28" s="18" t="s">
        <v>2177</v>
      </c>
      <c r="O28" s="18" t="s">
        <v>2178</v>
      </c>
      <c r="P28" s="18" t="n">
        <v>148</v>
      </c>
      <c r="Q28" s="18" t="n">
        <v>145.3</v>
      </c>
      <c r="R28" s="18"/>
      <c r="S28" s="18" t="n">
        <v>153.9</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3657</v>
      </c>
      <c r="AS28" s="18" t="s">
        <v>2165</v>
      </c>
      <c r="AT28" s="18" t="s">
        <v>2166</v>
      </c>
      <c r="AU28" s="18" t="s">
        <v>2167</v>
      </c>
      <c r="AV28" s="18" t="s">
        <v>2047</v>
      </c>
      <c r="AW28" s="32" t="s">
        <v>3671</v>
      </c>
      <c r="AX28" s="18" t="s">
        <v>1148</v>
      </c>
      <c r="AY28" s="18" t="s">
        <v>3663</v>
      </c>
    </row>
    <row r="29" customFormat="false" ht="14.25" hidden="false" customHeight="true" outlineLevel="0" collapsed="false">
      <c r="A29" s="18" t="n">
        <v>173</v>
      </c>
      <c r="B29" s="18" t="n">
        <v>173</v>
      </c>
      <c r="C29" s="18" t="s">
        <v>1133</v>
      </c>
      <c r="D29" s="18" t="n">
        <v>2023</v>
      </c>
      <c r="E29" s="18" t="s">
        <v>1134</v>
      </c>
      <c r="F29" s="18" t="s">
        <v>866</v>
      </c>
      <c r="G29" s="18" t="s">
        <v>1137</v>
      </c>
      <c r="H29" s="18" t="n">
        <v>28.633</v>
      </c>
      <c r="I29" s="18" t="n">
        <v>77.15</v>
      </c>
      <c r="J29" s="18" t="s">
        <v>83</v>
      </c>
      <c r="K29" s="18" t="n">
        <v>2020</v>
      </c>
      <c r="L29" s="18" t="s">
        <v>84</v>
      </c>
      <c r="M29" s="18" t="s">
        <v>85</v>
      </c>
      <c r="N29" s="18" t="s">
        <v>2177</v>
      </c>
      <c r="O29" s="18" t="s">
        <v>2178</v>
      </c>
      <c r="P29" s="18" t="n">
        <v>141.7</v>
      </c>
      <c r="Q29" s="18" t="n">
        <v>140.7</v>
      </c>
      <c r="R29" s="18"/>
      <c r="S29" s="18" t="n">
        <v>149.1</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3657</v>
      </c>
      <c r="AS29" s="18" t="s">
        <v>2165</v>
      </c>
      <c r="AT29" s="18" t="s">
        <v>2166</v>
      </c>
      <c r="AU29" s="18" t="s">
        <v>2167</v>
      </c>
      <c r="AV29" s="18" t="s">
        <v>2047</v>
      </c>
      <c r="AW29" s="32" t="s">
        <v>3672</v>
      </c>
      <c r="AX29" s="18" t="s">
        <v>1148</v>
      </c>
      <c r="AY29" s="18" t="s">
        <v>3663</v>
      </c>
    </row>
    <row r="30" customFormat="false" ht="14.25" hidden="false" customHeight="true" outlineLevel="0" collapsed="false">
      <c r="A30" s="18" t="n">
        <v>173</v>
      </c>
      <c r="B30" s="18" t="n">
        <v>173</v>
      </c>
      <c r="C30" s="18" t="s">
        <v>1133</v>
      </c>
      <c r="D30" s="18" t="n">
        <v>2023</v>
      </c>
      <c r="E30" s="18" t="s">
        <v>1134</v>
      </c>
      <c r="F30" s="18" t="s">
        <v>866</v>
      </c>
      <c r="G30" s="18" t="s">
        <v>1137</v>
      </c>
      <c r="H30" s="18" t="n">
        <v>28.633</v>
      </c>
      <c r="I30" s="18" t="n">
        <v>77.15</v>
      </c>
      <c r="J30" s="18" t="s">
        <v>83</v>
      </c>
      <c r="K30" s="18" t="n">
        <v>2020</v>
      </c>
      <c r="L30" s="18" t="s">
        <v>84</v>
      </c>
      <c r="M30" s="18" t="s">
        <v>85</v>
      </c>
      <c r="N30" s="18" t="s">
        <v>2177</v>
      </c>
      <c r="O30" s="18" t="s">
        <v>2178</v>
      </c>
      <c r="P30" s="18" t="n">
        <v>158.3</v>
      </c>
      <c r="Q30" s="18" t="n">
        <v>145.3</v>
      </c>
      <c r="R30" s="18"/>
      <c r="S30" s="18" t="n">
        <v>153.9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3657</v>
      </c>
      <c r="AS30" s="18" t="s">
        <v>2165</v>
      </c>
      <c r="AT30" s="18" t="s">
        <v>2166</v>
      </c>
      <c r="AU30" s="18" t="s">
        <v>2167</v>
      </c>
      <c r="AV30" s="18" t="s">
        <v>2047</v>
      </c>
      <c r="AW30" s="32" t="s">
        <v>3673</v>
      </c>
      <c r="AX30" s="18" t="s">
        <v>1148</v>
      </c>
      <c r="AY30" s="18" t="s">
        <v>3663</v>
      </c>
    </row>
    <row r="31" customFormat="false" ht="14.25" hidden="false" customHeight="true" outlineLevel="0" collapsed="false">
      <c r="A31" s="18" t="n">
        <v>173</v>
      </c>
      <c r="B31" s="18" t="n">
        <v>173</v>
      </c>
      <c r="C31" s="18" t="s">
        <v>1133</v>
      </c>
      <c r="D31" s="18" t="n">
        <v>2023</v>
      </c>
      <c r="E31" s="18" t="s">
        <v>1134</v>
      </c>
      <c r="F31" s="18" t="s">
        <v>866</v>
      </c>
      <c r="G31" s="18" t="s">
        <v>1137</v>
      </c>
      <c r="H31" s="18" t="n">
        <v>28.633</v>
      </c>
      <c r="I31" s="18" t="n">
        <v>77.15</v>
      </c>
      <c r="J31" s="18" t="s">
        <v>83</v>
      </c>
      <c r="K31" s="18" t="n">
        <v>2020</v>
      </c>
      <c r="L31" s="18" t="s">
        <v>84</v>
      </c>
      <c r="M31" s="18" t="s">
        <v>85</v>
      </c>
      <c r="N31" s="18" t="s">
        <v>2177</v>
      </c>
      <c r="O31" s="18" t="s">
        <v>2178</v>
      </c>
      <c r="P31" s="18" t="n">
        <v>154.3</v>
      </c>
      <c r="Q31" s="18" t="n">
        <v>140.7</v>
      </c>
      <c r="R31" s="18"/>
      <c r="S31" s="18" t="n">
        <v>149.1</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3657</v>
      </c>
      <c r="AS31" s="18" t="s">
        <v>2165</v>
      </c>
      <c r="AT31" s="18" t="s">
        <v>2166</v>
      </c>
      <c r="AU31" s="18" t="s">
        <v>2167</v>
      </c>
      <c r="AV31" s="18" t="s">
        <v>2047</v>
      </c>
      <c r="AW31" s="32" t="s">
        <v>3674</v>
      </c>
      <c r="AX31" s="18" t="s">
        <v>1148</v>
      </c>
      <c r="AY31" s="18" t="s">
        <v>3663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3675</v>
      </c>
      <c r="Q1" s="27" t="s">
        <v>3676</v>
      </c>
      <c r="R1" s="27" t="s">
        <v>3677</v>
      </c>
      <c r="S1" s="27" t="s">
        <v>3678</v>
      </c>
      <c r="T1" s="27" t="s">
        <v>3679</v>
      </c>
      <c r="U1" s="27" t="s">
        <v>3680</v>
      </c>
      <c r="V1" s="27" t="s">
        <v>3681</v>
      </c>
      <c r="W1" s="27" t="s">
        <v>3682</v>
      </c>
      <c r="X1" s="30" t="s">
        <v>3683</v>
      </c>
      <c r="Y1" s="30" t="s">
        <v>3684</v>
      </c>
      <c r="Z1" s="30" t="s">
        <v>3685</v>
      </c>
      <c r="AA1" s="30" t="s">
        <v>3686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2183</v>
      </c>
      <c r="L2" s="5" t="s">
        <v>872</v>
      </c>
      <c r="M2" s="5" t="s">
        <v>85</v>
      </c>
      <c r="N2" s="5" t="s">
        <v>86</v>
      </c>
      <c r="O2" s="5" t="s">
        <v>2979</v>
      </c>
      <c r="P2" s="5"/>
      <c r="Q2" s="5" t="n">
        <f aca="false">ROUND(8.6*2.24,2)</f>
        <v>19.26</v>
      </c>
      <c r="R2" s="5"/>
      <c r="S2" s="5"/>
      <c r="T2" s="5"/>
      <c r="U2" s="5"/>
      <c r="V2" s="5" t="n">
        <f aca="false">ROUND(9.1*2.24,2)</f>
        <v>20.38</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3687</v>
      </c>
      <c r="AS2" s="5" t="s">
        <v>2053</v>
      </c>
      <c r="AT2" s="5" t="s">
        <v>2980</v>
      </c>
      <c r="AU2" s="5" t="s">
        <v>2055</v>
      </c>
      <c r="AV2" s="5" t="s">
        <v>2115</v>
      </c>
      <c r="AW2" s="23" t="s">
        <v>3688</v>
      </c>
      <c r="AX2" s="5" t="s">
        <v>880</v>
      </c>
      <c r="AY2" s="5" t="s">
        <v>3689</v>
      </c>
      <c r="BA2" s="34" t="s">
        <v>1399</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2183</v>
      </c>
      <c r="L3" s="5" t="s">
        <v>872</v>
      </c>
      <c r="M3" s="5" t="s">
        <v>85</v>
      </c>
      <c r="N3" s="5" t="s">
        <v>86</v>
      </c>
      <c r="O3" s="5" t="s">
        <v>2979</v>
      </c>
      <c r="P3" s="5"/>
      <c r="Q3" s="5" t="n">
        <f aca="false">ROUND(8.8*2.24,2)</f>
        <v>19.71</v>
      </c>
      <c r="R3" s="5"/>
      <c r="S3" s="5"/>
      <c r="T3" s="5"/>
      <c r="U3" s="5"/>
      <c r="V3" s="5" t="n">
        <f aca="false">ROUND(9.5*2.24,2)</f>
        <v>21.28</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3687</v>
      </c>
      <c r="AS3" s="5" t="s">
        <v>2059</v>
      </c>
      <c r="AT3" s="5" t="s">
        <v>2983</v>
      </c>
      <c r="AU3" s="5" t="s">
        <v>2055</v>
      </c>
      <c r="AV3" s="5" t="s">
        <v>2115</v>
      </c>
      <c r="AW3" s="23" t="s">
        <v>3690</v>
      </c>
      <c r="AX3" s="5" t="s">
        <v>880</v>
      </c>
      <c r="AY3" s="5" t="s">
        <v>3689</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2979</v>
      </c>
      <c r="P4" s="5"/>
      <c r="Q4" s="5" t="n">
        <f aca="false">ROUND(8.8*2.24,2)</f>
        <v>19.71</v>
      </c>
      <c r="R4" s="5"/>
      <c r="S4" s="5"/>
      <c r="T4" s="5"/>
      <c r="U4" s="5"/>
      <c r="V4" s="5" t="n">
        <f aca="false">ROUND(9.4*2.24,2)</f>
        <v>21.06</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3687</v>
      </c>
      <c r="AS4" s="5" t="s">
        <v>2053</v>
      </c>
      <c r="AT4" s="5" t="s">
        <v>2985</v>
      </c>
      <c r="AU4" s="5" t="s">
        <v>2055</v>
      </c>
      <c r="AV4" s="5" t="s">
        <v>2115</v>
      </c>
      <c r="AW4" s="23" t="s">
        <v>3691</v>
      </c>
      <c r="AX4" s="5" t="s">
        <v>880</v>
      </c>
      <c r="AY4" s="5" t="s">
        <v>3689</v>
      </c>
    </row>
    <row r="5" customFormat="false" ht="15" hidden="false" customHeight="true" outlineLevel="0" collapsed="false">
      <c r="A5" s="5" t="n">
        <v>165</v>
      </c>
      <c r="B5" s="5" t="n">
        <v>165</v>
      </c>
      <c r="C5" s="5" t="s">
        <v>862</v>
      </c>
      <c r="D5" s="5" t="n">
        <v>2012</v>
      </c>
      <c r="E5" s="5" t="s">
        <v>863</v>
      </c>
      <c r="F5" s="5" t="s">
        <v>866</v>
      </c>
      <c r="G5" s="5" t="s">
        <v>867</v>
      </c>
      <c r="H5" s="5" t="n">
        <v>28.633</v>
      </c>
      <c r="I5" s="5" t="n">
        <v>77.183</v>
      </c>
      <c r="J5" s="5" t="s">
        <v>83</v>
      </c>
      <c r="K5" s="5" t="s">
        <v>2052</v>
      </c>
      <c r="L5" s="5" t="s">
        <v>872</v>
      </c>
      <c r="M5" s="5" t="s">
        <v>85</v>
      </c>
      <c r="N5" s="5" t="s">
        <v>86</v>
      </c>
      <c r="O5" s="5" t="s">
        <v>2979</v>
      </c>
      <c r="P5" s="5"/>
      <c r="Q5" s="5" t="n">
        <f aca="false">ROUND(9.1*2.24,2)</f>
        <v>20.38</v>
      </c>
      <c r="R5" s="5"/>
      <c r="S5" s="5"/>
      <c r="T5" s="5"/>
      <c r="U5" s="5"/>
      <c r="V5" s="5" t="n">
        <f aca="false">ROUND(9.9*2.24,2)</f>
        <v>22.18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3687</v>
      </c>
      <c r="AS5" s="5" t="s">
        <v>2059</v>
      </c>
      <c r="AT5" s="5" t="s">
        <v>2986</v>
      </c>
      <c r="AU5" s="5" t="s">
        <v>2055</v>
      </c>
      <c r="AV5" s="5" t="s">
        <v>2115</v>
      </c>
      <c r="AW5" s="23" t="s">
        <v>3692</v>
      </c>
      <c r="AX5" s="5" t="s">
        <v>880</v>
      </c>
      <c r="AY5" s="5" t="s">
        <v>3689</v>
      </c>
    </row>
    <row r="6" customFormat="false" ht="14.25" hidden="false" customHeight="true" outlineLevel="0" collapsed="false">
      <c r="A6" s="5" t="n">
        <v>164</v>
      </c>
      <c r="B6" s="5" t="n">
        <v>164</v>
      </c>
      <c r="C6" s="5" t="s">
        <v>842</v>
      </c>
      <c r="D6" s="5" t="n">
        <v>2000</v>
      </c>
      <c r="E6" s="5" t="s">
        <v>843</v>
      </c>
      <c r="F6" s="5" t="s">
        <v>917</v>
      </c>
      <c r="G6" s="5" t="s">
        <v>2987</v>
      </c>
      <c r="H6" s="5" t="n">
        <v>30.933</v>
      </c>
      <c r="I6" s="5" t="n">
        <v>75.867</v>
      </c>
      <c r="J6" s="5" t="s">
        <v>921</v>
      </c>
      <c r="K6" s="5" t="s">
        <v>2988</v>
      </c>
      <c r="L6" s="5" t="s">
        <v>853</v>
      </c>
      <c r="M6" s="5" t="s">
        <v>85</v>
      </c>
      <c r="N6" s="5" t="s">
        <v>86</v>
      </c>
      <c r="O6" s="5" t="s">
        <v>2043</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3693</v>
      </c>
      <c r="AS6" s="5" t="s">
        <v>2989</v>
      </c>
      <c r="AT6" s="5" t="s">
        <v>2990</v>
      </c>
      <c r="AU6" s="5" t="s">
        <v>2991</v>
      </c>
      <c r="AV6" s="5" t="s">
        <v>3694</v>
      </c>
      <c r="AW6" s="23" t="s">
        <v>3695</v>
      </c>
      <c r="AX6" s="5" t="s">
        <v>858</v>
      </c>
      <c r="AY6" s="5" t="s">
        <v>3696</v>
      </c>
    </row>
    <row r="7" customFormat="false" ht="14.25" hidden="false" customHeight="true" outlineLevel="0" collapsed="false">
      <c r="A7" s="5" t="n">
        <v>164</v>
      </c>
      <c r="B7" s="5" t="n">
        <v>164</v>
      </c>
      <c r="C7" s="5" t="s">
        <v>842</v>
      </c>
      <c r="D7" s="5" t="n">
        <v>2000</v>
      </c>
      <c r="E7" s="5" t="s">
        <v>843</v>
      </c>
      <c r="F7" s="5" t="s">
        <v>1964</v>
      </c>
      <c r="G7" s="5" t="s">
        <v>2995</v>
      </c>
      <c r="H7" s="5" t="n">
        <v>29</v>
      </c>
      <c r="I7" s="5" t="n">
        <v>79.083</v>
      </c>
      <c r="J7" s="5" t="s">
        <v>83</v>
      </c>
      <c r="K7" s="5" t="s">
        <v>2988</v>
      </c>
      <c r="L7" s="5" t="s">
        <v>853</v>
      </c>
      <c r="M7" s="5" t="s">
        <v>85</v>
      </c>
      <c r="N7" s="5" t="s">
        <v>86</v>
      </c>
      <c r="O7" s="5" t="s">
        <v>2043</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3693</v>
      </c>
      <c r="AS7" s="5" t="s">
        <v>2989</v>
      </c>
      <c r="AT7" s="5" t="s">
        <v>2990</v>
      </c>
      <c r="AU7" s="5" t="s">
        <v>2996</v>
      </c>
      <c r="AV7" s="5" t="s">
        <v>3694</v>
      </c>
      <c r="AW7" s="23" t="s">
        <v>3697</v>
      </c>
      <c r="AX7" s="5" t="s">
        <v>858</v>
      </c>
      <c r="AY7" s="5" t="s">
        <v>3696</v>
      </c>
    </row>
    <row r="8" customFormat="false" ht="14.25" hidden="false" customHeight="true" outlineLevel="0" collapsed="false">
      <c r="A8" s="5" t="n">
        <v>164</v>
      </c>
      <c r="B8" s="5" t="n">
        <v>164</v>
      </c>
      <c r="C8" s="5" t="s">
        <v>842</v>
      </c>
      <c r="D8" s="5" t="n">
        <v>2000</v>
      </c>
      <c r="E8" s="5" t="s">
        <v>843</v>
      </c>
      <c r="F8" s="5" t="s">
        <v>887</v>
      </c>
      <c r="G8" s="5" t="s">
        <v>2998</v>
      </c>
      <c r="H8" s="5" t="n">
        <v>26.967</v>
      </c>
      <c r="I8" s="5" t="n">
        <v>80.567</v>
      </c>
      <c r="J8" s="5" t="s">
        <v>83</v>
      </c>
      <c r="K8" s="5" t="s">
        <v>2988</v>
      </c>
      <c r="L8" s="5" t="s">
        <v>853</v>
      </c>
      <c r="M8" s="5"/>
      <c r="N8" s="5" t="s">
        <v>86</v>
      </c>
      <c r="O8" s="5" t="s">
        <v>2043</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3693</v>
      </c>
      <c r="AS8" s="5" t="s">
        <v>2989</v>
      </c>
      <c r="AT8" s="5" t="s">
        <v>2990</v>
      </c>
      <c r="AU8" s="5" t="s">
        <v>2999</v>
      </c>
      <c r="AV8" s="5" t="s">
        <v>3694</v>
      </c>
      <c r="AW8" s="23" t="s">
        <v>3698</v>
      </c>
      <c r="AX8" s="5" t="s">
        <v>858</v>
      </c>
      <c r="AY8" s="5" t="s">
        <v>3696</v>
      </c>
    </row>
    <row r="9" customFormat="false" ht="14.25" hidden="false" customHeight="true" outlineLevel="0" collapsed="false">
      <c r="A9" s="5" t="n">
        <v>164</v>
      </c>
      <c r="B9" s="5" t="n">
        <v>164</v>
      </c>
      <c r="C9" s="5" t="s">
        <v>842</v>
      </c>
      <c r="D9" s="5" t="n">
        <v>2000</v>
      </c>
      <c r="E9" s="5" t="s">
        <v>843</v>
      </c>
      <c r="F9" s="5" t="s">
        <v>887</v>
      </c>
      <c r="G9" s="5" t="s">
        <v>3001</v>
      </c>
      <c r="H9" s="5" t="n">
        <v>26.067</v>
      </c>
      <c r="I9" s="5" t="n">
        <v>82.133</v>
      </c>
      <c r="J9" s="5" t="s">
        <v>83</v>
      </c>
      <c r="K9" s="5" t="s">
        <v>2988</v>
      </c>
      <c r="L9" s="5" t="s">
        <v>853</v>
      </c>
      <c r="M9" s="5" t="s">
        <v>85</v>
      </c>
      <c r="N9" s="5" t="s">
        <v>86</v>
      </c>
      <c r="O9" s="5" t="s">
        <v>2043</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3693</v>
      </c>
      <c r="AS9" s="5" t="s">
        <v>2989</v>
      </c>
      <c r="AT9" s="5" t="s">
        <v>2990</v>
      </c>
      <c r="AU9" s="5" t="s">
        <v>3002</v>
      </c>
      <c r="AV9" s="5" t="s">
        <v>3694</v>
      </c>
      <c r="AW9" s="23" t="s">
        <v>3699</v>
      </c>
      <c r="AX9" s="5" t="s">
        <v>858</v>
      </c>
      <c r="AY9" s="5" t="s">
        <v>3696</v>
      </c>
    </row>
    <row r="10" customFormat="false" ht="14.25" hidden="false" customHeight="true" outlineLevel="0" collapsed="false">
      <c r="A10" s="5" t="n">
        <v>164</v>
      </c>
      <c r="B10" s="5" t="n">
        <v>164</v>
      </c>
      <c r="C10" s="5" t="s">
        <v>842</v>
      </c>
      <c r="D10" s="5" t="n">
        <v>2000</v>
      </c>
      <c r="E10" s="5" t="s">
        <v>843</v>
      </c>
      <c r="F10" s="5" t="s">
        <v>1976</v>
      </c>
      <c r="G10" s="5" t="s">
        <v>3004</v>
      </c>
      <c r="H10" s="5" t="n">
        <v>25.233</v>
      </c>
      <c r="I10" s="5" t="n">
        <v>87.067</v>
      </c>
      <c r="J10" s="5" t="s">
        <v>83</v>
      </c>
      <c r="K10" s="5" t="s">
        <v>2988</v>
      </c>
      <c r="L10" s="5" t="s">
        <v>853</v>
      </c>
      <c r="M10" s="5" t="s">
        <v>3005</v>
      </c>
      <c r="N10" s="5" t="s">
        <v>86</v>
      </c>
      <c r="O10" s="5" t="s">
        <v>2043</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3693</v>
      </c>
      <c r="AS10" s="5" t="s">
        <v>2989</v>
      </c>
      <c r="AT10" s="5" t="s">
        <v>2990</v>
      </c>
      <c r="AU10" s="5" t="s">
        <v>3006</v>
      </c>
      <c r="AV10" s="5" t="s">
        <v>3694</v>
      </c>
      <c r="AW10" s="23" t="s">
        <v>3700</v>
      </c>
      <c r="AX10" s="5" t="s">
        <v>858</v>
      </c>
      <c r="AY10" s="5" t="s">
        <v>3696</v>
      </c>
    </row>
    <row r="11" customFormat="false" ht="14.25" hidden="false" customHeight="true" outlineLevel="0" collapsed="false">
      <c r="A11" s="5" t="n">
        <v>164</v>
      </c>
      <c r="B11" s="5" t="n">
        <v>164</v>
      </c>
      <c r="C11" s="5" t="s">
        <v>842</v>
      </c>
      <c r="D11" s="5" t="n">
        <v>2000</v>
      </c>
      <c r="E11" s="5" t="s">
        <v>843</v>
      </c>
      <c r="F11" s="5" t="s">
        <v>1980</v>
      </c>
      <c r="G11" s="5" t="s">
        <v>3008</v>
      </c>
      <c r="H11" s="5" t="n">
        <v>23</v>
      </c>
      <c r="I11" s="5" t="n">
        <v>89</v>
      </c>
      <c r="J11" s="5" t="s">
        <v>83</v>
      </c>
      <c r="K11" s="5" t="s">
        <v>3009</v>
      </c>
      <c r="L11" s="5" t="s">
        <v>853</v>
      </c>
      <c r="M11" s="5"/>
      <c r="N11" s="5" t="s">
        <v>86</v>
      </c>
      <c r="O11" s="5" t="s">
        <v>2043</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3693</v>
      </c>
      <c r="AS11" s="5" t="s">
        <v>2989</v>
      </c>
      <c r="AT11" s="5" t="s">
        <v>3010</v>
      </c>
      <c r="AU11" s="5" t="s">
        <v>3011</v>
      </c>
      <c r="AV11" s="5" t="s">
        <v>3694</v>
      </c>
      <c r="AW11" s="23" t="s">
        <v>3701</v>
      </c>
      <c r="AX11" s="5" t="s">
        <v>858</v>
      </c>
      <c r="AY11" s="5" t="s">
        <v>3696</v>
      </c>
    </row>
    <row r="12" customFormat="false" ht="14.25" hidden="false" customHeight="true" outlineLevel="0" collapsed="false">
      <c r="A12" s="5" t="n">
        <v>164</v>
      </c>
      <c r="B12" s="5" t="n">
        <v>164</v>
      </c>
      <c r="C12" s="5" t="s">
        <v>842</v>
      </c>
      <c r="D12" s="5" t="n">
        <v>2000</v>
      </c>
      <c r="E12" s="5" t="s">
        <v>843</v>
      </c>
      <c r="F12" s="5" t="s">
        <v>1985</v>
      </c>
      <c r="G12" s="5" t="s">
        <v>3013</v>
      </c>
      <c r="H12" s="5" t="n">
        <v>23.167</v>
      </c>
      <c r="I12" s="5" t="n">
        <v>79.95</v>
      </c>
      <c r="J12" s="5" t="s">
        <v>83</v>
      </c>
      <c r="K12" s="5" t="s">
        <v>2988</v>
      </c>
      <c r="L12" s="5" t="s">
        <v>853</v>
      </c>
      <c r="M12" s="5" t="s">
        <v>3005</v>
      </c>
      <c r="N12" s="5" t="s">
        <v>86</v>
      </c>
      <c r="O12" s="5" t="s">
        <v>2043</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3693</v>
      </c>
      <c r="AS12" s="5" t="s">
        <v>2989</v>
      </c>
      <c r="AT12" s="5" t="s">
        <v>2990</v>
      </c>
      <c r="AU12" s="5" t="s">
        <v>3014</v>
      </c>
      <c r="AV12" s="5" t="s">
        <v>3694</v>
      </c>
      <c r="AW12" s="23" t="s">
        <v>3702</v>
      </c>
      <c r="AX12" s="5" t="s">
        <v>858</v>
      </c>
      <c r="AY12" s="5" t="s">
        <v>3696</v>
      </c>
    </row>
    <row r="13" customFormat="false" ht="14.25" hidden="false" customHeight="true" outlineLevel="0" collapsed="false">
      <c r="A13" s="5" t="s">
        <v>982</v>
      </c>
      <c r="B13" s="5" t="s">
        <v>982</v>
      </c>
      <c r="C13" s="5" t="s">
        <v>983</v>
      </c>
      <c r="D13" s="5" t="n">
        <v>2023</v>
      </c>
      <c r="E13" s="5" t="s">
        <v>984</v>
      </c>
      <c r="F13" s="5" t="s">
        <v>987</v>
      </c>
      <c r="G13" s="5" t="s">
        <v>988</v>
      </c>
      <c r="H13" s="5" t="n">
        <v>35.27</v>
      </c>
      <c r="I13" s="5" t="n">
        <v>119.38</v>
      </c>
      <c r="J13" s="5" t="s">
        <v>921</v>
      </c>
      <c r="K13" s="5" t="n">
        <v>2020</v>
      </c>
      <c r="L13" s="5" t="s">
        <v>872</v>
      </c>
      <c r="M13" s="5"/>
      <c r="N13" s="5" t="s">
        <v>86</v>
      </c>
      <c r="O13" s="5" t="s">
        <v>2062</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3703</v>
      </c>
      <c r="AS13" s="5" t="s">
        <v>2063</v>
      </c>
      <c r="AT13" s="5" t="s">
        <v>2332</v>
      </c>
      <c r="AU13" s="5" t="s">
        <v>2065</v>
      </c>
      <c r="AV13" s="5" t="s">
        <v>2422</v>
      </c>
      <c r="AW13" s="23" t="s">
        <v>3704</v>
      </c>
      <c r="AX13" s="5" t="s">
        <v>998</v>
      </c>
      <c r="AY13" s="5" t="s">
        <v>3705</v>
      </c>
    </row>
    <row r="14" customFormat="false" ht="14.25" hidden="false" customHeight="true" outlineLevel="0" collapsed="false">
      <c r="A14" s="5" t="s">
        <v>982</v>
      </c>
      <c r="B14" s="5" t="s">
        <v>982</v>
      </c>
      <c r="C14" s="5" t="s">
        <v>983</v>
      </c>
      <c r="D14" s="5" t="n">
        <v>2023</v>
      </c>
      <c r="E14" s="5" t="s">
        <v>984</v>
      </c>
      <c r="F14" s="5" t="s">
        <v>987</v>
      </c>
      <c r="G14" s="5" t="s">
        <v>988</v>
      </c>
      <c r="H14" s="5" t="n">
        <v>35.27</v>
      </c>
      <c r="I14" s="5" t="n">
        <v>119.38</v>
      </c>
      <c r="J14" s="5" t="s">
        <v>921</v>
      </c>
      <c r="K14" s="5" t="n">
        <v>2020</v>
      </c>
      <c r="L14" s="5" t="s">
        <v>872</v>
      </c>
      <c r="M14" s="5"/>
      <c r="N14" s="5" t="s">
        <v>2050</v>
      </c>
      <c r="O14" s="5" t="s">
        <v>2071</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3703</v>
      </c>
      <c r="AS14" s="5" t="s">
        <v>2063</v>
      </c>
      <c r="AT14" s="5" t="s">
        <v>2332</v>
      </c>
      <c r="AU14" s="5" t="s">
        <v>2065</v>
      </c>
      <c r="AV14" s="5" t="s">
        <v>2422</v>
      </c>
      <c r="AW14" s="23" t="s">
        <v>3706</v>
      </c>
      <c r="AX14" s="5" t="s">
        <v>998</v>
      </c>
      <c r="AY14" s="5" t="s">
        <v>3705</v>
      </c>
    </row>
    <row r="15" customFormat="false" ht="14.25" hidden="false" customHeight="true" outlineLevel="0" collapsed="false">
      <c r="A15" s="5" t="s">
        <v>982</v>
      </c>
      <c r="B15" s="5" t="s">
        <v>982</v>
      </c>
      <c r="C15" s="5" t="s">
        <v>983</v>
      </c>
      <c r="D15" s="5" t="n">
        <v>2023</v>
      </c>
      <c r="E15" s="5" t="s">
        <v>984</v>
      </c>
      <c r="F15" s="5" t="s">
        <v>987</v>
      </c>
      <c r="G15" s="5" t="s">
        <v>988</v>
      </c>
      <c r="H15" s="5" t="n">
        <v>35.27</v>
      </c>
      <c r="I15" s="5" t="n">
        <v>119.38</v>
      </c>
      <c r="J15" s="5" t="s">
        <v>921</v>
      </c>
      <c r="K15" s="5" t="n">
        <v>2020</v>
      </c>
      <c r="L15" s="5" t="s">
        <v>872</v>
      </c>
      <c r="M15" s="5"/>
      <c r="N15" s="5" t="s">
        <v>2050</v>
      </c>
      <c r="O15" s="5" t="s">
        <v>2073</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3703</v>
      </c>
      <c r="AS15" s="5" t="s">
        <v>2063</v>
      </c>
      <c r="AT15" s="5" t="s">
        <v>2332</v>
      </c>
      <c r="AU15" s="5" t="s">
        <v>2065</v>
      </c>
      <c r="AV15" s="5" t="s">
        <v>2422</v>
      </c>
      <c r="AW15" s="23" t="s">
        <v>3707</v>
      </c>
      <c r="AX15" s="5" t="s">
        <v>998</v>
      </c>
      <c r="AY15" s="5" t="s">
        <v>3705</v>
      </c>
    </row>
    <row r="16" customFormat="false" ht="14.25" hidden="false" customHeight="true" outlineLevel="0" collapsed="false">
      <c r="A16" s="18" t="s">
        <v>965</v>
      </c>
      <c r="B16" s="18" t="s">
        <v>965</v>
      </c>
      <c r="C16" s="18" t="s">
        <v>966</v>
      </c>
      <c r="D16" s="18" t="n">
        <v>2020</v>
      </c>
      <c r="E16" s="18" t="s">
        <v>967</v>
      </c>
      <c r="F16" s="18" t="s">
        <v>866</v>
      </c>
      <c r="G16" s="18" t="s">
        <v>970</v>
      </c>
      <c r="H16" s="18" t="n">
        <v>28.4</v>
      </c>
      <c r="I16" s="18" t="n">
        <v>77.1</v>
      </c>
      <c r="J16" s="18" t="s">
        <v>83</v>
      </c>
      <c r="K16" s="18" t="s">
        <v>2075</v>
      </c>
      <c r="L16" s="18" t="s">
        <v>853</v>
      </c>
      <c r="M16" s="18" t="s">
        <v>85</v>
      </c>
      <c r="N16" s="18" t="s">
        <v>86</v>
      </c>
      <c r="O16" s="18" t="s">
        <v>2043</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3708</v>
      </c>
      <c r="AS16" s="18" t="s">
        <v>2076</v>
      </c>
      <c r="AT16" s="18" t="s">
        <v>2077</v>
      </c>
      <c r="AU16" s="18" t="s">
        <v>2078</v>
      </c>
      <c r="AV16" s="18" t="s">
        <v>3709</v>
      </c>
      <c r="AW16" s="32" t="s">
        <v>3710</v>
      </c>
      <c r="AX16" s="18" t="s">
        <v>979</v>
      </c>
      <c r="AY16" s="18" t="s">
        <v>3711</v>
      </c>
    </row>
    <row r="17" customFormat="false" ht="14.25" hidden="false" customHeight="true" outlineLevel="0" collapsed="false">
      <c r="A17" s="18" t="s">
        <v>965</v>
      </c>
      <c r="B17" s="18" t="s">
        <v>965</v>
      </c>
      <c r="C17" s="18" t="s">
        <v>966</v>
      </c>
      <c r="D17" s="18" t="n">
        <v>2020</v>
      </c>
      <c r="E17" s="18" t="s">
        <v>967</v>
      </c>
      <c r="F17" s="18" t="s">
        <v>866</v>
      </c>
      <c r="G17" s="18" t="s">
        <v>970</v>
      </c>
      <c r="H17" s="18" t="n">
        <v>28.4</v>
      </c>
      <c r="I17" s="18" t="n">
        <v>77.1</v>
      </c>
      <c r="J17" s="18" t="s">
        <v>83</v>
      </c>
      <c r="K17" s="18" t="s">
        <v>2075</v>
      </c>
      <c r="L17" s="18" t="s">
        <v>853</v>
      </c>
      <c r="M17" s="18" t="s">
        <v>85</v>
      </c>
      <c r="N17" s="18" t="s">
        <v>86</v>
      </c>
      <c r="O17" s="18" t="s">
        <v>2043</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3708</v>
      </c>
      <c r="AS17" s="18" t="s">
        <v>2082</v>
      </c>
      <c r="AT17" s="18" t="s">
        <v>2077</v>
      </c>
      <c r="AU17" s="18" t="s">
        <v>2078</v>
      </c>
      <c r="AV17" s="18" t="s">
        <v>3709</v>
      </c>
      <c r="AW17" s="32" t="s">
        <v>3712</v>
      </c>
      <c r="AX17" s="18" t="s">
        <v>979</v>
      </c>
      <c r="AY17" s="18" t="s">
        <v>3711</v>
      </c>
    </row>
    <row r="18" customFormat="false" ht="14.25" hidden="false" customHeight="true" outlineLevel="0" collapsed="false">
      <c r="A18" s="18" t="s">
        <v>965</v>
      </c>
      <c r="B18" s="18" t="s">
        <v>965</v>
      </c>
      <c r="C18" s="18" t="s">
        <v>966</v>
      </c>
      <c r="D18" s="18" t="n">
        <v>2020</v>
      </c>
      <c r="E18" s="18" t="s">
        <v>967</v>
      </c>
      <c r="F18" s="18" t="s">
        <v>866</v>
      </c>
      <c r="G18" s="18" t="s">
        <v>970</v>
      </c>
      <c r="H18" s="18" t="n">
        <v>28.4</v>
      </c>
      <c r="I18" s="18" t="n">
        <v>77.1</v>
      </c>
      <c r="J18" s="18" t="s">
        <v>83</v>
      </c>
      <c r="K18" s="18" t="s">
        <v>2075</v>
      </c>
      <c r="L18" s="18" t="s">
        <v>853</v>
      </c>
      <c r="M18" s="18" t="s">
        <v>85</v>
      </c>
      <c r="N18" s="18" t="s">
        <v>86</v>
      </c>
      <c r="O18" s="18" t="s">
        <v>2043</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3708</v>
      </c>
      <c r="AS18" s="18" t="s">
        <v>2084</v>
      </c>
      <c r="AT18" s="18" t="s">
        <v>2077</v>
      </c>
      <c r="AU18" s="18" t="s">
        <v>2078</v>
      </c>
      <c r="AV18" s="18" t="s">
        <v>3709</v>
      </c>
      <c r="AW18" s="32" t="s">
        <v>3713</v>
      </c>
      <c r="AX18" s="18" t="s">
        <v>979</v>
      </c>
      <c r="AY18" s="18" t="s">
        <v>3711</v>
      </c>
    </row>
    <row r="19" customFormat="false" ht="14.25" hidden="false" customHeight="true" outlineLevel="0" collapsed="false">
      <c r="A19" s="18" t="s">
        <v>965</v>
      </c>
      <c r="B19" s="18" t="s">
        <v>965</v>
      </c>
      <c r="C19" s="18" t="s">
        <v>966</v>
      </c>
      <c r="D19" s="18" t="n">
        <v>2020</v>
      </c>
      <c r="E19" s="18" t="s">
        <v>967</v>
      </c>
      <c r="F19" s="18" t="s">
        <v>866</v>
      </c>
      <c r="G19" s="18" t="s">
        <v>970</v>
      </c>
      <c r="H19" s="18" t="n">
        <v>28.4</v>
      </c>
      <c r="I19" s="18" t="n">
        <v>77.1</v>
      </c>
      <c r="J19" s="18" t="s">
        <v>83</v>
      </c>
      <c r="K19" s="18" t="s">
        <v>2075</v>
      </c>
      <c r="L19" s="18" t="s">
        <v>853</v>
      </c>
      <c r="M19" s="18" t="s">
        <v>85</v>
      </c>
      <c r="N19" s="18" t="s">
        <v>86</v>
      </c>
      <c r="O19" s="18" t="s">
        <v>2043</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3708</v>
      </c>
      <c r="AS19" s="18" t="s">
        <v>2086</v>
      </c>
      <c r="AT19" s="18" t="s">
        <v>2077</v>
      </c>
      <c r="AU19" s="18" t="s">
        <v>2078</v>
      </c>
      <c r="AV19" s="18" t="s">
        <v>3709</v>
      </c>
      <c r="AW19" s="32" t="s">
        <v>3714</v>
      </c>
      <c r="AX19" s="18" t="s">
        <v>979</v>
      </c>
      <c r="AY19" s="18" t="s">
        <v>3711</v>
      </c>
    </row>
    <row r="20" customFormat="false" ht="14.25" hidden="false" customHeight="true" outlineLevel="0" collapsed="false">
      <c r="A20" s="18" t="s">
        <v>965</v>
      </c>
      <c r="B20" s="18" t="s">
        <v>965</v>
      </c>
      <c r="C20" s="18" t="s">
        <v>966</v>
      </c>
      <c r="D20" s="18" t="n">
        <v>2020</v>
      </c>
      <c r="E20" s="18" t="s">
        <v>967</v>
      </c>
      <c r="F20" s="18" t="s">
        <v>866</v>
      </c>
      <c r="G20" s="18" t="s">
        <v>970</v>
      </c>
      <c r="H20" s="18" t="n">
        <v>28.4</v>
      </c>
      <c r="I20" s="18" t="n">
        <v>77.1</v>
      </c>
      <c r="J20" s="18" t="s">
        <v>83</v>
      </c>
      <c r="K20" s="18" t="s">
        <v>2075</v>
      </c>
      <c r="L20" s="18" t="s">
        <v>853</v>
      </c>
      <c r="M20" s="18" t="s">
        <v>85</v>
      </c>
      <c r="N20" s="18" t="s">
        <v>86</v>
      </c>
      <c r="O20" s="18" t="s">
        <v>2043</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3708</v>
      </c>
      <c r="AS20" s="18" t="s">
        <v>2088</v>
      </c>
      <c r="AT20" s="18" t="s">
        <v>2077</v>
      </c>
      <c r="AU20" s="18" t="s">
        <v>2078</v>
      </c>
      <c r="AV20" s="18" t="s">
        <v>3709</v>
      </c>
      <c r="AW20" s="32" t="s">
        <v>3715</v>
      </c>
      <c r="AX20" s="18" t="s">
        <v>979</v>
      </c>
      <c r="AY20" s="18" t="s">
        <v>3711</v>
      </c>
    </row>
    <row r="21" customFormat="false" ht="14.25" hidden="false" customHeight="true" outlineLevel="0" collapsed="false">
      <c r="A21" s="18" t="s">
        <v>965</v>
      </c>
      <c r="B21" s="18" t="s">
        <v>965</v>
      </c>
      <c r="C21" s="18" t="s">
        <v>966</v>
      </c>
      <c r="D21" s="18" t="n">
        <v>2020</v>
      </c>
      <c r="E21" s="18" t="s">
        <v>967</v>
      </c>
      <c r="F21" s="18" t="s">
        <v>866</v>
      </c>
      <c r="G21" s="18" t="s">
        <v>970</v>
      </c>
      <c r="H21" s="18" t="n">
        <v>28.4</v>
      </c>
      <c r="I21" s="18" t="n">
        <v>77.1</v>
      </c>
      <c r="J21" s="18" t="s">
        <v>83</v>
      </c>
      <c r="K21" s="18" t="s">
        <v>2075</v>
      </c>
      <c r="L21" s="18" t="s">
        <v>853</v>
      </c>
      <c r="M21" s="18" t="s">
        <v>85</v>
      </c>
      <c r="N21" s="18" t="s">
        <v>86</v>
      </c>
      <c r="O21" s="18" t="s">
        <v>2043</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3708</v>
      </c>
      <c r="AS21" s="18" t="s">
        <v>2090</v>
      </c>
      <c r="AT21" s="18" t="s">
        <v>2077</v>
      </c>
      <c r="AU21" s="18" t="s">
        <v>2078</v>
      </c>
      <c r="AV21" s="18" t="s">
        <v>3709</v>
      </c>
      <c r="AW21" s="32" t="s">
        <v>3716</v>
      </c>
      <c r="AX21" s="18" t="s">
        <v>979</v>
      </c>
      <c r="AY21" s="18" t="s">
        <v>3711</v>
      </c>
    </row>
    <row r="22" customFormat="false" ht="14.25" hidden="false" customHeight="true" outlineLevel="0" collapsed="false">
      <c r="A22" s="18" t="s">
        <v>965</v>
      </c>
      <c r="B22" s="18" t="s">
        <v>965</v>
      </c>
      <c r="C22" s="18" t="s">
        <v>966</v>
      </c>
      <c r="D22" s="18" t="n">
        <v>2020</v>
      </c>
      <c r="E22" s="18" t="s">
        <v>967</v>
      </c>
      <c r="F22" s="18" t="s">
        <v>866</v>
      </c>
      <c r="G22" s="18" t="s">
        <v>970</v>
      </c>
      <c r="H22" s="18" t="n">
        <v>28.4</v>
      </c>
      <c r="I22" s="18" t="n">
        <v>77.1</v>
      </c>
      <c r="J22" s="18" t="s">
        <v>83</v>
      </c>
      <c r="K22" s="18" t="s">
        <v>2075</v>
      </c>
      <c r="L22" s="18" t="s">
        <v>853</v>
      </c>
      <c r="M22" s="18" t="s">
        <v>85</v>
      </c>
      <c r="N22" s="18" t="s">
        <v>86</v>
      </c>
      <c r="O22" s="18" t="s">
        <v>2043</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3708</v>
      </c>
      <c r="AS22" s="18" t="s">
        <v>2092</v>
      </c>
      <c r="AT22" s="18" t="s">
        <v>2077</v>
      </c>
      <c r="AU22" s="18" t="s">
        <v>2078</v>
      </c>
      <c r="AV22" s="18" t="s">
        <v>3709</v>
      </c>
      <c r="AW22" s="32" t="s">
        <v>3717</v>
      </c>
      <c r="AX22" s="18" t="s">
        <v>979</v>
      </c>
      <c r="AY22" s="18" t="s">
        <v>3711</v>
      </c>
    </row>
    <row r="23" customFormat="false" ht="14.25" hidden="false" customHeight="true" outlineLevel="0" collapsed="false">
      <c r="A23" s="18" t="s">
        <v>965</v>
      </c>
      <c r="B23" s="18" t="s">
        <v>965</v>
      </c>
      <c r="C23" s="18" t="s">
        <v>966</v>
      </c>
      <c r="D23" s="18" t="n">
        <v>2020</v>
      </c>
      <c r="E23" s="18" t="s">
        <v>967</v>
      </c>
      <c r="F23" s="18" t="s">
        <v>866</v>
      </c>
      <c r="G23" s="18" t="s">
        <v>970</v>
      </c>
      <c r="H23" s="18" t="n">
        <v>28.4</v>
      </c>
      <c r="I23" s="18" t="n">
        <v>77.1</v>
      </c>
      <c r="J23" s="18" t="s">
        <v>83</v>
      </c>
      <c r="K23" s="18" t="s">
        <v>2075</v>
      </c>
      <c r="L23" s="18" t="s">
        <v>853</v>
      </c>
      <c r="M23" s="18" t="s">
        <v>85</v>
      </c>
      <c r="N23" s="18" t="s">
        <v>86</v>
      </c>
      <c r="O23" s="18" t="s">
        <v>2043</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3708</v>
      </c>
      <c r="AS23" s="18" t="s">
        <v>2094</v>
      </c>
      <c r="AT23" s="18" t="s">
        <v>2077</v>
      </c>
      <c r="AU23" s="18" t="s">
        <v>2078</v>
      </c>
      <c r="AV23" s="18" t="s">
        <v>3709</v>
      </c>
      <c r="AW23" s="32" t="s">
        <v>3718</v>
      </c>
      <c r="AX23" s="18" t="s">
        <v>979</v>
      </c>
      <c r="AY23" s="18" t="s">
        <v>3711</v>
      </c>
    </row>
    <row r="24" customFormat="false" ht="14.25" hidden="false" customHeight="true" outlineLevel="0" collapsed="false">
      <c r="A24" s="5" t="s">
        <v>1064</v>
      </c>
      <c r="B24" s="5" t="s">
        <v>1064</v>
      </c>
      <c r="C24" s="5" t="s">
        <v>1065</v>
      </c>
      <c r="D24" s="5" t="n">
        <v>2022</v>
      </c>
      <c r="E24" s="5" t="s">
        <v>80</v>
      </c>
      <c r="F24" s="5" t="s">
        <v>942</v>
      </c>
      <c r="G24" s="5" t="s">
        <v>943</v>
      </c>
      <c r="H24" s="5" t="n">
        <v>29.706</v>
      </c>
      <c r="I24" s="5" t="n">
        <v>76.956</v>
      </c>
      <c r="J24" s="5" t="s">
        <v>83</v>
      </c>
      <c r="K24" s="5" t="n">
        <v>2019</v>
      </c>
      <c r="L24" s="5" t="s">
        <v>84</v>
      </c>
      <c r="M24" s="5" t="s">
        <v>85</v>
      </c>
      <c r="N24" s="5" t="s">
        <v>86</v>
      </c>
      <c r="O24" s="5" t="s">
        <v>2097</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3719</v>
      </c>
      <c r="AS24" s="5" t="s">
        <v>2119</v>
      </c>
      <c r="AT24" s="5" t="s">
        <v>2120</v>
      </c>
      <c r="AU24" s="5" t="s">
        <v>2121</v>
      </c>
      <c r="AV24" s="5" t="s">
        <v>2079</v>
      </c>
      <c r="AW24" s="23" t="s">
        <v>3720</v>
      </c>
      <c r="AX24" s="5" t="s">
        <v>1076</v>
      </c>
      <c r="AY24" s="5" t="s">
        <v>3721</v>
      </c>
    </row>
    <row r="25" customFormat="false" ht="14.25" hidden="false" customHeight="true" outlineLevel="0" collapsed="false">
      <c r="A25" s="5" t="s">
        <v>1064</v>
      </c>
      <c r="B25" s="5" t="s">
        <v>1064</v>
      </c>
      <c r="C25" s="5" t="s">
        <v>1065</v>
      </c>
      <c r="D25" s="5" t="n">
        <v>2022</v>
      </c>
      <c r="E25" s="5" t="s">
        <v>80</v>
      </c>
      <c r="F25" s="5" t="s">
        <v>942</v>
      </c>
      <c r="G25" s="5" t="s">
        <v>943</v>
      </c>
      <c r="H25" s="5" t="n">
        <v>29.706</v>
      </c>
      <c r="I25" s="5" t="n">
        <v>76.956</v>
      </c>
      <c r="J25" s="5" t="s">
        <v>83</v>
      </c>
      <c r="K25" s="5" t="n">
        <v>2019</v>
      </c>
      <c r="L25" s="5" t="s">
        <v>84</v>
      </c>
      <c r="M25" s="5" t="s">
        <v>85</v>
      </c>
      <c r="N25" s="5" t="s">
        <v>86</v>
      </c>
      <c r="O25" s="5" t="s">
        <v>2124</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3719</v>
      </c>
      <c r="AS25" s="5" t="s">
        <v>2119</v>
      </c>
      <c r="AT25" s="5" t="s">
        <v>2120</v>
      </c>
      <c r="AU25" s="5" t="s">
        <v>2121</v>
      </c>
      <c r="AV25" s="5" t="s">
        <v>2079</v>
      </c>
      <c r="AW25" s="23" t="s">
        <v>3722</v>
      </c>
      <c r="AX25" s="5" t="s">
        <v>1076</v>
      </c>
      <c r="AY25" s="5" t="s">
        <v>3721</v>
      </c>
    </row>
    <row r="26" customFormat="false" ht="14.25" hidden="false" customHeight="true" outlineLevel="0" collapsed="false">
      <c r="A26" s="5" t="s">
        <v>1064</v>
      </c>
      <c r="B26" s="5" t="s">
        <v>1064</v>
      </c>
      <c r="C26" s="5" t="s">
        <v>1065</v>
      </c>
      <c r="D26" s="5" t="n">
        <v>2022</v>
      </c>
      <c r="E26" s="5" t="s">
        <v>80</v>
      </c>
      <c r="F26" s="5" t="s">
        <v>942</v>
      </c>
      <c r="G26" s="5" t="s">
        <v>943</v>
      </c>
      <c r="H26" s="5" t="n">
        <v>29.706</v>
      </c>
      <c r="I26" s="5" t="n">
        <v>76.956</v>
      </c>
      <c r="J26" s="5" t="s">
        <v>83</v>
      </c>
      <c r="K26" s="5" t="n">
        <v>2019</v>
      </c>
      <c r="L26" s="5" t="s">
        <v>84</v>
      </c>
      <c r="M26" s="5" t="s">
        <v>85</v>
      </c>
      <c r="N26" s="5" t="s">
        <v>2050</v>
      </c>
      <c r="O26" s="5" t="s">
        <v>2051</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3719</v>
      </c>
      <c r="AS26" s="5" t="s">
        <v>2119</v>
      </c>
      <c r="AT26" s="5" t="s">
        <v>2120</v>
      </c>
      <c r="AU26" s="5" t="s">
        <v>2121</v>
      </c>
      <c r="AV26" s="5" t="s">
        <v>2079</v>
      </c>
      <c r="AW26" s="23" t="s">
        <v>3723</v>
      </c>
      <c r="AX26" s="5" t="s">
        <v>1076</v>
      </c>
      <c r="AY26" s="5" t="s">
        <v>3721</v>
      </c>
    </row>
    <row r="27" customFormat="false" ht="14.25" hidden="false" customHeight="true" outlineLevel="0" collapsed="false">
      <c r="A27" s="18" t="n">
        <v>172</v>
      </c>
      <c r="B27" s="18" t="n">
        <v>172</v>
      </c>
      <c r="C27" s="18" t="s">
        <v>1100</v>
      </c>
      <c r="D27" s="18" t="n">
        <v>2005</v>
      </c>
      <c r="E27" s="18" t="s">
        <v>1101</v>
      </c>
      <c r="F27" s="18" t="s">
        <v>3054</v>
      </c>
      <c r="G27" s="18" t="s">
        <v>1105</v>
      </c>
      <c r="H27" s="18" t="n">
        <v>33.2</v>
      </c>
      <c r="I27" s="18" t="n">
        <v>130.5</v>
      </c>
      <c r="J27" s="18" t="s">
        <v>921</v>
      </c>
      <c r="K27" s="18" t="n">
        <v>2003</v>
      </c>
      <c r="L27" s="18" t="s">
        <v>853</v>
      </c>
      <c r="M27" s="18" t="s">
        <v>85</v>
      </c>
      <c r="N27" s="18" t="s">
        <v>86</v>
      </c>
      <c r="O27" s="18" t="s">
        <v>3055</v>
      </c>
      <c r="P27" s="18"/>
      <c r="Q27" s="18" t="n">
        <f aca="false">ROUND(7.9*10*1*15*0.1,1)</f>
        <v>118.5</v>
      </c>
      <c r="R27" s="18"/>
      <c r="S27" s="18"/>
      <c r="T27" s="18"/>
      <c r="U27" s="18"/>
      <c r="V27" s="18" t="n">
        <f aca="false">ROUND(9.1*10*1*15*0.1,1)</f>
        <v>136.5</v>
      </c>
      <c r="W27" s="18"/>
      <c r="X27" s="18"/>
      <c r="Y27" s="18"/>
      <c r="Z27" s="18"/>
      <c r="AA27" s="18"/>
      <c r="AB27" s="18" t="n">
        <v>3</v>
      </c>
      <c r="AC27" s="18" t="n">
        <v>3</v>
      </c>
      <c r="AD27" s="18" t="n">
        <f aca="false">IF(AND(N(AB27)&gt;0,N(AC27)&gt;0),SQRT(2*AB27/AC27),"")</f>
        <v>1.4142135623731</v>
      </c>
      <c r="AE27" s="18" t="n">
        <v>29</v>
      </c>
      <c r="AF27" s="18"/>
      <c r="AG27" s="18"/>
      <c r="AH27" s="18"/>
      <c r="AI27" s="18" t="n">
        <v>33.2</v>
      </c>
      <c r="AJ27" s="18" t="n">
        <v>40</v>
      </c>
      <c r="AK27" s="18"/>
      <c r="AL27" s="18"/>
      <c r="AM27" s="18"/>
      <c r="AN27" s="18"/>
      <c r="AO27" s="18"/>
      <c r="AP27" s="18" t="n">
        <v>16</v>
      </c>
      <c r="AQ27" s="18" t="n">
        <v>56</v>
      </c>
      <c r="AR27" s="18" t="s">
        <v>3724</v>
      </c>
      <c r="AS27" s="18" t="s">
        <v>3057</v>
      </c>
      <c r="AT27" s="18" t="s">
        <v>3058</v>
      </c>
      <c r="AU27" s="18" t="s">
        <v>3059</v>
      </c>
      <c r="AV27" s="18" t="s">
        <v>2932</v>
      </c>
      <c r="AW27" s="32" t="s">
        <v>3725</v>
      </c>
      <c r="AX27" s="18" t="s">
        <v>1112</v>
      </c>
      <c r="AY27" s="18" t="s">
        <v>3726</v>
      </c>
    </row>
    <row r="28" customFormat="false" ht="14.25" hidden="false" customHeight="true" outlineLevel="0" collapsed="false">
      <c r="A28" s="18" t="n">
        <v>172</v>
      </c>
      <c r="B28" s="18" t="n">
        <v>172</v>
      </c>
      <c r="C28" s="18" t="s">
        <v>1100</v>
      </c>
      <c r="D28" s="18" t="n">
        <v>2005</v>
      </c>
      <c r="E28" s="18" t="s">
        <v>1101</v>
      </c>
      <c r="F28" s="18" t="s">
        <v>3054</v>
      </c>
      <c r="G28" s="18" t="s">
        <v>1105</v>
      </c>
      <c r="H28" s="18" t="n">
        <v>33.2</v>
      </c>
      <c r="I28" s="18" t="n">
        <v>130.5</v>
      </c>
      <c r="J28" s="18" t="s">
        <v>921</v>
      </c>
      <c r="K28" s="18" t="n">
        <v>2003</v>
      </c>
      <c r="L28" s="18" t="s">
        <v>853</v>
      </c>
      <c r="M28" s="18" t="s">
        <v>85</v>
      </c>
      <c r="N28" s="18" t="s">
        <v>86</v>
      </c>
      <c r="O28" s="18" t="s">
        <v>3055</v>
      </c>
      <c r="P28" s="18"/>
      <c r="Q28" s="18" t="n">
        <f aca="false">ROUND(7.9*10*1*15*0.1,1)</f>
        <v>118.5</v>
      </c>
      <c r="R28" s="18"/>
      <c r="S28" s="18"/>
      <c r="T28" s="18"/>
      <c r="U28" s="18"/>
      <c r="V28" s="18" t="n">
        <f aca="false">ROUND(10.8*10*1*15*0.1,1)</f>
        <v>162</v>
      </c>
      <c r="W28" s="18"/>
      <c r="X28" s="18"/>
      <c r="Y28" s="18"/>
      <c r="Z28" s="18"/>
      <c r="AA28" s="18"/>
      <c r="AB28" s="18" t="n">
        <v>3</v>
      </c>
      <c r="AC28" s="18" t="n">
        <v>3</v>
      </c>
      <c r="AD28" s="18" t="n">
        <f aca="false">IF(AND(N(AB28)&gt;0,N(AC28)&gt;0),SQRT(2*AB28/AC28),"")</f>
        <v>1.4142135623731</v>
      </c>
      <c r="AE28" s="18" t="n">
        <v>29</v>
      </c>
      <c r="AF28" s="18"/>
      <c r="AG28" s="18"/>
      <c r="AH28" s="18"/>
      <c r="AI28" s="18" t="n">
        <v>33.2</v>
      </c>
      <c r="AJ28" s="18" t="n">
        <v>40</v>
      </c>
      <c r="AK28" s="18"/>
      <c r="AL28" s="18"/>
      <c r="AM28" s="18"/>
      <c r="AN28" s="18"/>
      <c r="AO28" s="18"/>
      <c r="AP28" s="18" t="n">
        <v>16</v>
      </c>
      <c r="AQ28" s="18" t="n">
        <v>56</v>
      </c>
      <c r="AR28" s="18" t="s">
        <v>3724</v>
      </c>
      <c r="AS28" s="18" t="s">
        <v>3057</v>
      </c>
      <c r="AT28" s="18" t="s">
        <v>3058</v>
      </c>
      <c r="AU28" s="18" t="s">
        <v>3059</v>
      </c>
      <c r="AV28" s="18" t="s">
        <v>2932</v>
      </c>
      <c r="AW28" s="32" t="s">
        <v>3727</v>
      </c>
      <c r="AX28" s="18" t="s">
        <v>1112</v>
      </c>
      <c r="AY28" s="18" t="s">
        <v>3726</v>
      </c>
    </row>
    <row r="29" customFormat="false" ht="14.25" hidden="false" customHeight="true" outlineLevel="0" collapsed="false">
      <c r="A29" s="18" t="n">
        <v>172</v>
      </c>
      <c r="B29" s="18" t="n">
        <v>172</v>
      </c>
      <c r="C29" s="18" t="s">
        <v>1100</v>
      </c>
      <c r="D29" s="18" t="n">
        <v>2005</v>
      </c>
      <c r="E29" s="18" t="s">
        <v>1101</v>
      </c>
      <c r="F29" s="18" t="s">
        <v>3054</v>
      </c>
      <c r="G29" s="18" t="s">
        <v>1105</v>
      </c>
      <c r="H29" s="18" t="n">
        <v>33.2</v>
      </c>
      <c r="I29" s="18" t="n">
        <v>130.5</v>
      </c>
      <c r="J29" s="18" t="s">
        <v>921</v>
      </c>
      <c r="K29" s="18" t="n">
        <v>2003</v>
      </c>
      <c r="L29" s="18" t="s">
        <v>853</v>
      </c>
      <c r="M29" s="18" t="s">
        <v>85</v>
      </c>
      <c r="N29" s="18" t="s">
        <v>86</v>
      </c>
      <c r="O29" s="18" t="s">
        <v>3055</v>
      </c>
      <c r="P29" s="18"/>
      <c r="Q29" s="18" t="n">
        <f aca="false">ROUND(7.9*10*1*15*0.1,1)</f>
        <v>118.5</v>
      </c>
      <c r="R29" s="18"/>
      <c r="S29" s="18"/>
      <c r="T29" s="18"/>
      <c r="U29" s="18"/>
      <c r="V29" s="18" t="n">
        <f aca="false">ROUND(8.9*10*1*15*0.1,1)</f>
        <v>133.5</v>
      </c>
      <c r="W29" s="18"/>
      <c r="X29" s="18"/>
      <c r="Y29" s="18"/>
      <c r="Z29" s="18"/>
      <c r="AA29" s="18"/>
      <c r="AB29" s="18" t="n">
        <v>3</v>
      </c>
      <c r="AC29" s="18" t="n">
        <v>3</v>
      </c>
      <c r="AD29" s="18" t="n">
        <f aca="false">IF(AND(N(AB29)&gt;0,N(AC29)&gt;0),SQRT(2*AB29/AC29),"")</f>
        <v>1.4142135623731</v>
      </c>
      <c r="AE29" s="18" t="n">
        <v>29</v>
      </c>
      <c r="AF29" s="18"/>
      <c r="AG29" s="18"/>
      <c r="AH29" s="18"/>
      <c r="AI29" s="18" t="n">
        <v>33.2</v>
      </c>
      <c r="AJ29" s="18" t="n">
        <v>40</v>
      </c>
      <c r="AK29" s="18"/>
      <c r="AL29" s="18"/>
      <c r="AM29" s="18"/>
      <c r="AN29" s="18"/>
      <c r="AO29" s="18"/>
      <c r="AP29" s="18" t="n">
        <v>16</v>
      </c>
      <c r="AQ29" s="18" t="n">
        <v>56</v>
      </c>
      <c r="AR29" s="18" t="s">
        <v>3724</v>
      </c>
      <c r="AS29" s="18" t="s">
        <v>3057</v>
      </c>
      <c r="AT29" s="18" t="s">
        <v>3058</v>
      </c>
      <c r="AU29" s="18" t="s">
        <v>3059</v>
      </c>
      <c r="AV29" s="18" t="s">
        <v>2932</v>
      </c>
      <c r="AW29" s="32" t="s">
        <v>3728</v>
      </c>
      <c r="AX29" s="18" t="s">
        <v>1112</v>
      </c>
      <c r="AY29" s="18" t="s">
        <v>3726</v>
      </c>
    </row>
    <row r="30" customFormat="false" ht="14.25" hidden="false" customHeight="true" outlineLevel="0" collapsed="false">
      <c r="A30" s="18" t="n">
        <v>173</v>
      </c>
      <c r="B30" s="18" t="n">
        <v>173</v>
      </c>
      <c r="C30" s="18" t="s">
        <v>1133</v>
      </c>
      <c r="D30" s="18" t="n">
        <v>2023</v>
      </c>
      <c r="E30" s="18" t="s">
        <v>1134</v>
      </c>
      <c r="F30" s="18" t="s">
        <v>866</v>
      </c>
      <c r="G30" s="18" t="s">
        <v>1137</v>
      </c>
      <c r="H30" s="18" t="n">
        <v>28.633</v>
      </c>
      <c r="I30" s="18" t="n">
        <v>77.15</v>
      </c>
      <c r="J30" s="18" t="s">
        <v>83</v>
      </c>
      <c r="K30" s="18" t="n">
        <v>2020</v>
      </c>
      <c r="L30" s="18" t="s">
        <v>84</v>
      </c>
      <c r="M30" s="18" t="s">
        <v>85</v>
      </c>
      <c r="N30" s="18" t="s">
        <v>86</v>
      </c>
      <c r="O30" s="18" t="s">
        <v>2043</v>
      </c>
      <c r="P30" s="18" t="n">
        <v>12.7</v>
      </c>
      <c r="Q30" s="18" t="n">
        <v>12.4</v>
      </c>
      <c r="R30" s="18"/>
      <c r="S30" s="18" t="n">
        <v>13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3719</v>
      </c>
      <c r="AS30" s="18" t="s">
        <v>2165</v>
      </c>
      <c r="AT30" s="18" t="s">
        <v>2166</v>
      </c>
      <c r="AU30" s="18" t="s">
        <v>2167</v>
      </c>
      <c r="AV30" s="18" t="s">
        <v>2047</v>
      </c>
      <c r="AW30" s="32" t="s">
        <v>3729</v>
      </c>
      <c r="AX30" s="18" t="s">
        <v>1148</v>
      </c>
      <c r="AY30" s="18" t="s">
        <v>3730</v>
      </c>
    </row>
    <row r="31" customFormat="false" ht="14.25" hidden="false" customHeight="true" outlineLevel="0" collapsed="false">
      <c r="A31" s="18" t="n">
        <v>173</v>
      </c>
      <c r="B31" s="18" t="n">
        <v>173</v>
      </c>
      <c r="C31" s="18" t="s">
        <v>1133</v>
      </c>
      <c r="D31" s="18" t="n">
        <v>2023</v>
      </c>
      <c r="E31" s="18" t="s">
        <v>1134</v>
      </c>
      <c r="F31" s="18" t="s">
        <v>866</v>
      </c>
      <c r="G31" s="18" t="s">
        <v>1137</v>
      </c>
      <c r="H31" s="18" t="n">
        <v>28.633</v>
      </c>
      <c r="I31" s="18" t="n">
        <v>77.15</v>
      </c>
      <c r="J31" s="18" t="s">
        <v>83</v>
      </c>
      <c r="K31" s="18" t="n">
        <v>2020</v>
      </c>
      <c r="L31" s="18" t="s">
        <v>84</v>
      </c>
      <c r="M31" s="18" t="s">
        <v>85</v>
      </c>
      <c r="N31" s="18" t="s">
        <v>86</v>
      </c>
      <c r="O31" s="18" t="s">
        <v>2043</v>
      </c>
      <c r="P31" s="18" t="n">
        <v>13.1</v>
      </c>
      <c r="Q31" s="18" t="n">
        <v>11.2</v>
      </c>
      <c r="R31" s="18"/>
      <c r="S31" s="18" t="n">
        <v>12.9</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3719</v>
      </c>
      <c r="AS31" s="18" t="s">
        <v>2165</v>
      </c>
      <c r="AT31" s="18" t="s">
        <v>2166</v>
      </c>
      <c r="AU31" s="18" t="s">
        <v>2167</v>
      </c>
      <c r="AV31" s="18" t="s">
        <v>2047</v>
      </c>
      <c r="AW31" s="32" t="s">
        <v>3731</v>
      </c>
      <c r="AX31" s="18" t="s">
        <v>1148</v>
      </c>
      <c r="AY31" s="18" t="s">
        <v>3730</v>
      </c>
    </row>
    <row r="32" customFormat="false" ht="14.25" hidden="false" customHeight="true" outlineLevel="0" collapsed="false">
      <c r="A32" s="18" t="n">
        <v>173</v>
      </c>
      <c r="B32" s="18" t="n">
        <v>173</v>
      </c>
      <c r="C32" s="18" t="s">
        <v>1133</v>
      </c>
      <c r="D32" s="18" t="n">
        <v>2023</v>
      </c>
      <c r="E32" s="18" t="s">
        <v>1134</v>
      </c>
      <c r="F32" s="18" t="s">
        <v>866</v>
      </c>
      <c r="G32" s="18" t="s">
        <v>1137</v>
      </c>
      <c r="H32" s="18" t="n">
        <v>28.633</v>
      </c>
      <c r="I32" s="18" t="n">
        <v>77.15</v>
      </c>
      <c r="J32" s="18" t="s">
        <v>83</v>
      </c>
      <c r="K32" s="18" t="n">
        <v>2020</v>
      </c>
      <c r="L32" s="18" t="s">
        <v>84</v>
      </c>
      <c r="M32" s="18" t="s">
        <v>85</v>
      </c>
      <c r="N32" s="18" t="s">
        <v>86</v>
      </c>
      <c r="O32" s="18" t="s">
        <v>2043</v>
      </c>
      <c r="P32" s="18" t="n">
        <v>14.1</v>
      </c>
      <c r="Q32" s="18" t="n">
        <v>12.4</v>
      </c>
      <c r="R32" s="18"/>
      <c r="S32" s="18" t="n">
        <v>13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3719</v>
      </c>
      <c r="AS32" s="18" t="s">
        <v>2165</v>
      </c>
      <c r="AT32" s="18" t="s">
        <v>2166</v>
      </c>
      <c r="AU32" s="18" t="s">
        <v>2167</v>
      </c>
      <c r="AV32" s="18" t="s">
        <v>2047</v>
      </c>
      <c r="AW32" s="32" t="s">
        <v>3732</v>
      </c>
      <c r="AX32" s="18" t="s">
        <v>1148</v>
      </c>
      <c r="AY32" s="18" t="s">
        <v>3730</v>
      </c>
    </row>
    <row r="33" customFormat="false" ht="14.25" hidden="false" customHeight="true" outlineLevel="0" collapsed="false">
      <c r="A33" s="18" t="n">
        <v>173</v>
      </c>
      <c r="B33" s="18" t="n">
        <v>173</v>
      </c>
      <c r="C33" s="18" t="s">
        <v>1133</v>
      </c>
      <c r="D33" s="18" t="n">
        <v>2023</v>
      </c>
      <c r="E33" s="18" t="s">
        <v>1134</v>
      </c>
      <c r="F33" s="18" t="s">
        <v>866</v>
      </c>
      <c r="G33" s="18" t="s">
        <v>1137</v>
      </c>
      <c r="H33" s="18" t="n">
        <v>28.633</v>
      </c>
      <c r="I33" s="18" t="n">
        <v>77.15</v>
      </c>
      <c r="J33" s="18" t="s">
        <v>83</v>
      </c>
      <c r="K33" s="18" t="n">
        <v>2020</v>
      </c>
      <c r="L33" s="18" t="s">
        <v>84</v>
      </c>
      <c r="M33" s="18" t="s">
        <v>85</v>
      </c>
      <c r="N33" s="18" t="s">
        <v>86</v>
      </c>
      <c r="O33" s="18" t="s">
        <v>2043</v>
      </c>
      <c r="P33" s="18" t="n">
        <v>13.3</v>
      </c>
      <c r="Q33" s="18" t="n">
        <v>11.2</v>
      </c>
      <c r="R33" s="18"/>
      <c r="S33" s="18" t="n">
        <v>12.9</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3719</v>
      </c>
      <c r="AS33" s="18" t="s">
        <v>2165</v>
      </c>
      <c r="AT33" s="18" t="s">
        <v>2166</v>
      </c>
      <c r="AU33" s="18" t="s">
        <v>2167</v>
      </c>
      <c r="AV33" s="18" t="s">
        <v>2047</v>
      </c>
      <c r="AW33" s="32" t="s">
        <v>3733</v>
      </c>
      <c r="AX33" s="18" t="s">
        <v>1148</v>
      </c>
      <c r="AY33" s="18" t="s">
        <v>3730</v>
      </c>
    </row>
    <row r="34" customFormat="false" ht="14.25" hidden="false" customHeight="true" outlineLevel="0" collapsed="false">
      <c r="A34" s="18" t="n">
        <v>173</v>
      </c>
      <c r="B34" s="18" t="n">
        <v>173</v>
      </c>
      <c r="C34" s="18" t="s">
        <v>1133</v>
      </c>
      <c r="D34" s="18" t="n">
        <v>2023</v>
      </c>
      <c r="E34" s="18" t="s">
        <v>1134</v>
      </c>
      <c r="F34" s="18" t="s">
        <v>866</v>
      </c>
      <c r="G34" s="18" t="s">
        <v>1137</v>
      </c>
      <c r="H34" s="18" t="n">
        <v>28.633</v>
      </c>
      <c r="I34" s="18" t="n">
        <v>77.15</v>
      </c>
      <c r="J34" s="18" t="s">
        <v>83</v>
      </c>
      <c r="K34" s="18" t="n">
        <v>2020</v>
      </c>
      <c r="L34" s="18" t="s">
        <v>84</v>
      </c>
      <c r="M34" s="18" t="s">
        <v>85</v>
      </c>
      <c r="N34" s="18" t="s">
        <v>2050</v>
      </c>
      <c r="O34" s="18" t="s">
        <v>2051</v>
      </c>
      <c r="P34" s="18" t="n">
        <v>11.1</v>
      </c>
      <c r="Q34" s="18" t="n">
        <v>10.2</v>
      </c>
      <c r="R34" s="18"/>
      <c r="S34" s="18" t="n">
        <v>11.6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3719</v>
      </c>
      <c r="AS34" s="18" t="s">
        <v>2165</v>
      </c>
      <c r="AT34" s="18" t="s">
        <v>2166</v>
      </c>
      <c r="AU34" s="18" t="s">
        <v>2167</v>
      </c>
      <c r="AV34" s="18" t="s">
        <v>2047</v>
      </c>
      <c r="AW34" s="32" t="s">
        <v>3734</v>
      </c>
      <c r="AX34" s="18" t="s">
        <v>1148</v>
      </c>
      <c r="AY34" s="18" t="s">
        <v>3730</v>
      </c>
    </row>
    <row r="35" customFormat="false" ht="14.25" hidden="false" customHeight="true" outlineLevel="0" collapsed="false">
      <c r="A35" s="18" t="n">
        <v>173</v>
      </c>
      <c r="B35" s="18" t="n">
        <v>173</v>
      </c>
      <c r="C35" s="18" t="s">
        <v>1133</v>
      </c>
      <c r="D35" s="18" t="n">
        <v>2023</v>
      </c>
      <c r="E35" s="18" t="s">
        <v>1134</v>
      </c>
      <c r="F35" s="18" t="s">
        <v>866</v>
      </c>
      <c r="G35" s="18" t="s">
        <v>1137</v>
      </c>
      <c r="H35" s="18" t="n">
        <v>28.633</v>
      </c>
      <c r="I35" s="18" t="n">
        <v>77.15</v>
      </c>
      <c r="J35" s="18" t="s">
        <v>83</v>
      </c>
      <c r="K35" s="18" t="n">
        <v>2020</v>
      </c>
      <c r="L35" s="18" t="s">
        <v>84</v>
      </c>
      <c r="M35" s="18" t="s">
        <v>85</v>
      </c>
      <c r="N35" s="18" t="s">
        <v>2050</v>
      </c>
      <c r="O35" s="18" t="s">
        <v>2051</v>
      </c>
      <c r="P35" s="18" t="n">
        <v>10.6</v>
      </c>
      <c r="Q35" s="18" t="n">
        <v>10.7</v>
      </c>
      <c r="R35" s="18"/>
      <c r="S35" s="18" t="n">
        <v>10.2</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3719</v>
      </c>
      <c r="AS35" s="18" t="s">
        <v>2165</v>
      </c>
      <c r="AT35" s="18" t="s">
        <v>2166</v>
      </c>
      <c r="AU35" s="18" t="s">
        <v>2167</v>
      </c>
      <c r="AV35" s="18" t="s">
        <v>2047</v>
      </c>
      <c r="AW35" s="32" t="s">
        <v>3735</v>
      </c>
      <c r="AX35" s="18" t="s">
        <v>1148</v>
      </c>
      <c r="AY35" s="18" t="s">
        <v>3730</v>
      </c>
    </row>
    <row r="36" customFormat="false" ht="14.25" hidden="false" customHeight="true" outlineLevel="0" collapsed="false">
      <c r="A36" s="18" t="n">
        <v>173</v>
      </c>
      <c r="B36" s="18" t="n">
        <v>173</v>
      </c>
      <c r="C36" s="18" t="s">
        <v>1133</v>
      </c>
      <c r="D36" s="18" t="n">
        <v>2023</v>
      </c>
      <c r="E36" s="18" t="s">
        <v>1134</v>
      </c>
      <c r="F36" s="18" t="s">
        <v>866</v>
      </c>
      <c r="G36" s="18" t="s">
        <v>1137</v>
      </c>
      <c r="H36" s="18" t="n">
        <v>28.633</v>
      </c>
      <c r="I36" s="18" t="n">
        <v>77.15</v>
      </c>
      <c r="J36" s="18" t="s">
        <v>83</v>
      </c>
      <c r="K36" s="18" t="n">
        <v>2020</v>
      </c>
      <c r="L36" s="18" t="s">
        <v>84</v>
      </c>
      <c r="M36" s="18" t="s">
        <v>85</v>
      </c>
      <c r="N36" s="18" t="s">
        <v>2050</v>
      </c>
      <c r="O36" s="18" t="s">
        <v>2051</v>
      </c>
      <c r="P36" s="18" t="n">
        <v>12.8</v>
      </c>
      <c r="Q36" s="18" t="n">
        <v>10.2</v>
      </c>
      <c r="R36" s="18"/>
      <c r="S36" s="18" t="n">
        <v>11.6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3719</v>
      </c>
      <c r="AS36" s="18" t="s">
        <v>2165</v>
      </c>
      <c r="AT36" s="18" t="s">
        <v>2166</v>
      </c>
      <c r="AU36" s="18" t="s">
        <v>2167</v>
      </c>
      <c r="AV36" s="18" t="s">
        <v>2047</v>
      </c>
      <c r="AW36" s="32" t="s">
        <v>3736</v>
      </c>
      <c r="AX36" s="18" t="s">
        <v>1148</v>
      </c>
      <c r="AY36" s="18" t="s">
        <v>3730</v>
      </c>
    </row>
    <row r="37" customFormat="false" ht="14.25" hidden="false" customHeight="true" outlineLevel="0" collapsed="false">
      <c r="A37" s="18" t="n">
        <v>173</v>
      </c>
      <c r="B37" s="18" t="n">
        <v>173</v>
      </c>
      <c r="C37" s="18" t="s">
        <v>1133</v>
      </c>
      <c r="D37" s="18" t="n">
        <v>2023</v>
      </c>
      <c r="E37" s="18" t="s">
        <v>1134</v>
      </c>
      <c r="F37" s="18" t="s">
        <v>866</v>
      </c>
      <c r="G37" s="18" t="s">
        <v>1137</v>
      </c>
      <c r="H37" s="18" t="n">
        <v>28.633</v>
      </c>
      <c r="I37" s="18" t="n">
        <v>77.15</v>
      </c>
      <c r="J37" s="18" t="s">
        <v>83</v>
      </c>
      <c r="K37" s="18" t="n">
        <v>2020</v>
      </c>
      <c r="L37" s="18" t="s">
        <v>84</v>
      </c>
      <c r="M37" s="18" t="s">
        <v>85</v>
      </c>
      <c r="N37" s="18" t="s">
        <v>2050</v>
      </c>
      <c r="O37" s="18" t="s">
        <v>2051</v>
      </c>
      <c r="P37" s="18" t="n">
        <v>12.3</v>
      </c>
      <c r="Q37" s="18" t="n">
        <v>10.7</v>
      </c>
      <c r="R37" s="18"/>
      <c r="S37" s="18" t="n">
        <v>10.2</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3719</v>
      </c>
      <c r="AS37" s="18" t="s">
        <v>2165</v>
      </c>
      <c r="AT37" s="18" t="s">
        <v>2166</v>
      </c>
      <c r="AU37" s="18" t="s">
        <v>2167</v>
      </c>
      <c r="AV37" s="18" t="s">
        <v>2047</v>
      </c>
      <c r="AW37" s="32" t="s">
        <v>3737</v>
      </c>
      <c r="AX37" s="18" t="s">
        <v>1148</v>
      </c>
      <c r="AY37" s="18" t="s">
        <v>3730</v>
      </c>
    </row>
    <row r="38" customFormat="false" ht="14.25" hidden="false" customHeight="true" outlineLevel="0" collapsed="false">
      <c r="A38" s="18" t="n">
        <v>173</v>
      </c>
      <c r="B38" s="18" t="n">
        <v>173</v>
      </c>
      <c r="C38" s="18" t="s">
        <v>1133</v>
      </c>
      <c r="D38" s="18" t="n">
        <v>2023</v>
      </c>
      <c r="E38" s="18" t="s">
        <v>1134</v>
      </c>
      <c r="F38" s="18" t="s">
        <v>866</v>
      </c>
      <c r="G38" s="18" t="s">
        <v>1137</v>
      </c>
      <c r="H38" s="18" t="n">
        <v>28.633</v>
      </c>
      <c r="I38" s="18" t="n">
        <v>77.15</v>
      </c>
      <c r="J38" s="18" t="s">
        <v>83</v>
      </c>
      <c r="K38" s="18" t="n">
        <v>2020</v>
      </c>
      <c r="L38" s="18" t="s">
        <v>84</v>
      </c>
      <c r="M38" s="18" t="s">
        <v>85</v>
      </c>
      <c r="N38" s="18" t="s">
        <v>2177</v>
      </c>
      <c r="O38" s="18" t="s">
        <v>2178</v>
      </c>
      <c r="P38" s="18" t="n">
        <v>10.8</v>
      </c>
      <c r="Q38" s="18" t="n">
        <v>9.5</v>
      </c>
      <c r="R38" s="18"/>
      <c r="S38" s="18" t="n">
        <v>10.8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3719</v>
      </c>
      <c r="AS38" s="18" t="s">
        <v>2165</v>
      </c>
      <c r="AT38" s="18" t="s">
        <v>2166</v>
      </c>
      <c r="AU38" s="18" t="s">
        <v>2167</v>
      </c>
      <c r="AV38" s="18" t="s">
        <v>2047</v>
      </c>
      <c r="AW38" s="32" t="s">
        <v>3738</v>
      </c>
      <c r="AX38" s="18" t="s">
        <v>1148</v>
      </c>
      <c r="AY38" s="18" t="s">
        <v>3730</v>
      </c>
    </row>
    <row r="39" customFormat="false" ht="14.25" hidden="false" customHeight="true" outlineLevel="0" collapsed="false">
      <c r="A39" s="18" t="n">
        <v>173</v>
      </c>
      <c r="B39" s="18" t="n">
        <v>173</v>
      </c>
      <c r="C39" s="18" t="s">
        <v>1133</v>
      </c>
      <c r="D39" s="18" t="n">
        <v>2023</v>
      </c>
      <c r="E39" s="18" t="s">
        <v>1134</v>
      </c>
      <c r="F39" s="18" t="s">
        <v>866</v>
      </c>
      <c r="G39" s="18" t="s">
        <v>1137</v>
      </c>
      <c r="H39" s="18" t="n">
        <v>28.633</v>
      </c>
      <c r="I39" s="18" t="n">
        <v>77.15</v>
      </c>
      <c r="J39" s="18" t="s">
        <v>83</v>
      </c>
      <c r="K39" s="18" t="n">
        <v>2020</v>
      </c>
      <c r="L39" s="18" t="s">
        <v>84</v>
      </c>
      <c r="M39" s="18" t="s">
        <v>85</v>
      </c>
      <c r="N39" s="18" t="s">
        <v>2177</v>
      </c>
      <c r="O39" s="18" t="s">
        <v>2178</v>
      </c>
      <c r="P39" s="18" t="n">
        <v>10.5</v>
      </c>
      <c r="Q39" s="18" t="n">
        <v>10.4</v>
      </c>
      <c r="R39" s="18"/>
      <c r="S39" s="18" t="n">
        <v>10.4</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3719</v>
      </c>
      <c r="AS39" s="18" t="s">
        <v>2165</v>
      </c>
      <c r="AT39" s="18" t="s">
        <v>2166</v>
      </c>
      <c r="AU39" s="18" t="s">
        <v>2167</v>
      </c>
      <c r="AV39" s="18" t="s">
        <v>2047</v>
      </c>
      <c r="AW39" s="32" t="s">
        <v>3739</v>
      </c>
      <c r="AX39" s="18" t="s">
        <v>1148</v>
      </c>
      <c r="AY39" s="18" t="s">
        <v>3730</v>
      </c>
    </row>
    <row r="40" customFormat="false" ht="14.25" hidden="false" customHeight="true" outlineLevel="0" collapsed="false">
      <c r="A40" s="18" t="n">
        <v>173</v>
      </c>
      <c r="B40" s="18" t="n">
        <v>173</v>
      </c>
      <c r="C40" s="18" t="s">
        <v>1133</v>
      </c>
      <c r="D40" s="18" t="n">
        <v>2023</v>
      </c>
      <c r="E40" s="18" t="s">
        <v>1134</v>
      </c>
      <c r="F40" s="18" t="s">
        <v>866</v>
      </c>
      <c r="G40" s="18" t="s">
        <v>1137</v>
      </c>
      <c r="H40" s="18" t="n">
        <v>28.633</v>
      </c>
      <c r="I40" s="18" t="n">
        <v>77.15</v>
      </c>
      <c r="J40" s="18" t="s">
        <v>83</v>
      </c>
      <c r="K40" s="18" t="n">
        <v>2020</v>
      </c>
      <c r="L40" s="18" t="s">
        <v>84</v>
      </c>
      <c r="M40" s="18" t="s">
        <v>85</v>
      </c>
      <c r="N40" s="18" t="s">
        <v>2177</v>
      </c>
      <c r="O40" s="18" t="s">
        <v>2178</v>
      </c>
      <c r="P40" s="18" t="n">
        <v>12</v>
      </c>
      <c r="Q40" s="18" t="n">
        <v>9.5</v>
      </c>
      <c r="R40" s="18"/>
      <c r="S40" s="18" t="n">
        <v>10.8</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3719</v>
      </c>
      <c r="AS40" s="18" t="s">
        <v>2165</v>
      </c>
      <c r="AT40" s="18" t="s">
        <v>2166</v>
      </c>
      <c r="AU40" s="18" t="s">
        <v>2167</v>
      </c>
      <c r="AV40" s="18" t="s">
        <v>2047</v>
      </c>
      <c r="AW40" s="32" t="s">
        <v>3740</v>
      </c>
      <c r="AX40" s="18" t="s">
        <v>1148</v>
      </c>
      <c r="AY40" s="18" t="s">
        <v>3730</v>
      </c>
    </row>
    <row r="41" customFormat="false" ht="14.25" hidden="false" customHeight="true" outlineLevel="0" collapsed="false">
      <c r="A41" s="18" t="n">
        <v>173</v>
      </c>
      <c r="B41" s="18" t="n">
        <v>173</v>
      </c>
      <c r="C41" s="18" t="s">
        <v>1133</v>
      </c>
      <c r="D41" s="18" t="n">
        <v>2023</v>
      </c>
      <c r="E41" s="18" t="s">
        <v>1134</v>
      </c>
      <c r="F41" s="18" t="s">
        <v>866</v>
      </c>
      <c r="G41" s="18" t="s">
        <v>1137</v>
      </c>
      <c r="H41" s="18" t="n">
        <v>28.633</v>
      </c>
      <c r="I41" s="18" t="n">
        <v>77.15</v>
      </c>
      <c r="J41" s="18" t="s">
        <v>83</v>
      </c>
      <c r="K41" s="18" t="n">
        <v>2020</v>
      </c>
      <c r="L41" s="18" t="s">
        <v>84</v>
      </c>
      <c r="M41" s="18" t="s">
        <v>85</v>
      </c>
      <c r="N41" s="18" t="s">
        <v>2177</v>
      </c>
      <c r="O41" s="18" t="s">
        <v>2178</v>
      </c>
      <c r="P41" s="18" t="n">
        <v>12.5</v>
      </c>
      <c r="Q41" s="18" t="n">
        <v>10.4</v>
      </c>
      <c r="R41" s="18"/>
      <c r="S41" s="18" t="n">
        <v>10.4</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3719</v>
      </c>
      <c r="AS41" s="18" t="s">
        <v>2165</v>
      </c>
      <c r="AT41" s="18" t="s">
        <v>2166</v>
      </c>
      <c r="AU41" s="18" t="s">
        <v>2167</v>
      </c>
      <c r="AV41" s="18" t="s">
        <v>2047</v>
      </c>
      <c r="AW41" s="32" t="s">
        <v>3741</v>
      </c>
      <c r="AX41" s="18" t="s">
        <v>1148</v>
      </c>
      <c r="AY41" s="18" t="s">
        <v>3730</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3742</v>
      </c>
      <c r="Q1" s="27" t="s">
        <v>3743</v>
      </c>
      <c r="R1" s="27" t="s">
        <v>3744</v>
      </c>
      <c r="S1" s="27" t="s">
        <v>3745</v>
      </c>
      <c r="T1" s="27" t="s">
        <v>3746</v>
      </c>
      <c r="U1" s="27" t="s">
        <v>3747</v>
      </c>
      <c r="V1" s="27" t="s">
        <v>3748</v>
      </c>
      <c r="W1" s="27" t="s">
        <v>3749</v>
      </c>
      <c r="X1" s="30" t="s">
        <v>3750</v>
      </c>
      <c r="Y1" s="30" t="s">
        <v>3751</v>
      </c>
      <c r="Z1" s="30" t="s">
        <v>3752</v>
      </c>
      <c r="AA1" s="30" t="s">
        <v>3753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2183</v>
      </c>
      <c r="L2" s="5" t="s">
        <v>872</v>
      </c>
      <c r="M2" s="5" t="s">
        <v>85</v>
      </c>
      <c r="N2" s="5" t="s">
        <v>86</v>
      </c>
      <c r="O2" s="5" t="s">
        <v>2979</v>
      </c>
      <c r="P2" s="5"/>
      <c r="Q2" s="5" t="n">
        <f aca="false">ROUND(195*2.24,1)</f>
        <v>436.8</v>
      </c>
      <c r="R2" s="5"/>
      <c r="S2" s="5"/>
      <c r="T2" s="5"/>
      <c r="U2" s="5"/>
      <c r="V2" s="5" t="n">
        <f aca="false">ROUND(223*2.24,1)</f>
        <v>499.5</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3754</v>
      </c>
      <c r="AS2" s="5" t="s">
        <v>2053</v>
      </c>
      <c r="AT2" s="5" t="s">
        <v>2980</v>
      </c>
      <c r="AU2" s="5" t="s">
        <v>2055</v>
      </c>
      <c r="AV2" s="5" t="s">
        <v>2115</v>
      </c>
      <c r="AW2" s="23" t="s">
        <v>3755</v>
      </c>
      <c r="AX2" s="5" t="s">
        <v>880</v>
      </c>
      <c r="AY2" s="5" t="s">
        <v>3756</v>
      </c>
      <c r="BA2" s="33" t="s">
        <v>1402</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2183</v>
      </c>
      <c r="L3" s="5" t="s">
        <v>872</v>
      </c>
      <c r="M3" s="5" t="s">
        <v>85</v>
      </c>
      <c r="N3" s="5" t="s">
        <v>86</v>
      </c>
      <c r="O3" s="5" t="s">
        <v>2979</v>
      </c>
      <c r="P3" s="5"/>
      <c r="Q3" s="5" t="n">
        <f aca="false">ROUND(204*2.24,1)</f>
        <v>457</v>
      </c>
      <c r="R3" s="5"/>
      <c r="S3" s="5"/>
      <c r="T3" s="5"/>
      <c r="U3" s="5"/>
      <c r="V3" s="5" t="n">
        <f aca="false">ROUND(234*2.24,1)</f>
        <v>524.2</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3754</v>
      </c>
      <c r="AS3" s="5" t="s">
        <v>2059</v>
      </c>
      <c r="AT3" s="5" t="s">
        <v>2983</v>
      </c>
      <c r="AU3" s="5" t="s">
        <v>2055</v>
      </c>
      <c r="AV3" s="5" t="s">
        <v>2115</v>
      </c>
      <c r="AW3" s="23" t="s">
        <v>3757</v>
      </c>
      <c r="AX3" s="5" t="s">
        <v>880</v>
      </c>
      <c r="AY3" s="5" t="s">
        <v>3756</v>
      </c>
    </row>
    <row r="4" customFormat="false" ht="14.2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2979</v>
      </c>
      <c r="P4" s="5"/>
      <c r="Q4" s="5" t="n">
        <f aca="false">ROUND(197*2.24,1)</f>
        <v>441.3</v>
      </c>
      <c r="R4" s="5"/>
      <c r="S4" s="5"/>
      <c r="T4" s="5"/>
      <c r="U4" s="5"/>
      <c r="V4" s="5" t="n">
        <f aca="false">ROUND(227*2.24,1)</f>
        <v>508.5</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3754</v>
      </c>
      <c r="AS4" s="5" t="s">
        <v>2053</v>
      </c>
      <c r="AT4" s="5" t="s">
        <v>2985</v>
      </c>
      <c r="AU4" s="5" t="s">
        <v>2055</v>
      </c>
      <c r="AV4" s="5" t="s">
        <v>2115</v>
      </c>
      <c r="AW4" s="23" t="s">
        <v>3758</v>
      </c>
      <c r="AX4" s="5" t="s">
        <v>880</v>
      </c>
      <c r="AY4" s="5" t="s">
        <v>3756</v>
      </c>
    </row>
    <row r="5" customFormat="false" ht="14.25" hidden="false" customHeight="true" outlineLevel="0" collapsed="false">
      <c r="A5" s="5" t="n">
        <v>165</v>
      </c>
      <c r="B5" s="5" t="n">
        <v>165</v>
      </c>
      <c r="C5" s="5" t="s">
        <v>862</v>
      </c>
      <c r="D5" s="5" t="n">
        <v>2012</v>
      </c>
      <c r="E5" s="5" t="s">
        <v>863</v>
      </c>
      <c r="F5" s="5" t="s">
        <v>866</v>
      </c>
      <c r="G5" s="5" t="s">
        <v>867</v>
      </c>
      <c r="H5" s="5" t="n">
        <v>28.633</v>
      </c>
      <c r="I5" s="5" t="n">
        <v>77.183</v>
      </c>
      <c r="J5" s="5" t="s">
        <v>83</v>
      </c>
      <c r="K5" s="5" t="s">
        <v>2052</v>
      </c>
      <c r="L5" s="5" t="s">
        <v>872</v>
      </c>
      <c r="M5" s="5" t="s">
        <v>85</v>
      </c>
      <c r="N5" s="5" t="s">
        <v>86</v>
      </c>
      <c r="O5" s="5" t="s">
        <v>2979</v>
      </c>
      <c r="P5" s="5"/>
      <c r="Q5" s="5" t="n">
        <f aca="false">ROUND(207*2.24,1)</f>
        <v>463.7</v>
      </c>
      <c r="R5" s="5"/>
      <c r="S5" s="5"/>
      <c r="T5" s="5"/>
      <c r="U5" s="5"/>
      <c r="V5" s="5" t="n">
        <f aca="false">ROUND(241*2.24,1)</f>
        <v>539.8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3754</v>
      </c>
      <c r="AS5" s="5" t="s">
        <v>2059</v>
      </c>
      <c r="AT5" s="5" t="s">
        <v>2986</v>
      </c>
      <c r="AU5" s="5" t="s">
        <v>2055</v>
      </c>
      <c r="AV5" s="5" t="s">
        <v>2115</v>
      </c>
      <c r="AW5" s="23" t="s">
        <v>3759</v>
      </c>
      <c r="AX5" s="5" t="s">
        <v>880</v>
      </c>
      <c r="AY5" s="5" t="s">
        <v>3756</v>
      </c>
    </row>
    <row r="6" customFormat="false" ht="14.25" hidden="false" customHeight="true" outlineLevel="0" collapsed="false">
      <c r="A6" s="5" t="n">
        <v>164</v>
      </c>
      <c r="B6" s="5" t="n">
        <v>164</v>
      </c>
      <c r="C6" s="5" t="s">
        <v>842</v>
      </c>
      <c r="D6" s="5" t="n">
        <v>2000</v>
      </c>
      <c r="E6" s="5" t="s">
        <v>843</v>
      </c>
      <c r="F6" s="5" t="s">
        <v>917</v>
      </c>
      <c r="G6" s="5" t="s">
        <v>2987</v>
      </c>
      <c r="H6" s="5" t="n">
        <v>30.933</v>
      </c>
      <c r="I6" s="5" t="n">
        <v>75.867</v>
      </c>
      <c r="J6" s="5" t="s">
        <v>921</v>
      </c>
      <c r="K6" s="5" t="s">
        <v>2988</v>
      </c>
      <c r="L6" s="5" t="s">
        <v>853</v>
      </c>
      <c r="M6" s="5" t="s">
        <v>85</v>
      </c>
      <c r="N6" s="5" t="s">
        <v>86</v>
      </c>
      <c r="O6" s="5" t="s">
        <v>2043</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3760</v>
      </c>
      <c r="AS6" s="5" t="s">
        <v>2989</v>
      </c>
      <c r="AT6" s="5" t="s">
        <v>2990</v>
      </c>
      <c r="AU6" s="5" t="s">
        <v>2991</v>
      </c>
      <c r="AV6" s="5" t="s">
        <v>3761</v>
      </c>
      <c r="AW6" s="23" t="s">
        <v>3762</v>
      </c>
      <c r="AX6" s="5" t="s">
        <v>858</v>
      </c>
      <c r="AY6" s="5" t="s">
        <v>3763</v>
      </c>
    </row>
    <row r="7" customFormat="false" ht="14.25" hidden="false" customHeight="true" outlineLevel="0" collapsed="false">
      <c r="A7" s="5" t="n">
        <v>164</v>
      </c>
      <c r="B7" s="5" t="n">
        <v>164</v>
      </c>
      <c r="C7" s="5" t="s">
        <v>842</v>
      </c>
      <c r="D7" s="5" t="n">
        <v>2000</v>
      </c>
      <c r="E7" s="5" t="s">
        <v>843</v>
      </c>
      <c r="F7" s="5" t="s">
        <v>1964</v>
      </c>
      <c r="G7" s="5" t="s">
        <v>2995</v>
      </c>
      <c r="H7" s="5" t="n">
        <v>29</v>
      </c>
      <c r="I7" s="5" t="n">
        <v>79.083</v>
      </c>
      <c r="J7" s="5" t="s">
        <v>83</v>
      </c>
      <c r="K7" s="5" t="s">
        <v>2988</v>
      </c>
      <c r="L7" s="5" t="s">
        <v>853</v>
      </c>
      <c r="M7" s="5" t="s">
        <v>85</v>
      </c>
      <c r="N7" s="5" t="s">
        <v>86</v>
      </c>
      <c r="O7" s="5" t="s">
        <v>2043</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3760</v>
      </c>
      <c r="AS7" s="5" t="s">
        <v>2989</v>
      </c>
      <c r="AT7" s="5" t="s">
        <v>2990</v>
      </c>
      <c r="AU7" s="5" t="s">
        <v>2996</v>
      </c>
      <c r="AV7" s="5" t="s">
        <v>3761</v>
      </c>
      <c r="AW7" s="23" t="s">
        <v>3764</v>
      </c>
      <c r="AX7" s="5" t="s">
        <v>858</v>
      </c>
      <c r="AY7" s="5" t="s">
        <v>3763</v>
      </c>
    </row>
    <row r="8" customFormat="false" ht="14.25" hidden="false" customHeight="true" outlineLevel="0" collapsed="false">
      <c r="A8" s="5" t="n">
        <v>164</v>
      </c>
      <c r="B8" s="5" t="n">
        <v>164</v>
      </c>
      <c r="C8" s="5" t="s">
        <v>842</v>
      </c>
      <c r="D8" s="5" t="n">
        <v>2000</v>
      </c>
      <c r="E8" s="5" t="s">
        <v>843</v>
      </c>
      <c r="F8" s="5" t="s">
        <v>887</v>
      </c>
      <c r="G8" s="5" t="s">
        <v>2998</v>
      </c>
      <c r="H8" s="5" t="n">
        <v>26.967</v>
      </c>
      <c r="I8" s="5" t="n">
        <v>80.567</v>
      </c>
      <c r="J8" s="5" t="s">
        <v>83</v>
      </c>
      <c r="K8" s="5" t="s">
        <v>2988</v>
      </c>
      <c r="L8" s="5" t="s">
        <v>853</v>
      </c>
      <c r="M8" s="5"/>
      <c r="N8" s="5" t="s">
        <v>86</v>
      </c>
      <c r="O8" s="5" t="s">
        <v>2043</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3760</v>
      </c>
      <c r="AS8" s="5" t="s">
        <v>2989</v>
      </c>
      <c r="AT8" s="5" t="s">
        <v>2990</v>
      </c>
      <c r="AU8" s="5" t="s">
        <v>2999</v>
      </c>
      <c r="AV8" s="5" t="s">
        <v>3761</v>
      </c>
      <c r="AW8" s="23" t="s">
        <v>3765</v>
      </c>
      <c r="AX8" s="5" t="s">
        <v>858</v>
      </c>
      <c r="AY8" s="5" t="s">
        <v>3763</v>
      </c>
    </row>
    <row r="9" customFormat="false" ht="14.25" hidden="false" customHeight="true" outlineLevel="0" collapsed="false">
      <c r="A9" s="5" t="n">
        <v>164</v>
      </c>
      <c r="B9" s="5" t="n">
        <v>164</v>
      </c>
      <c r="C9" s="5" t="s">
        <v>842</v>
      </c>
      <c r="D9" s="5" t="n">
        <v>2000</v>
      </c>
      <c r="E9" s="5" t="s">
        <v>843</v>
      </c>
      <c r="F9" s="5" t="s">
        <v>887</v>
      </c>
      <c r="G9" s="5" t="s">
        <v>3001</v>
      </c>
      <c r="H9" s="5" t="n">
        <v>26.067</v>
      </c>
      <c r="I9" s="5" t="n">
        <v>82.133</v>
      </c>
      <c r="J9" s="5" t="s">
        <v>83</v>
      </c>
      <c r="K9" s="5" t="s">
        <v>2988</v>
      </c>
      <c r="L9" s="5" t="s">
        <v>853</v>
      </c>
      <c r="M9" s="5" t="s">
        <v>85</v>
      </c>
      <c r="N9" s="5" t="s">
        <v>86</v>
      </c>
      <c r="O9" s="5" t="s">
        <v>2043</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3760</v>
      </c>
      <c r="AS9" s="5" t="s">
        <v>2989</v>
      </c>
      <c r="AT9" s="5" t="s">
        <v>2990</v>
      </c>
      <c r="AU9" s="5" t="s">
        <v>3002</v>
      </c>
      <c r="AV9" s="5" t="s">
        <v>3761</v>
      </c>
      <c r="AW9" s="23" t="s">
        <v>3766</v>
      </c>
      <c r="AX9" s="5" t="s">
        <v>858</v>
      </c>
      <c r="AY9" s="5" t="s">
        <v>3763</v>
      </c>
    </row>
    <row r="10" customFormat="false" ht="14.25" hidden="false" customHeight="true" outlineLevel="0" collapsed="false">
      <c r="A10" s="5" t="n">
        <v>164</v>
      </c>
      <c r="B10" s="5" t="n">
        <v>164</v>
      </c>
      <c r="C10" s="5" t="s">
        <v>842</v>
      </c>
      <c r="D10" s="5" t="n">
        <v>2000</v>
      </c>
      <c r="E10" s="5" t="s">
        <v>843</v>
      </c>
      <c r="F10" s="5" t="s">
        <v>1976</v>
      </c>
      <c r="G10" s="5" t="s">
        <v>3004</v>
      </c>
      <c r="H10" s="5" t="n">
        <v>25.233</v>
      </c>
      <c r="I10" s="5" t="n">
        <v>87.067</v>
      </c>
      <c r="J10" s="5" t="s">
        <v>83</v>
      </c>
      <c r="K10" s="5" t="s">
        <v>2988</v>
      </c>
      <c r="L10" s="5" t="s">
        <v>853</v>
      </c>
      <c r="M10" s="5" t="s">
        <v>3005</v>
      </c>
      <c r="N10" s="5" t="s">
        <v>86</v>
      </c>
      <c r="O10" s="5" t="s">
        <v>2043</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3760</v>
      </c>
      <c r="AS10" s="5" t="s">
        <v>2989</v>
      </c>
      <c r="AT10" s="5" t="s">
        <v>2990</v>
      </c>
      <c r="AU10" s="5" t="s">
        <v>3006</v>
      </c>
      <c r="AV10" s="5" t="s">
        <v>3761</v>
      </c>
      <c r="AW10" s="23" t="s">
        <v>3767</v>
      </c>
      <c r="AX10" s="5" t="s">
        <v>858</v>
      </c>
      <c r="AY10" s="5" t="s">
        <v>3763</v>
      </c>
    </row>
    <row r="11" customFormat="false" ht="14.25" hidden="false" customHeight="true" outlineLevel="0" collapsed="false">
      <c r="A11" s="5" t="n">
        <v>164</v>
      </c>
      <c r="B11" s="5" t="n">
        <v>164</v>
      </c>
      <c r="C11" s="5" t="s">
        <v>842</v>
      </c>
      <c r="D11" s="5" t="n">
        <v>2000</v>
      </c>
      <c r="E11" s="5" t="s">
        <v>843</v>
      </c>
      <c r="F11" s="5" t="s">
        <v>1980</v>
      </c>
      <c r="G11" s="5" t="s">
        <v>3008</v>
      </c>
      <c r="H11" s="5" t="n">
        <v>23</v>
      </c>
      <c r="I11" s="5" t="n">
        <v>89</v>
      </c>
      <c r="J11" s="5" t="s">
        <v>83</v>
      </c>
      <c r="K11" s="5" t="s">
        <v>3009</v>
      </c>
      <c r="L11" s="5" t="s">
        <v>853</v>
      </c>
      <c r="M11" s="5"/>
      <c r="N11" s="5" t="s">
        <v>86</v>
      </c>
      <c r="O11" s="5" t="s">
        <v>2043</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3760</v>
      </c>
      <c r="AS11" s="5" t="s">
        <v>2989</v>
      </c>
      <c r="AT11" s="5" t="s">
        <v>3010</v>
      </c>
      <c r="AU11" s="5" t="s">
        <v>3011</v>
      </c>
      <c r="AV11" s="5" t="s">
        <v>3761</v>
      </c>
      <c r="AW11" s="23" t="s">
        <v>3768</v>
      </c>
      <c r="AX11" s="5" t="s">
        <v>858</v>
      </c>
      <c r="AY11" s="5" t="s">
        <v>3763</v>
      </c>
    </row>
    <row r="12" customFormat="false" ht="14.25" hidden="false" customHeight="true" outlineLevel="0" collapsed="false">
      <c r="A12" s="5" t="n">
        <v>164</v>
      </c>
      <c r="B12" s="5" t="n">
        <v>164</v>
      </c>
      <c r="C12" s="5" t="s">
        <v>842</v>
      </c>
      <c r="D12" s="5" t="n">
        <v>2000</v>
      </c>
      <c r="E12" s="5" t="s">
        <v>843</v>
      </c>
      <c r="F12" s="5" t="s">
        <v>1985</v>
      </c>
      <c r="G12" s="5" t="s">
        <v>3013</v>
      </c>
      <c r="H12" s="5" t="n">
        <v>23.167</v>
      </c>
      <c r="I12" s="5" t="n">
        <v>79.95</v>
      </c>
      <c r="J12" s="5" t="s">
        <v>83</v>
      </c>
      <c r="K12" s="5" t="s">
        <v>2988</v>
      </c>
      <c r="L12" s="5" t="s">
        <v>853</v>
      </c>
      <c r="M12" s="5" t="s">
        <v>3005</v>
      </c>
      <c r="N12" s="5" t="s">
        <v>86</v>
      </c>
      <c r="O12" s="5" t="s">
        <v>2043</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3760</v>
      </c>
      <c r="AS12" s="5" t="s">
        <v>2989</v>
      </c>
      <c r="AT12" s="5" t="s">
        <v>2990</v>
      </c>
      <c r="AU12" s="5" t="s">
        <v>3014</v>
      </c>
      <c r="AV12" s="5" t="s">
        <v>3761</v>
      </c>
      <c r="AW12" s="23" t="s">
        <v>3769</v>
      </c>
      <c r="AX12" s="5" t="s">
        <v>858</v>
      </c>
      <c r="AY12" s="5" t="s">
        <v>3763</v>
      </c>
    </row>
    <row r="13" customFormat="false" ht="14.25" hidden="false" customHeight="true" outlineLevel="0" collapsed="false">
      <c r="A13" s="5" t="s">
        <v>982</v>
      </c>
      <c r="B13" s="5" t="s">
        <v>982</v>
      </c>
      <c r="C13" s="5" t="s">
        <v>983</v>
      </c>
      <c r="D13" s="5" t="n">
        <v>2023</v>
      </c>
      <c r="E13" s="5" t="s">
        <v>984</v>
      </c>
      <c r="F13" s="5" t="s">
        <v>987</v>
      </c>
      <c r="G13" s="5" t="s">
        <v>988</v>
      </c>
      <c r="H13" s="5" t="n">
        <v>35.27</v>
      </c>
      <c r="I13" s="5" t="n">
        <v>119.38</v>
      </c>
      <c r="J13" s="5" t="s">
        <v>921</v>
      </c>
      <c r="K13" s="5" t="n">
        <v>2020</v>
      </c>
      <c r="L13" s="5" t="s">
        <v>872</v>
      </c>
      <c r="M13" s="5"/>
      <c r="N13" s="5" t="s">
        <v>86</v>
      </c>
      <c r="O13" s="5" t="s">
        <v>2062</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3770</v>
      </c>
      <c r="AS13" s="5" t="s">
        <v>2063</v>
      </c>
      <c r="AT13" s="5" t="s">
        <v>2332</v>
      </c>
      <c r="AU13" s="5" t="s">
        <v>2065</v>
      </c>
      <c r="AV13" s="5" t="s">
        <v>2422</v>
      </c>
      <c r="AW13" s="23" t="s">
        <v>3771</v>
      </c>
      <c r="AX13" s="5" t="s">
        <v>998</v>
      </c>
      <c r="AY13" s="5" t="s">
        <v>3772</v>
      </c>
    </row>
    <row r="14" customFormat="false" ht="14.25" hidden="false" customHeight="true" outlineLevel="0" collapsed="false">
      <c r="A14" s="5" t="s">
        <v>982</v>
      </c>
      <c r="B14" s="5" t="s">
        <v>982</v>
      </c>
      <c r="C14" s="5" t="s">
        <v>983</v>
      </c>
      <c r="D14" s="5" t="n">
        <v>2023</v>
      </c>
      <c r="E14" s="5" t="s">
        <v>984</v>
      </c>
      <c r="F14" s="5" t="s">
        <v>987</v>
      </c>
      <c r="G14" s="5" t="s">
        <v>988</v>
      </c>
      <c r="H14" s="5" t="n">
        <v>35.27</v>
      </c>
      <c r="I14" s="5" t="n">
        <v>119.38</v>
      </c>
      <c r="J14" s="5" t="s">
        <v>921</v>
      </c>
      <c r="K14" s="5" t="n">
        <v>2020</v>
      </c>
      <c r="L14" s="5" t="s">
        <v>872</v>
      </c>
      <c r="M14" s="5"/>
      <c r="N14" s="5" t="s">
        <v>2050</v>
      </c>
      <c r="O14" s="5" t="s">
        <v>2071</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3770</v>
      </c>
      <c r="AS14" s="5" t="s">
        <v>2063</v>
      </c>
      <c r="AT14" s="5" t="s">
        <v>2332</v>
      </c>
      <c r="AU14" s="5" t="s">
        <v>2065</v>
      </c>
      <c r="AV14" s="5" t="s">
        <v>2422</v>
      </c>
      <c r="AW14" s="23" t="s">
        <v>3773</v>
      </c>
      <c r="AX14" s="5" t="s">
        <v>998</v>
      </c>
      <c r="AY14" s="5" t="s">
        <v>3772</v>
      </c>
    </row>
    <row r="15" customFormat="false" ht="14.25" hidden="false" customHeight="true" outlineLevel="0" collapsed="false">
      <c r="A15" s="5" t="s">
        <v>982</v>
      </c>
      <c r="B15" s="5" t="s">
        <v>982</v>
      </c>
      <c r="C15" s="5" t="s">
        <v>983</v>
      </c>
      <c r="D15" s="5" t="n">
        <v>2023</v>
      </c>
      <c r="E15" s="5" t="s">
        <v>984</v>
      </c>
      <c r="F15" s="5" t="s">
        <v>987</v>
      </c>
      <c r="G15" s="5" t="s">
        <v>988</v>
      </c>
      <c r="H15" s="5" t="n">
        <v>35.27</v>
      </c>
      <c r="I15" s="5" t="n">
        <v>119.38</v>
      </c>
      <c r="J15" s="5" t="s">
        <v>921</v>
      </c>
      <c r="K15" s="5" t="n">
        <v>2020</v>
      </c>
      <c r="L15" s="5" t="s">
        <v>872</v>
      </c>
      <c r="M15" s="5"/>
      <c r="N15" s="5" t="s">
        <v>2050</v>
      </c>
      <c r="O15" s="5" t="s">
        <v>2073</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3770</v>
      </c>
      <c r="AS15" s="5" t="s">
        <v>2063</v>
      </c>
      <c r="AT15" s="5" t="s">
        <v>2332</v>
      </c>
      <c r="AU15" s="5" t="s">
        <v>2065</v>
      </c>
      <c r="AV15" s="5" t="s">
        <v>2422</v>
      </c>
      <c r="AW15" s="23" t="s">
        <v>3774</v>
      </c>
      <c r="AX15" s="5" t="s">
        <v>998</v>
      </c>
      <c r="AY15" s="5" t="s">
        <v>3772</v>
      </c>
    </row>
    <row r="16" customFormat="false" ht="14.25" hidden="false" customHeight="true" outlineLevel="0" collapsed="false">
      <c r="A16" s="5" t="s">
        <v>1064</v>
      </c>
      <c r="B16" s="5" t="s">
        <v>1064</v>
      </c>
      <c r="C16" s="5" t="s">
        <v>1065</v>
      </c>
      <c r="D16" s="5" t="n">
        <v>2022</v>
      </c>
      <c r="E16" s="5" t="s">
        <v>80</v>
      </c>
      <c r="F16" s="5" t="s">
        <v>942</v>
      </c>
      <c r="G16" s="5" t="s">
        <v>943</v>
      </c>
      <c r="H16" s="5" t="n">
        <v>29.706</v>
      </c>
      <c r="I16" s="5" t="n">
        <v>76.956</v>
      </c>
      <c r="J16" s="5" t="s">
        <v>83</v>
      </c>
      <c r="K16" s="5" t="n">
        <v>2019</v>
      </c>
      <c r="L16" s="5" t="s">
        <v>84</v>
      </c>
      <c r="M16" s="5" t="s">
        <v>85</v>
      </c>
      <c r="N16" s="5" t="s">
        <v>86</v>
      </c>
      <c r="O16" s="5" t="s">
        <v>2097</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3775</v>
      </c>
      <c r="AS16" s="5" t="s">
        <v>2119</v>
      </c>
      <c r="AT16" s="5" t="s">
        <v>2120</v>
      </c>
      <c r="AU16" s="5" t="s">
        <v>2121</v>
      </c>
      <c r="AV16" s="5" t="s">
        <v>2079</v>
      </c>
      <c r="AW16" s="23" t="s">
        <v>3776</v>
      </c>
      <c r="AX16" s="5" t="s">
        <v>1076</v>
      </c>
      <c r="AY16" s="5" t="s">
        <v>3777</v>
      </c>
    </row>
    <row r="17" customFormat="false" ht="14.25" hidden="false" customHeight="true" outlineLevel="0" collapsed="false">
      <c r="A17" s="5" t="s">
        <v>1064</v>
      </c>
      <c r="B17" s="5" t="s">
        <v>1064</v>
      </c>
      <c r="C17" s="5" t="s">
        <v>1065</v>
      </c>
      <c r="D17" s="5" t="n">
        <v>2022</v>
      </c>
      <c r="E17" s="5" t="s">
        <v>80</v>
      </c>
      <c r="F17" s="5" t="s">
        <v>942</v>
      </c>
      <c r="G17" s="5" t="s">
        <v>943</v>
      </c>
      <c r="H17" s="5" t="n">
        <v>29.706</v>
      </c>
      <c r="I17" s="5" t="n">
        <v>76.956</v>
      </c>
      <c r="J17" s="5" t="s">
        <v>83</v>
      </c>
      <c r="K17" s="5" t="n">
        <v>2019</v>
      </c>
      <c r="L17" s="5" t="s">
        <v>84</v>
      </c>
      <c r="M17" s="5" t="s">
        <v>85</v>
      </c>
      <c r="N17" s="5" t="s">
        <v>86</v>
      </c>
      <c r="O17" s="5" t="s">
        <v>2124</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3775</v>
      </c>
      <c r="AS17" s="5" t="s">
        <v>2119</v>
      </c>
      <c r="AT17" s="5" t="s">
        <v>2120</v>
      </c>
      <c r="AU17" s="5" t="s">
        <v>2121</v>
      </c>
      <c r="AV17" s="5" t="s">
        <v>2079</v>
      </c>
      <c r="AW17" s="23" t="s">
        <v>3778</v>
      </c>
      <c r="AX17" s="5" t="s">
        <v>1076</v>
      </c>
      <c r="AY17" s="5" t="s">
        <v>3777</v>
      </c>
    </row>
    <row r="18" customFormat="false" ht="14.25" hidden="false" customHeight="true" outlineLevel="0" collapsed="false">
      <c r="A18" s="5" t="s">
        <v>1064</v>
      </c>
      <c r="B18" s="5" t="s">
        <v>1064</v>
      </c>
      <c r="C18" s="5" t="s">
        <v>1065</v>
      </c>
      <c r="D18" s="5" t="n">
        <v>2022</v>
      </c>
      <c r="E18" s="5" t="s">
        <v>80</v>
      </c>
      <c r="F18" s="5" t="s">
        <v>942</v>
      </c>
      <c r="G18" s="5" t="s">
        <v>943</v>
      </c>
      <c r="H18" s="5" t="n">
        <v>29.706</v>
      </c>
      <c r="I18" s="5" t="n">
        <v>76.956</v>
      </c>
      <c r="J18" s="5" t="s">
        <v>83</v>
      </c>
      <c r="K18" s="5" t="n">
        <v>2019</v>
      </c>
      <c r="L18" s="5" t="s">
        <v>84</v>
      </c>
      <c r="M18" s="5" t="s">
        <v>85</v>
      </c>
      <c r="N18" s="5" t="s">
        <v>2050</v>
      </c>
      <c r="O18" s="5" t="s">
        <v>2051</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3775</v>
      </c>
      <c r="AS18" s="5" t="s">
        <v>2119</v>
      </c>
      <c r="AT18" s="5" t="s">
        <v>2120</v>
      </c>
      <c r="AU18" s="5" t="s">
        <v>2121</v>
      </c>
      <c r="AV18" s="5" t="s">
        <v>2079</v>
      </c>
      <c r="AW18" s="23" t="s">
        <v>3779</v>
      </c>
      <c r="AX18" s="5" t="s">
        <v>1076</v>
      </c>
      <c r="AY18" s="5" t="s">
        <v>3777</v>
      </c>
    </row>
    <row r="19" customFormat="false" ht="14.25" hidden="false" customHeight="true" outlineLevel="0" collapsed="false">
      <c r="A19" s="18" t="n">
        <v>173</v>
      </c>
      <c r="B19" s="18" t="n">
        <v>173</v>
      </c>
      <c r="C19" s="18" t="s">
        <v>1133</v>
      </c>
      <c r="D19" s="18" t="n">
        <v>2023</v>
      </c>
      <c r="E19" s="18" t="s">
        <v>1134</v>
      </c>
      <c r="F19" s="18" t="s">
        <v>866</v>
      </c>
      <c r="G19" s="18" t="s">
        <v>1137</v>
      </c>
      <c r="H19" s="18" t="n">
        <v>28.633</v>
      </c>
      <c r="I19" s="18" t="n">
        <v>77.15</v>
      </c>
      <c r="J19" s="18" t="s">
        <v>83</v>
      </c>
      <c r="K19" s="18" t="n">
        <v>2020</v>
      </c>
      <c r="L19" s="18" t="s">
        <v>84</v>
      </c>
      <c r="M19" s="18" t="s">
        <v>85</v>
      </c>
      <c r="N19" s="18" t="s">
        <v>86</v>
      </c>
      <c r="O19" s="18" t="s">
        <v>2043</v>
      </c>
      <c r="P19" s="18" t="n">
        <v>254.3</v>
      </c>
      <c r="Q19" s="18" t="n">
        <v>265.5</v>
      </c>
      <c r="R19" s="18"/>
      <c r="S19" s="18" t="n">
        <v>276</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3775</v>
      </c>
      <c r="AS19" s="18" t="s">
        <v>2165</v>
      </c>
      <c r="AT19" s="18" t="s">
        <v>2166</v>
      </c>
      <c r="AU19" s="18" t="s">
        <v>2167</v>
      </c>
      <c r="AV19" s="18" t="s">
        <v>2047</v>
      </c>
      <c r="AW19" s="32" t="s">
        <v>3780</v>
      </c>
      <c r="AX19" s="18" t="s">
        <v>1148</v>
      </c>
      <c r="AY19" s="18" t="s">
        <v>3781</v>
      </c>
    </row>
    <row r="20" customFormat="false" ht="14.25" hidden="false" customHeight="true" outlineLevel="0" collapsed="false">
      <c r="A20" s="18" t="n">
        <v>173</v>
      </c>
      <c r="B20" s="18" t="n">
        <v>173</v>
      </c>
      <c r="C20" s="18" t="s">
        <v>1133</v>
      </c>
      <c r="D20" s="18" t="n">
        <v>2023</v>
      </c>
      <c r="E20" s="18" t="s">
        <v>1134</v>
      </c>
      <c r="F20" s="18" t="s">
        <v>866</v>
      </c>
      <c r="G20" s="18" t="s">
        <v>1137</v>
      </c>
      <c r="H20" s="18" t="n">
        <v>28.633</v>
      </c>
      <c r="I20" s="18" t="n">
        <v>77.15</v>
      </c>
      <c r="J20" s="18" t="s">
        <v>83</v>
      </c>
      <c r="K20" s="18" t="n">
        <v>2020</v>
      </c>
      <c r="L20" s="18" t="s">
        <v>84</v>
      </c>
      <c r="M20" s="18" t="s">
        <v>85</v>
      </c>
      <c r="N20" s="18" t="s">
        <v>86</v>
      </c>
      <c r="O20" s="18" t="s">
        <v>2043</v>
      </c>
      <c r="P20" s="18" t="n">
        <v>265</v>
      </c>
      <c r="Q20" s="18" t="n">
        <v>272.1</v>
      </c>
      <c r="R20" s="18"/>
      <c r="S20" s="18" t="n">
        <v>268.4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3775</v>
      </c>
      <c r="AS20" s="18" t="s">
        <v>2165</v>
      </c>
      <c r="AT20" s="18" t="s">
        <v>2166</v>
      </c>
      <c r="AU20" s="18" t="s">
        <v>2167</v>
      </c>
      <c r="AV20" s="18" t="s">
        <v>2047</v>
      </c>
      <c r="AW20" s="32" t="s">
        <v>3782</v>
      </c>
      <c r="AX20" s="18" t="s">
        <v>1148</v>
      </c>
      <c r="AY20" s="18" t="s">
        <v>3781</v>
      </c>
    </row>
    <row r="21" customFormat="false" ht="14.25" hidden="false" customHeight="true" outlineLevel="0" collapsed="false">
      <c r="A21" s="18" t="n">
        <v>173</v>
      </c>
      <c r="B21" s="18" t="n">
        <v>173</v>
      </c>
      <c r="C21" s="18" t="s">
        <v>1133</v>
      </c>
      <c r="D21" s="18" t="n">
        <v>2023</v>
      </c>
      <c r="E21" s="18" t="s">
        <v>1134</v>
      </c>
      <c r="F21" s="18" t="s">
        <v>866</v>
      </c>
      <c r="G21" s="18" t="s">
        <v>1137</v>
      </c>
      <c r="H21" s="18" t="n">
        <v>28.633</v>
      </c>
      <c r="I21" s="18" t="n">
        <v>77.15</v>
      </c>
      <c r="J21" s="18" t="s">
        <v>83</v>
      </c>
      <c r="K21" s="18" t="n">
        <v>2020</v>
      </c>
      <c r="L21" s="18" t="s">
        <v>84</v>
      </c>
      <c r="M21" s="18" t="s">
        <v>85</v>
      </c>
      <c r="N21" s="18" t="s">
        <v>86</v>
      </c>
      <c r="O21" s="18" t="s">
        <v>2043</v>
      </c>
      <c r="P21" s="18" t="n">
        <v>289.5</v>
      </c>
      <c r="Q21" s="18" t="n">
        <v>265.5</v>
      </c>
      <c r="R21" s="18"/>
      <c r="S21" s="18" t="n">
        <v>276</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3775</v>
      </c>
      <c r="AS21" s="18" t="s">
        <v>2165</v>
      </c>
      <c r="AT21" s="18" t="s">
        <v>2166</v>
      </c>
      <c r="AU21" s="18" t="s">
        <v>2167</v>
      </c>
      <c r="AV21" s="18" t="s">
        <v>2047</v>
      </c>
      <c r="AW21" s="32" t="s">
        <v>3783</v>
      </c>
      <c r="AX21" s="18" t="s">
        <v>1148</v>
      </c>
      <c r="AY21" s="18" t="s">
        <v>3781</v>
      </c>
    </row>
    <row r="22" customFormat="false" ht="14.25" hidden="false" customHeight="true" outlineLevel="0" collapsed="false">
      <c r="A22" s="18" t="n">
        <v>173</v>
      </c>
      <c r="B22" s="18" t="n">
        <v>173</v>
      </c>
      <c r="C22" s="18" t="s">
        <v>1133</v>
      </c>
      <c r="D22" s="18" t="n">
        <v>2023</v>
      </c>
      <c r="E22" s="18" t="s">
        <v>1134</v>
      </c>
      <c r="F22" s="18" t="s">
        <v>866</v>
      </c>
      <c r="G22" s="18" t="s">
        <v>1137</v>
      </c>
      <c r="H22" s="18" t="n">
        <v>28.633</v>
      </c>
      <c r="I22" s="18" t="n">
        <v>77.15</v>
      </c>
      <c r="J22" s="18" t="s">
        <v>83</v>
      </c>
      <c r="K22" s="18" t="n">
        <v>2020</v>
      </c>
      <c r="L22" s="18" t="s">
        <v>84</v>
      </c>
      <c r="M22" s="18" t="s">
        <v>85</v>
      </c>
      <c r="N22" s="18" t="s">
        <v>86</v>
      </c>
      <c r="O22" s="18" t="s">
        <v>2043</v>
      </c>
      <c r="P22" s="18" t="n">
        <v>277.7</v>
      </c>
      <c r="Q22" s="18" t="n">
        <v>272.1</v>
      </c>
      <c r="R22" s="18"/>
      <c r="S22" s="18" t="n">
        <v>268.4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3775</v>
      </c>
      <c r="AS22" s="18" t="s">
        <v>2165</v>
      </c>
      <c r="AT22" s="18" t="s">
        <v>2166</v>
      </c>
      <c r="AU22" s="18" t="s">
        <v>2167</v>
      </c>
      <c r="AV22" s="18" t="s">
        <v>2047</v>
      </c>
      <c r="AW22" s="32" t="s">
        <v>3784</v>
      </c>
      <c r="AX22" s="18" t="s">
        <v>1148</v>
      </c>
      <c r="AY22" s="18" t="s">
        <v>3781</v>
      </c>
    </row>
    <row r="23" customFormat="false" ht="14.25" hidden="false" customHeight="true" outlineLevel="0" collapsed="false">
      <c r="A23" s="18" t="n">
        <v>173</v>
      </c>
      <c r="B23" s="18" t="n">
        <v>173</v>
      </c>
      <c r="C23" s="18" t="s">
        <v>1133</v>
      </c>
      <c r="D23" s="18" t="n">
        <v>2023</v>
      </c>
      <c r="E23" s="18" t="s">
        <v>1134</v>
      </c>
      <c r="F23" s="18" t="s">
        <v>866</v>
      </c>
      <c r="G23" s="18" t="s">
        <v>1137</v>
      </c>
      <c r="H23" s="18" t="n">
        <v>28.633</v>
      </c>
      <c r="I23" s="18" t="n">
        <v>77.15</v>
      </c>
      <c r="J23" s="18" t="s">
        <v>83</v>
      </c>
      <c r="K23" s="18" t="n">
        <v>2020</v>
      </c>
      <c r="L23" s="18" t="s">
        <v>84</v>
      </c>
      <c r="M23" s="18" t="s">
        <v>85</v>
      </c>
      <c r="N23" s="18" t="s">
        <v>2050</v>
      </c>
      <c r="O23" s="18" t="s">
        <v>2051</v>
      </c>
      <c r="P23" s="18" t="n">
        <v>235.5</v>
      </c>
      <c r="Q23" s="18" t="n">
        <v>238.1</v>
      </c>
      <c r="R23" s="18"/>
      <c r="S23" s="18" t="n">
        <v>246.7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3775</v>
      </c>
      <c r="AS23" s="18" t="s">
        <v>2165</v>
      </c>
      <c r="AT23" s="18" t="s">
        <v>2166</v>
      </c>
      <c r="AU23" s="18" t="s">
        <v>2167</v>
      </c>
      <c r="AV23" s="18" t="s">
        <v>2047</v>
      </c>
      <c r="AW23" s="32" t="s">
        <v>3785</v>
      </c>
      <c r="AX23" s="18" t="s">
        <v>1148</v>
      </c>
      <c r="AY23" s="18" t="s">
        <v>3781</v>
      </c>
    </row>
    <row r="24" customFormat="false" ht="14.25" hidden="false" customHeight="true" outlineLevel="0" collapsed="false">
      <c r="A24" s="18" t="n">
        <v>173</v>
      </c>
      <c r="B24" s="18" t="n">
        <v>173</v>
      </c>
      <c r="C24" s="18" t="s">
        <v>1133</v>
      </c>
      <c r="D24" s="18" t="n">
        <v>2023</v>
      </c>
      <c r="E24" s="18" t="s">
        <v>1134</v>
      </c>
      <c r="F24" s="18" t="s">
        <v>866</v>
      </c>
      <c r="G24" s="18" t="s">
        <v>1137</v>
      </c>
      <c r="H24" s="18" t="n">
        <v>28.633</v>
      </c>
      <c r="I24" s="18" t="n">
        <v>77.15</v>
      </c>
      <c r="J24" s="18" t="s">
        <v>83</v>
      </c>
      <c r="K24" s="18" t="n">
        <v>2020</v>
      </c>
      <c r="L24" s="18" t="s">
        <v>84</v>
      </c>
      <c r="M24" s="18" t="s">
        <v>85</v>
      </c>
      <c r="N24" s="18" t="s">
        <v>2050</v>
      </c>
      <c r="O24" s="18" t="s">
        <v>2051</v>
      </c>
      <c r="P24" s="18" t="n">
        <v>239.9</v>
      </c>
      <c r="Q24" s="18" t="n">
        <v>241.3</v>
      </c>
      <c r="R24" s="18"/>
      <c r="S24" s="18" t="n">
        <v>241.3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3775</v>
      </c>
      <c r="AS24" s="18" t="s">
        <v>2165</v>
      </c>
      <c r="AT24" s="18" t="s">
        <v>2166</v>
      </c>
      <c r="AU24" s="18" t="s">
        <v>2167</v>
      </c>
      <c r="AV24" s="18" t="s">
        <v>2047</v>
      </c>
      <c r="AW24" s="32" t="s">
        <v>3786</v>
      </c>
      <c r="AX24" s="18" t="s">
        <v>1148</v>
      </c>
      <c r="AY24" s="18" t="s">
        <v>3781</v>
      </c>
    </row>
    <row r="25" customFormat="false" ht="14.25" hidden="false" customHeight="true" outlineLevel="0" collapsed="false">
      <c r="A25" s="18" t="n">
        <v>173</v>
      </c>
      <c r="B25" s="18" t="n">
        <v>173</v>
      </c>
      <c r="C25" s="18" t="s">
        <v>1133</v>
      </c>
      <c r="D25" s="18" t="n">
        <v>2023</v>
      </c>
      <c r="E25" s="18" t="s">
        <v>1134</v>
      </c>
      <c r="F25" s="18" t="s">
        <v>866</v>
      </c>
      <c r="G25" s="18" t="s">
        <v>1137</v>
      </c>
      <c r="H25" s="18" t="n">
        <v>28.633</v>
      </c>
      <c r="I25" s="18" t="n">
        <v>77.15</v>
      </c>
      <c r="J25" s="18" t="s">
        <v>83</v>
      </c>
      <c r="K25" s="18" t="n">
        <v>2020</v>
      </c>
      <c r="L25" s="18" t="s">
        <v>84</v>
      </c>
      <c r="M25" s="18" t="s">
        <v>85</v>
      </c>
      <c r="N25" s="18" t="s">
        <v>2050</v>
      </c>
      <c r="O25" s="18" t="s">
        <v>2051</v>
      </c>
      <c r="P25" s="18" t="n">
        <v>259.7</v>
      </c>
      <c r="Q25" s="18" t="n">
        <v>238.1</v>
      </c>
      <c r="R25" s="18"/>
      <c r="S25" s="18" t="n">
        <v>246.7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3775</v>
      </c>
      <c r="AS25" s="18" t="s">
        <v>2165</v>
      </c>
      <c r="AT25" s="18" t="s">
        <v>2166</v>
      </c>
      <c r="AU25" s="18" t="s">
        <v>2167</v>
      </c>
      <c r="AV25" s="18" t="s">
        <v>2047</v>
      </c>
      <c r="AW25" s="32" t="s">
        <v>3787</v>
      </c>
      <c r="AX25" s="18" t="s">
        <v>1148</v>
      </c>
      <c r="AY25" s="18" t="s">
        <v>3781</v>
      </c>
    </row>
    <row r="26" customFormat="false" ht="14.25" hidden="false" customHeight="true" outlineLevel="0" collapsed="false">
      <c r="A26" s="18" t="n">
        <v>173</v>
      </c>
      <c r="B26" s="18" t="n">
        <v>173</v>
      </c>
      <c r="C26" s="18" t="s">
        <v>1133</v>
      </c>
      <c r="D26" s="18" t="n">
        <v>2023</v>
      </c>
      <c r="E26" s="18" t="s">
        <v>1134</v>
      </c>
      <c r="F26" s="18" t="s">
        <v>866</v>
      </c>
      <c r="G26" s="18" t="s">
        <v>1137</v>
      </c>
      <c r="H26" s="18" t="n">
        <v>28.633</v>
      </c>
      <c r="I26" s="18" t="n">
        <v>77.15</v>
      </c>
      <c r="J26" s="18" t="s">
        <v>83</v>
      </c>
      <c r="K26" s="18" t="n">
        <v>2020</v>
      </c>
      <c r="L26" s="18" t="s">
        <v>84</v>
      </c>
      <c r="M26" s="18" t="s">
        <v>85</v>
      </c>
      <c r="N26" s="18" t="s">
        <v>2050</v>
      </c>
      <c r="O26" s="18" t="s">
        <v>2051</v>
      </c>
      <c r="P26" s="18" t="n">
        <v>252.7</v>
      </c>
      <c r="Q26" s="18" t="n">
        <v>241.3</v>
      </c>
      <c r="R26" s="18"/>
      <c r="S26" s="18" t="n">
        <v>241.3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3775</v>
      </c>
      <c r="AS26" s="18" t="s">
        <v>2165</v>
      </c>
      <c r="AT26" s="18" t="s">
        <v>2166</v>
      </c>
      <c r="AU26" s="18" t="s">
        <v>2167</v>
      </c>
      <c r="AV26" s="18" t="s">
        <v>2047</v>
      </c>
      <c r="AW26" s="32" t="s">
        <v>3788</v>
      </c>
      <c r="AX26" s="18" t="s">
        <v>1148</v>
      </c>
      <c r="AY26" s="18" t="s">
        <v>3781</v>
      </c>
    </row>
    <row r="27" customFormat="false" ht="14.25" hidden="false" customHeight="true" outlineLevel="0" collapsed="false">
      <c r="A27" s="18" t="n">
        <v>173</v>
      </c>
      <c r="B27" s="18" t="n">
        <v>173</v>
      </c>
      <c r="C27" s="18" t="s">
        <v>1133</v>
      </c>
      <c r="D27" s="18" t="n">
        <v>2023</v>
      </c>
      <c r="E27" s="18" t="s">
        <v>1134</v>
      </c>
      <c r="F27" s="18" t="s">
        <v>866</v>
      </c>
      <c r="G27" s="18" t="s">
        <v>1137</v>
      </c>
      <c r="H27" s="18" t="n">
        <v>28.633</v>
      </c>
      <c r="I27" s="18" t="n">
        <v>77.15</v>
      </c>
      <c r="J27" s="18" t="s">
        <v>83</v>
      </c>
      <c r="K27" s="18" t="n">
        <v>2020</v>
      </c>
      <c r="L27" s="18" t="s">
        <v>84</v>
      </c>
      <c r="M27" s="18" t="s">
        <v>85</v>
      </c>
      <c r="N27" s="18" t="s">
        <v>2177</v>
      </c>
      <c r="O27" s="18" t="s">
        <v>2178</v>
      </c>
      <c r="P27" s="18" t="n">
        <v>222.8</v>
      </c>
      <c r="Q27" s="18" t="n">
        <v>233.5</v>
      </c>
      <c r="R27" s="18"/>
      <c r="S27" s="18" t="n">
        <v>226.4</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3775</v>
      </c>
      <c r="AS27" s="18" t="s">
        <v>2165</v>
      </c>
      <c r="AT27" s="18" t="s">
        <v>2166</v>
      </c>
      <c r="AU27" s="18" t="s">
        <v>2167</v>
      </c>
      <c r="AV27" s="18" t="s">
        <v>2047</v>
      </c>
      <c r="AW27" s="32" t="s">
        <v>3789</v>
      </c>
      <c r="AX27" s="18" t="s">
        <v>1148</v>
      </c>
      <c r="AY27" s="18" t="s">
        <v>3781</v>
      </c>
    </row>
    <row r="28" customFormat="false" ht="14.25" hidden="false" customHeight="true" outlineLevel="0" collapsed="false">
      <c r="A28" s="18" t="n">
        <v>173</v>
      </c>
      <c r="B28" s="18" t="n">
        <v>173</v>
      </c>
      <c r="C28" s="18" t="s">
        <v>1133</v>
      </c>
      <c r="D28" s="18" t="n">
        <v>2023</v>
      </c>
      <c r="E28" s="18" t="s">
        <v>1134</v>
      </c>
      <c r="F28" s="18" t="s">
        <v>866</v>
      </c>
      <c r="G28" s="18" t="s">
        <v>1137</v>
      </c>
      <c r="H28" s="18" t="n">
        <v>28.633</v>
      </c>
      <c r="I28" s="18" t="n">
        <v>77.15</v>
      </c>
      <c r="J28" s="18" t="s">
        <v>83</v>
      </c>
      <c r="K28" s="18" t="n">
        <v>2020</v>
      </c>
      <c r="L28" s="18" t="s">
        <v>84</v>
      </c>
      <c r="M28" s="18" t="s">
        <v>85</v>
      </c>
      <c r="N28" s="18" t="s">
        <v>2177</v>
      </c>
      <c r="O28" s="18" t="s">
        <v>2178</v>
      </c>
      <c r="P28" s="18" t="n">
        <v>235.7</v>
      </c>
      <c r="Q28" s="18" t="n">
        <v>231.6</v>
      </c>
      <c r="R28" s="18"/>
      <c r="S28" s="18" t="n">
        <v>235.1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3775</v>
      </c>
      <c r="AS28" s="18" t="s">
        <v>2165</v>
      </c>
      <c r="AT28" s="18" t="s">
        <v>2166</v>
      </c>
      <c r="AU28" s="18" t="s">
        <v>2167</v>
      </c>
      <c r="AV28" s="18" t="s">
        <v>2047</v>
      </c>
      <c r="AW28" s="32" t="s">
        <v>3790</v>
      </c>
      <c r="AX28" s="18" t="s">
        <v>1148</v>
      </c>
      <c r="AY28" s="18" t="s">
        <v>3781</v>
      </c>
    </row>
    <row r="29" customFormat="false" ht="14.25" hidden="false" customHeight="true" outlineLevel="0" collapsed="false">
      <c r="A29" s="18" t="n">
        <v>173</v>
      </c>
      <c r="B29" s="18" t="n">
        <v>173</v>
      </c>
      <c r="C29" s="18" t="s">
        <v>1133</v>
      </c>
      <c r="D29" s="18" t="n">
        <v>2023</v>
      </c>
      <c r="E29" s="18" t="s">
        <v>1134</v>
      </c>
      <c r="F29" s="18" t="s">
        <v>866</v>
      </c>
      <c r="G29" s="18" t="s">
        <v>1137</v>
      </c>
      <c r="H29" s="18" t="n">
        <v>28.633</v>
      </c>
      <c r="I29" s="18" t="n">
        <v>77.15</v>
      </c>
      <c r="J29" s="18" t="s">
        <v>83</v>
      </c>
      <c r="K29" s="18" t="n">
        <v>2020</v>
      </c>
      <c r="L29" s="18" t="s">
        <v>84</v>
      </c>
      <c r="M29" s="18" t="s">
        <v>85</v>
      </c>
      <c r="N29" s="18" t="s">
        <v>2177</v>
      </c>
      <c r="O29" s="18" t="s">
        <v>2178</v>
      </c>
      <c r="P29" s="18" t="n">
        <v>241.1</v>
      </c>
      <c r="Q29" s="18" t="n">
        <v>233.5</v>
      </c>
      <c r="R29" s="18"/>
      <c r="S29" s="18" t="n">
        <v>226.4</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3775</v>
      </c>
      <c r="AS29" s="18" t="s">
        <v>2165</v>
      </c>
      <c r="AT29" s="18" t="s">
        <v>2166</v>
      </c>
      <c r="AU29" s="18" t="s">
        <v>2167</v>
      </c>
      <c r="AV29" s="18" t="s">
        <v>2047</v>
      </c>
      <c r="AW29" s="32" t="s">
        <v>3791</v>
      </c>
      <c r="AX29" s="18" t="s">
        <v>1148</v>
      </c>
      <c r="AY29" s="18" t="s">
        <v>3781</v>
      </c>
    </row>
    <row r="30" customFormat="false" ht="14.25" hidden="false" customHeight="true" outlineLevel="0" collapsed="false">
      <c r="A30" s="18" t="n">
        <v>173</v>
      </c>
      <c r="B30" s="18" t="n">
        <v>173</v>
      </c>
      <c r="C30" s="18" t="s">
        <v>1133</v>
      </c>
      <c r="D30" s="18" t="n">
        <v>2023</v>
      </c>
      <c r="E30" s="18" t="s">
        <v>1134</v>
      </c>
      <c r="F30" s="18" t="s">
        <v>866</v>
      </c>
      <c r="G30" s="18" t="s">
        <v>1137</v>
      </c>
      <c r="H30" s="18" t="n">
        <v>28.633</v>
      </c>
      <c r="I30" s="18" t="n">
        <v>77.15</v>
      </c>
      <c r="J30" s="18" t="s">
        <v>83</v>
      </c>
      <c r="K30" s="18" t="n">
        <v>2020</v>
      </c>
      <c r="L30" s="18" t="s">
        <v>84</v>
      </c>
      <c r="M30" s="18" t="s">
        <v>85</v>
      </c>
      <c r="N30" s="18" t="s">
        <v>2177</v>
      </c>
      <c r="O30" s="18" t="s">
        <v>2178</v>
      </c>
      <c r="P30" s="18" t="n">
        <v>246.9</v>
      </c>
      <c r="Q30" s="18" t="n">
        <v>231.6</v>
      </c>
      <c r="R30" s="18"/>
      <c r="S30" s="18" t="n">
        <v>235.1</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3775</v>
      </c>
      <c r="AS30" s="18" t="s">
        <v>2165</v>
      </c>
      <c r="AT30" s="18" t="s">
        <v>2166</v>
      </c>
      <c r="AU30" s="18" t="s">
        <v>2167</v>
      </c>
      <c r="AV30" s="18" t="s">
        <v>2047</v>
      </c>
      <c r="AW30" s="32" t="s">
        <v>3792</v>
      </c>
      <c r="AX30" s="18" t="s">
        <v>1148</v>
      </c>
      <c r="AY30" s="18" t="s">
        <v>3781</v>
      </c>
    </row>
    <row r="31" customFormat="false" ht="14.25" hidden="false" customHeight="false" outlineLevel="0" collapsed="false">
      <c r="A31" s="24" t="n">
        <v>174</v>
      </c>
      <c r="B31" s="24" t="n">
        <v>174</v>
      </c>
      <c r="C31" s="24" t="s">
        <v>1152</v>
      </c>
      <c r="D31" s="24" t="n">
        <v>2017</v>
      </c>
      <c r="E31" s="24" t="s">
        <v>1153</v>
      </c>
      <c r="F31" s="24" t="s">
        <v>887</v>
      </c>
      <c r="G31" s="24" t="s">
        <v>1156</v>
      </c>
      <c r="H31" s="24" t="n">
        <v>29.067</v>
      </c>
      <c r="I31" s="24" t="n">
        <v>77.767</v>
      </c>
      <c r="J31" s="24" t="s">
        <v>83</v>
      </c>
      <c r="K31" s="24" t="s">
        <v>2183</v>
      </c>
      <c r="L31" s="24" t="s">
        <v>872</v>
      </c>
      <c r="M31" s="24" t="s">
        <v>85</v>
      </c>
      <c r="N31" s="24" t="s">
        <v>86</v>
      </c>
      <c r="O31" s="24" t="s">
        <v>2043</v>
      </c>
      <c r="P31" s="24" t="n">
        <v>125.4</v>
      </c>
      <c r="Q31" s="24"/>
      <c r="R31" s="24" t="n">
        <v>111.3</v>
      </c>
      <c r="S31" s="24"/>
      <c r="T31" s="24"/>
      <c r="U31" s="24"/>
      <c r="V31" s="24"/>
      <c r="W31" s="24"/>
      <c r="X31" s="24" t="n">
        <v>126.2</v>
      </c>
      <c r="Y31" s="24" t="n">
        <v>110.5</v>
      </c>
      <c r="Z31" s="24"/>
      <c r="AA31" s="24"/>
      <c r="AB31" s="24" t="n">
        <v>2</v>
      </c>
      <c r="AC31" s="24" t="n">
        <v>3</v>
      </c>
      <c r="AD31" s="24" t="n">
        <f aca="false">IF(AND(N(AB31)&gt;0,N(AC31)&gt;0),SQRT(2*AB31/AC31),"")</f>
        <v>1.15470053837925</v>
      </c>
      <c r="AE31" s="24" t="n">
        <v>16.5</v>
      </c>
      <c r="AF31" s="24" t="n">
        <v>5</v>
      </c>
      <c r="AG31" s="24" t="n">
        <v>46</v>
      </c>
      <c r="AH31" s="24" t="n">
        <v>863</v>
      </c>
      <c r="AI31" s="24" t="n">
        <v>29.067</v>
      </c>
      <c r="AJ31" s="24" t="n">
        <v>2</v>
      </c>
      <c r="AK31" s="24"/>
      <c r="AL31" s="24"/>
      <c r="AM31" s="24" t="n">
        <v>8.1</v>
      </c>
      <c r="AN31" s="24" t="n">
        <v>8.3</v>
      </c>
      <c r="AO31" s="24"/>
      <c r="AP31" s="24" t="n">
        <v>62</v>
      </c>
      <c r="AQ31" s="24" t="n">
        <v>20.5</v>
      </c>
      <c r="AR31" s="24" t="s">
        <v>3775</v>
      </c>
      <c r="AS31" s="24" t="s">
        <v>2184</v>
      </c>
      <c r="AT31" s="24" t="s">
        <v>2185</v>
      </c>
      <c r="AU31" s="24" t="s">
        <v>2186</v>
      </c>
      <c r="AV31" s="24" t="s">
        <v>2102</v>
      </c>
      <c r="AW31" s="25" t="s">
        <v>3793</v>
      </c>
      <c r="AX31" s="24" t="s">
        <v>1167</v>
      </c>
      <c r="AY31" s="24" t="s">
        <v>3794</v>
      </c>
    </row>
    <row r="32" customFormat="false" ht="14.25" hidden="false" customHeight="false" outlineLevel="0" collapsed="false">
      <c r="A32" s="24" t="n">
        <v>174</v>
      </c>
      <c r="B32" s="24" t="n">
        <v>174</v>
      </c>
      <c r="C32" s="24" t="s">
        <v>1152</v>
      </c>
      <c r="D32" s="24" t="n">
        <v>2017</v>
      </c>
      <c r="E32" s="24" t="s">
        <v>1153</v>
      </c>
      <c r="F32" s="24" t="s">
        <v>887</v>
      </c>
      <c r="G32" s="24" t="s">
        <v>1156</v>
      </c>
      <c r="H32" s="24" t="n">
        <v>29.067</v>
      </c>
      <c r="I32" s="24" t="n">
        <v>77.767</v>
      </c>
      <c r="J32" s="24" t="s">
        <v>83</v>
      </c>
      <c r="K32" s="24" t="s">
        <v>2183</v>
      </c>
      <c r="L32" s="24" t="s">
        <v>872</v>
      </c>
      <c r="M32" s="24" t="s">
        <v>85</v>
      </c>
      <c r="N32" s="24" t="s">
        <v>86</v>
      </c>
      <c r="O32" s="24" t="s">
        <v>2043</v>
      </c>
      <c r="P32" s="24" t="n">
        <v>129.2</v>
      </c>
      <c r="Q32" s="24"/>
      <c r="R32" s="24" t="n">
        <v>109.4</v>
      </c>
      <c r="S32" s="24"/>
      <c r="T32" s="24"/>
      <c r="U32" s="24"/>
      <c r="V32" s="24"/>
      <c r="W32" s="24"/>
      <c r="X32" s="24" t="n">
        <v>126.2</v>
      </c>
      <c r="Y32" s="24" t="n">
        <v>110.5</v>
      </c>
      <c r="Z32" s="24"/>
      <c r="AA32" s="24"/>
      <c r="AB32" s="24" t="n">
        <v>2</v>
      </c>
      <c r="AC32" s="24" t="n">
        <v>3</v>
      </c>
      <c r="AD32" s="24" t="n">
        <f aca="false">IF(AND(N(AB32)&gt;0,N(AC32)&gt;0),SQRT(2*AB32/AC32),"")</f>
        <v>1.15470053837925</v>
      </c>
      <c r="AE32" s="24" t="n">
        <v>16.5</v>
      </c>
      <c r="AF32" s="24" t="n">
        <v>5</v>
      </c>
      <c r="AG32" s="24" t="n">
        <v>46</v>
      </c>
      <c r="AH32" s="24" t="n">
        <v>863</v>
      </c>
      <c r="AI32" s="24" t="n">
        <v>29.067</v>
      </c>
      <c r="AJ32" s="24" t="n">
        <v>2</v>
      </c>
      <c r="AK32" s="24"/>
      <c r="AL32" s="24"/>
      <c r="AM32" s="24" t="n">
        <v>8.1</v>
      </c>
      <c r="AN32" s="24" t="n">
        <v>8.3</v>
      </c>
      <c r="AO32" s="24"/>
      <c r="AP32" s="24" t="n">
        <v>62</v>
      </c>
      <c r="AQ32" s="24" t="n">
        <v>20.5</v>
      </c>
      <c r="AR32" s="24" t="s">
        <v>3775</v>
      </c>
      <c r="AS32" s="24" t="s">
        <v>2184</v>
      </c>
      <c r="AT32" s="24" t="s">
        <v>2185</v>
      </c>
      <c r="AU32" s="24" t="s">
        <v>2186</v>
      </c>
      <c r="AV32" s="24" t="s">
        <v>2102</v>
      </c>
      <c r="AW32" s="25" t="s">
        <v>3795</v>
      </c>
      <c r="AX32" s="24" t="s">
        <v>1167</v>
      </c>
      <c r="AY32" s="24" t="s">
        <v>3794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3796</v>
      </c>
      <c r="Q1" s="27" t="s">
        <v>3797</v>
      </c>
      <c r="R1" s="27" t="s">
        <v>3798</v>
      </c>
      <c r="S1" s="27" t="s">
        <v>3799</v>
      </c>
      <c r="T1" s="27" t="s">
        <v>3800</v>
      </c>
      <c r="U1" s="27" t="s">
        <v>3801</v>
      </c>
      <c r="V1" s="27" t="s">
        <v>3802</v>
      </c>
      <c r="W1" s="27" t="s">
        <v>3803</v>
      </c>
      <c r="X1" s="30" t="s">
        <v>3804</v>
      </c>
      <c r="Y1" s="30" t="s">
        <v>3805</v>
      </c>
      <c r="Z1" s="30" t="s">
        <v>3806</v>
      </c>
      <c r="AA1" s="30" t="s">
        <v>3807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1405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3808</v>
      </c>
      <c r="Q1" s="27" t="s">
        <v>3809</v>
      </c>
      <c r="R1" s="27" t="s">
        <v>3810</v>
      </c>
      <c r="S1" s="27" t="s">
        <v>3811</v>
      </c>
      <c r="T1" s="27" t="s">
        <v>3812</v>
      </c>
      <c r="U1" s="27" t="s">
        <v>3813</v>
      </c>
      <c r="V1" s="27" t="s">
        <v>3814</v>
      </c>
      <c r="W1" s="27" t="s">
        <v>3815</v>
      </c>
      <c r="X1" s="30" t="s">
        <v>3816</v>
      </c>
      <c r="Y1" s="30" t="s">
        <v>3817</v>
      </c>
      <c r="Z1" s="30" t="s">
        <v>3818</v>
      </c>
      <c r="AA1" s="30" t="s">
        <v>3819</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2183</v>
      </c>
      <c r="L2" s="5" t="s">
        <v>872</v>
      </c>
      <c r="M2" s="5" t="s">
        <v>85</v>
      </c>
      <c r="N2" s="5" t="s">
        <v>86</v>
      </c>
      <c r="O2" s="5" t="s">
        <v>2979</v>
      </c>
      <c r="P2" s="5"/>
      <c r="Q2" s="5" t="n">
        <v>635</v>
      </c>
      <c r="R2" s="5"/>
      <c r="S2" s="5"/>
      <c r="T2" s="5"/>
      <c r="U2" s="5"/>
      <c r="V2" s="5" t="n">
        <v>702</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3820</v>
      </c>
      <c r="AS2" s="5" t="s">
        <v>2053</v>
      </c>
      <c r="AT2" s="5" t="s">
        <v>2980</v>
      </c>
      <c r="AU2" s="5" t="s">
        <v>2055</v>
      </c>
      <c r="AV2" s="5" t="s">
        <v>2115</v>
      </c>
      <c r="AW2" s="23" t="s">
        <v>3821</v>
      </c>
      <c r="AX2" s="5" t="s">
        <v>880</v>
      </c>
      <c r="AY2" s="5" t="s">
        <v>3822</v>
      </c>
      <c r="BA2" s="33" t="s">
        <v>778</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2183</v>
      </c>
      <c r="L3" s="5" t="s">
        <v>872</v>
      </c>
      <c r="M3" s="5" t="s">
        <v>85</v>
      </c>
      <c r="N3" s="5" t="s">
        <v>86</v>
      </c>
      <c r="O3" s="5" t="s">
        <v>2979</v>
      </c>
      <c r="P3" s="5"/>
      <c r="Q3" s="5" t="n">
        <v>698</v>
      </c>
      <c r="R3" s="5"/>
      <c r="S3" s="5"/>
      <c r="T3" s="5"/>
      <c r="U3" s="5"/>
      <c r="V3" s="5" t="n">
        <v>780</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3820</v>
      </c>
      <c r="AS3" s="5" t="s">
        <v>2059</v>
      </c>
      <c r="AT3" s="5" t="s">
        <v>2983</v>
      </c>
      <c r="AU3" s="5" t="s">
        <v>2055</v>
      </c>
      <c r="AV3" s="5" t="s">
        <v>2115</v>
      </c>
      <c r="AW3" s="23" t="s">
        <v>3823</v>
      </c>
      <c r="AX3" s="5" t="s">
        <v>880</v>
      </c>
      <c r="AY3" s="5" t="s">
        <v>3822</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2979</v>
      </c>
      <c r="P4" s="5"/>
      <c r="Q4" s="5" t="n">
        <v>789</v>
      </c>
      <c r="R4" s="5"/>
      <c r="S4" s="5"/>
      <c r="T4" s="5"/>
      <c r="U4" s="5"/>
      <c r="V4" s="5" t="n">
        <v>911</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3820</v>
      </c>
      <c r="AS4" s="5" t="s">
        <v>2053</v>
      </c>
      <c r="AT4" s="5" t="s">
        <v>2985</v>
      </c>
      <c r="AU4" s="5" t="s">
        <v>2055</v>
      </c>
      <c r="AV4" s="5" t="s">
        <v>2115</v>
      </c>
      <c r="AW4" s="23" t="s">
        <v>3824</v>
      </c>
      <c r="AX4" s="5" t="s">
        <v>880</v>
      </c>
      <c r="AY4" s="5" t="s">
        <v>3822</v>
      </c>
    </row>
    <row r="5" customFormat="false" ht="15" hidden="false" customHeight="true" outlineLevel="0" collapsed="false">
      <c r="A5" s="5" t="n">
        <v>165</v>
      </c>
      <c r="B5" s="5" t="n">
        <v>165</v>
      </c>
      <c r="C5" s="5" t="s">
        <v>862</v>
      </c>
      <c r="D5" s="5" t="n">
        <v>2012</v>
      </c>
      <c r="E5" s="5" t="s">
        <v>863</v>
      </c>
      <c r="F5" s="5" t="s">
        <v>866</v>
      </c>
      <c r="G5" s="5" t="s">
        <v>867</v>
      </c>
      <c r="H5" s="5" t="n">
        <v>28.633</v>
      </c>
      <c r="I5" s="5" t="n">
        <v>77.183</v>
      </c>
      <c r="J5" s="5" t="s">
        <v>83</v>
      </c>
      <c r="K5" s="5" t="s">
        <v>2052</v>
      </c>
      <c r="L5" s="5" t="s">
        <v>872</v>
      </c>
      <c r="M5" s="5" t="s">
        <v>85</v>
      </c>
      <c r="N5" s="5" t="s">
        <v>86</v>
      </c>
      <c r="O5" s="5" t="s">
        <v>2979</v>
      </c>
      <c r="P5" s="5"/>
      <c r="Q5" s="5" t="n">
        <v>875</v>
      </c>
      <c r="R5" s="5"/>
      <c r="S5" s="5"/>
      <c r="T5" s="5"/>
      <c r="U5" s="5"/>
      <c r="V5" s="5" t="n">
        <v>998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3820</v>
      </c>
      <c r="AS5" s="5" t="s">
        <v>2059</v>
      </c>
      <c r="AT5" s="5" t="s">
        <v>2986</v>
      </c>
      <c r="AU5" s="5" t="s">
        <v>2055</v>
      </c>
      <c r="AV5" s="5" t="s">
        <v>2115</v>
      </c>
      <c r="AW5" s="23" t="s">
        <v>3823</v>
      </c>
      <c r="AX5" s="5" t="s">
        <v>880</v>
      </c>
      <c r="AY5" s="5" t="s">
        <v>3822</v>
      </c>
    </row>
    <row r="6" customFormat="false" ht="15" hidden="false" customHeight="true" outlineLevel="0" collapsed="false">
      <c r="A6" s="5" t="s">
        <v>982</v>
      </c>
      <c r="B6" s="5" t="s">
        <v>982</v>
      </c>
      <c r="C6" s="5" t="s">
        <v>983</v>
      </c>
      <c r="D6" s="5" t="n">
        <v>2023</v>
      </c>
      <c r="E6" s="5" t="s">
        <v>984</v>
      </c>
      <c r="F6" s="5" t="s">
        <v>987</v>
      </c>
      <c r="G6" s="5" t="s">
        <v>988</v>
      </c>
      <c r="H6" s="5" t="n">
        <v>35.27</v>
      </c>
      <c r="I6" s="5" t="n">
        <v>119.38</v>
      </c>
      <c r="J6" s="5" t="s">
        <v>921</v>
      </c>
      <c r="K6" s="5" t="n">
        <v>2020</v>
      </c>
      <c r="L6" s="5" t="s">
        <v>872</v>
      </c>
      <c r="M6" s="5"/>
      <c r="N6" s="5" t="s">
        <v>86</v>
      </c>
      <c r="O6" s="5" t="s">
        <v>2062</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3825</v>
      </c>
      <c r="AS6" s="5" t="s">
        <v>2063</v>
      </c>
      <c r="AT6" s="5" t="s">
        <v>2332</v>
      </c>
      <c r="AU6" s="5" t="s">
        <v>2065</v>
      </c>
      <c r="AV6" s="5" t="s">
        <v>2422</v>
      </c>
      <c r="AW6" s="23" t="s">
        <v>3016</v>
      </c>
      <c r="AX6" s="5" t="s">
        <v>998</v>
      </c>
      <c r="AY6" s="5" t="s">
        <v>3826</v>
      </c>
    </row>
    <row r="7" customFormat="false" ht="15" hidden="false" customHeight="true" outlineLevel="0" collapsed="false">
      <c r="A7" s="5" t="s">
        <v>982</v>
      </c>
      <c r="B7" s="5" t="s">
        <v>982</v>
      </c>
      <c r="C7" s="5" t="s">
        <v>983</v>
      </c>
      <c r="D7" s="5" t="n">
        <v>2023</v>
      </c>
      <c r="E7" s="5" t="s">
        <v>984</v>
      </c>
      <c r="F7" s="5" t="s">
        <v>987</v>
      </c>
      <c r="G7" s="5" t="s">
        <v>988</v>
      </c>
      <c r="H7" s="5" t="n">
        <v>35.27</v>
      </c>
      <c r="I7" s="5" t="n">
        <v>119.38</v>
      </c>
      <c r="J7" s="5" t="s">
        <v>921</v>
      </c>
      <c r="K7" s="5" t="n">
        <v>2020</v>
      </c>
      <c r="L7" s="5" t="s">
        <v>872</v>
      </c>
      <c r="M7" s="5"/>
      <c r="N7" s="5" t="s">
        <v>2050</v>
      </c>
      <c r="O7" s="5" t="s">
        <v>2071</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3825</v>
      </c>
      <c r="AS7" s="5" t="s">
        <v>2063</v>
      </c>
      <c r="AT7" s="5" t="s">
        <v>2332</v>
      </c>
      <c r="AU7" s="5" t="s">
        <v>2065</v>
      </c>
      <c r="AV7" s="5" t="s">
        <v>2422</v>
      </c>
      <c r="AW7" s="23" t="s">
        <v>3018</v>
      </c>
      <c r="AX7" s="5" t="s">
        <v>998</v>
      </c>
      <c r="AY7" s="5" t="s">
        <v>3826</v>
      </c>
    </row>
    <row r="8" customFormat="false" ht="14.25" hidden="false" customHeight="true" outlineLevel="0" collapsed="false">
      <c r="A8" s="5" t="s">
        <v>982</v>
      </c>
      <c r="B8" s="5" t="s">
        <v>982</v>
      </c>
      <c r="C8" s="5" t="s">
        <v>983</v>
      </c>
      <c r="D8" s="5" t="n">
        <v>2023</v>
      </c>
      <c r="E8" s="5" t="s">
        <v>984</v>
      </c>
      <c r="F8" s="5" t="s">
        <v>987</v>
      </c>
      <c r="G8" s="5" t="s">
        <v>988</v>
      </c>
      <c r="H8" s="5" t="n">
        <v>35.27</v>
      </c>
      <c r="I8" s="5" t="n">
        <v>119.38</v>
      </c>
      <c r="J8" s="5" t="s">
        <v>921</v>
      </c>
      <c r="K8" s="5" t="n">
        <v>2020</v>
      </c>
      <c r="L8" s="5" t="s">
        <v>872</v>
      </c>
      <c r="M8" s="5"/>
      <c r="N8" s="5" t="s">
        <v>2050</v>
      </c>
      <c r="O8" s="5" t="s">
        <v>2073</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3825</v>
      </c>
      <c r="AS8" s="5" t="s">
        <v>2063</v>
      </c>
      <c r="AT8" s="5" t="s">
        <v>2332</v>
      </c>
      <c r="AU8" s="5" t="s">
        <v>2065</v>
      </c>
      <c r="AV8" s="5" t="s">
        <v>2422</v>
      </c>
      <c r="AW8" s="23" t="s">
        <v>3018</v>
      </c>
      <c r="AX8" s="5" t="s">
        <v>998</v>
      </c>
      <c r="AY8" s="5" t="s">
        <v>3826</v>
      </c>
    </row>
    <row r="9" customFormat="false" ht="14.25" hidden="false" customHeight="true" outlineLevel="0" collapsed="false">
      <c r="A9" s="5" t="s">
        <v>1041</v>
      </c>
      <c r="B9" s="5" t="s">
        <v>1041</v>
      </c>
      <c r="C9" s="5" t="s">
        <v>1042</v>
      </c>
      <c r="D9" s="5" t="n">
        <v>2022</v>
      </c>
      <c r="E9" s="5" t="s">
        <v>843</v>
      </c>
      <c r="F9" s="5" t="s">
        <v>1045</v>
      </c>
      <c r="G9" s="5" t="s">
        <v>1046</v>
      </c>
      <c r="H9" s="5" t="n">
        <v>24.724</v>
      </c>
      <c r="I9" s="5" t="n">
        <v>90.437</v>
      </c>
      <c r="J9" s="5" t="s">
        <v>83</v>
      </c>
      <c r="K9" s="5" t="s">
        <v>2111</v>
      </c>
      <c r="L9" s="5" t="s">
        <v>84</v>
      </c>
      <c r="M9" s="5" t="s">
        <v>85</v>
      </c>
      <c r="N9" s="5" t="s">
        <v>86</v>
      </c>
      <c r="O9" s="5" t="s">
        <v>2043</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3825</v>
      </c>
      <c r="AS9" s="5" t="s">
        <v>2112</v>
      </c>
      <c r="AT9" s="5" t="s">
        <v>2113</v>
      </c>
      <c r="AU9" s="5" t="s">
        <v>2114</v>
      </c>
      <c r="AV9" s="5" t="s">
        <v>3038</v>
      </c>
      <c r="AW9" s="23" t="s">
        <v>2116</v>
      </c>
      <c r="AX9" s="5" t="s">
        <v>1060</v>
      </c>
      <c r="AY9" s="5" t="s">
        <v>3827</v>
      </c>
    </row>
    <row r="10" customFormat="false" ht="14.25" hidden="false" customHeight="true" outlineLevel="0" collapsed="false">
      <c r="A10" s="5" t="s">
        <v>1041</v>
      </c>
      <c r="B10" s="5" t="s">
        <v>1041</v>
      </c>
      <c r="C10" s="5" t="s">
        <v>1042</v>
      </c>
      <c r="D10" s="5" t="n">
        <v>2022</v>
      </c>
      <c r="E10" s="5" t="s">
        <v>843</v>
      </c>
      <c r="F10" s="5" t="s">
        <v>1045</v>
      </c>
      <c r="G10" s="5" t="s">
        <v>1046</v>
      </c>
      <c r="H10" s="5" t="n">
        <v>24.724</v>
      </c>
      <c r="I10" s="5" t="n">
        <v>90.437</v>
      </c>
      <c r="J10" s="5" t="s">
        <v>83</v>
      </c>
      <c r="K10" s="5" t="s">
        <v>2111</v>
      </c>
      <c r="L10" s="5" t="s">
        <v>84</v>
      </c>
      <c r="M10" s="5" t="s">
        <v>85</v>
      </c>
      <c r="N10" s="5" t="s">
        <v>86</v>
      </c>
      <c r="O10" s="5" t="s">
        <v>2043</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3825</v>
      </c>
      <c r="AS10" s="5" t="s">
        <v>2112</v>
      </c>
      <c r="AT10" s="5" t="s">
        <v>2113</v>
      </c>
      <c r="AU10" s="5" t="s">
        <v>2114</v>
      </c>
      <c r="AV10" s="5" t="s">
        <v>3038</v>
      </c>
      <c r="AW10" s="23" t="s">
        <v>2118</v>
      </c>
      <c r="AX10" s="5" t="s">
        <v>1060</v>
      </c>
      <c r="AY10" s="5" t="s">
        <v>3827</v>
      </c>
    </row>
    <row r="11" customFormat="false" ht="14.25" hidden="false" customHeight="true" outlineLevel="0" collapsed="false">
      <c r="A11" s="18" t="n">
        <v>172</v>
      </c>
      <c r="B11" s="18" t="n">
        <v>172</v>
      </c>
      <c r="C11" s="18" t="s">
        <v>1100</v>
      </c>
      <c r="D11" s="18" t="n">
        <v>2005</v>
      </c>
      <c r="E11" s="18" t="s">
        <v>1101</v>
      </c>
      <c r="F11" s="18" t="s">
        <v>3054</v>
      </c>
      <c r="G11" s="18" t="s">
        <v>1105</v>
      </c>
      <c r="H11" s="18" t="n">
        <v>33.2</v>
      </c>
      <c r="I11" s="18" t="n">
        <v>130.5</v>
      </c>
      <c r="J11" s="18" t="s">
        <v>921</v>
      </c>
      <c r="K11" s="18" t="n">
        <v>2003</v>
      </c>
      <c r="L11" s="18" t="s">
        <v>853</v>
      </c>
      <c r="M11" s="18" t="s">
        <v>85</v>
      </c>
      <c r="N11" s="18" t="s">
        <v>86</v>
      </c>
      <c r="O11" s="18" t="s">
        <v>3055</v>
      </c>
      <c r="P11" s="18"/>
      <c r="Q11" s="18" t="n">
        <f aca="false">ROUND(1.93*1000,0)</f>
        <v>1930</v>
      </c>
      <c r="R11" s="18"/>
      <c r="S11" s="18"/>
      <c r="T11" s="18"/>
      <c r="U11" s="18"/>
      <c r="V11" s="18" t="n">
        <f aca="false">ROUND(2.34*1000,0)</f>
        <v>2340</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3285</v>
      </c>
      <c r="AS11" s="18" t="s">
        <v>3057</v>
      </c>
      <c r="AT11" s="18" t="s">
        <v>3058</v>
      </c>
      <c r="AU11" s="18" t="s">
        <v>3059</v>
      </c>
      <c r="AV11" s="18" t="s">
        <v>2422</v>
      </c>
      <c r="AW11" s="32" t="s">
        <v>3828</v>
      </c>
      <c r="AX11" s="18" t="s">
        <v>1112</v>
      </c>
      <c r="AY11" s="18" t="s">
        <v>3100</v>
      </c>
    </row>
    <row r="12" customFormat="false" ht="14.25" hidden="false" customHeight="true" outlineLevel="0" collapsed="false">
      <c r="A12" s="18" t="n">
        <v>172</v>
      </c>
      <c r="B12" s="18" t="n">
        <v>172</v>
      </c>
      <c r="C12" s="18" t="s">
        <v>1100</v>
      </c>
      <c r="D12" s="18" t="n">
        <v>2005</v>
      </c>
      <c r="E12" s="18" t="s">
        <v>1101</v>
      </c>
      <c r="F12" s="18" t="s">
        <v>3054</v>
      </c>
      <c r="G12" s="18" t="s">
        <v>1105</v>
      </c>
      <c r="H12" s="18" t="n">
        <v>33.2</v>
      </c>
      <c r="I12" s="18" t="n">
        <v>130.5</v>
      </c>
      <c r="J12" s="18" t="s">
        <v>921</v>
      </c>
      <c r="K12" s="18" t="n">
        <v>2003</v>
      </c>
      <c r="L12" s="18" t="s">
        <v>853</v>
      </c>
      <c r="M12" s="18" t="s">
        <v>85</v>
      </c>
      <c r="N12" s="18" t="s">
        <v>86</v>
      </c>
      <c r="O12" s="18" t="s">
        <v>3055</v>
      </c>
      <c r="P12" s="18"/>
      <c r="Q12" s="18" t="n">
        <f aca="false">ROUND(1.93*1000,0)</f>
        <v>1930</v>
      </c>
      <c r="R12" s="18"/>
      <c r="S12" s="18"/>
      <c r="T12" s="18"/>
      <c r="U12" s="18"/>
      <c r="V12" s="18" t="n">
        <f aca="false">ROUND(2.36*1000,0)</f>
        <v>2360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3285</v>
      </c>
      <c r="AS12" s="18" t="s">
        <v>3057</v>
      </c>
      <c r="AT12" s="18" t="s">
        <v>3058</v>
      </c>
      <c r="AU12" s="18" t="s">
        <v>3059</v>
      </c>
      <c r="AV12" s="18" t="s">
        <v>2422</v>
      </c>
      <c r="AW12" s="32" t="s">
        <v>3829</v>
      </c>
      <c r="AX12" s="18" t="s">
        <v>1112</v>
      </c>
      <c r="AY12" s="18" t="s">
        <v>3100</v>
      </c>
    </row>
    <row r="13" customFormat="false" ht="14.25" hidden="false" customHeight="true" outlineLevel="0" collapsed="false">
      <c r="A13" s="18" t="n">
        <v>172</v>
      </c>
      <c r="B13" s="18" t="n">
        <v>172</v>
      </c>
      <c r="C13" s="18" t="s">
        <v>1100</v>
      </c>
      <c r="D13" s="18" t="n">
        <v>2005</v>
      </c>
      <c r="E13" s="18" t="s">
        <v>1101</v>
      </c>
      <c r="F13" s="18" t="s">
        <v>3054</v>
      </c>
      <c r="G13" s="18" t="s">
        <v>1105</v>
      </c>
      <c r="H13" s="18" t="n">
        <v>33.2</v>
      </c>
      <c r="I13" s="18" t="n">
        <v>130.5</v>
      </c>
      <c r="J13" s="18" t="s">
        <v>921</v>
      </c>
      <c r="K13" s="18" t="n">
        <v>2003</v>
      </c>
      <c r="L13" s="18" t="s">
        <v>853</v>
      </c>
      <c r="M13" s="18" t="s">
        <v>85</v>
      </c>
      <c r="N13" s="18" t="s">
        <v>86</v>
      </c>
      <c r="O13" s="18" t="s">
        <v>3055</v>
      </c>
      <c r="P13" s="18"/>
      <c r="Q13" s="18" t="n">
        <f aca="false">ROUND(1.93*1000,0)</f>
        <v>1930</v>
      </c>
      <c r="R13" s="18"/>
      <c r="S13" s="18"/>
      <c r="T13" s="18"/>
      <c r="U13" s="18"/>
      <c r="V13" s="18" t="n">
        <f aca="false">ROUND(2.76*1000,0)</f>
        <v>2760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3285</v>
      </c>
      <c r="AS13" s="18" t="s">
        <v>3057</v>
      </c>
      <c r="AT13" s="18" t="s">
        <v>3058</v>
      </c>
      <c r="AU13" s="18" t="s">
        <v>3059</v>
      </c>
      <c r="AV13" s="18" t="s">
        <v>2422</v>
      </c>
      <c r="AW13" s="32" t="s">
        <v>3830</v>
      </c>
      <c r="AX13" s="18" t="s">
        <v>1112</v>
      </c>
      <c r="AY13" s="18" t="s">
        <v>3100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3831</v>
      </c>
      <c r="Q1" s="27" t="s">
        <v>3832</v>
      </c>
      <c r="R1" s="27" t="s">
        <v>3833</v>
      </c>
      <c r="S1" s="27" t="s">
        <v>3834</v>
      </c>
      <c r="T1" s="27" t="s">
        <v>3835</v>
      </c>
      <c r="U1" s="27" t="s">
        <v>3836</v>
      </c>
      <c r="V1" s="27" t="s">
        <v>3837</v>
      </c>
      <c r="W1" s="27" t="s">
        <v>3838</v>
      </c>
      <c r="X1" s="30" t="s">
        <v>3839</v>
      </c>
      <c r="Y1" s="30" t="s">
        <v>3840</v>
      </c>
      <c r="Z1" s="30" t="s">
        <v>3841</v>
      </c>
      <c r="AA1" s="30" t="s">
        <v>3842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4" t="s">
        <v>1409</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3843</v>
      </c>
      <c r="Q1" s="27" t="s">
        <v>3844</v>
      </c>
      <c r="R1" s="27" t="s">
        <v>3845</v>
      </c>
      <c r="S1" s="27" t="s">
        <v>3846</v>
      </c>
      <c r="T1" s="27" t="s">
        <v>3847</v>
      </c>
      <c r="U1" s="27" t="s">
        <v>3848</v>
      </c>
      <c r="V1" s="27" t="s">
        <v>3849</v>
      </c>
      <c r="W1" s="27" t="s">
        <v>3850</v>
      </c>
      <c r="X1" s="30" t="s">
        <v>3851</v>
      </c>
      <c r="Y1" s="30" t="s">
        <v>3852</v>
      </c>
      <c r="Z1" s="30" t="s">
        <v>3853</v>
      </c>
      <c r="AA1" s="30" t="s">
        <v>3854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1" t="s">
        <v>1411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3855</v>
      </c>
      <c r="Q1" s="27" t="s">
        <v>3856</v>
      </c>
      <c r="R1" s="27" t="s">
        <v>3857</v>
      </c>
      <c r="S1" s="27" t="s">
        <v>3858</v>
      </c>
      <c r="T1" s="27" t="s">
        <v>3859</v>
      </c>
      <c r="U1" s="27" t="s">
        <v>3860</v>
      </c>
      <c r="V1" s="27" t="s">
        <v>3861</v>
      </c>
      <c r="W1" s="27" t="s">
        <v>3862</v>
      </c>
      <c r="X1" s="30" t="s">
        <v>3863</v>
      </c>
      <c r="Y1" s="30" t="s">
        <v>3864</v>
      </c>
      <c r="Z1" s="30" t="s">
        <v>3865</v>
      </c>
      <c r="AA1" s="30" t="s">
        <v>3866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1" t="s">
        <v>1413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3867</v>
      </c>
      <c r="Q1" s="27" t="s">
        <v>3868</v>
      </c>
      <c r="R1" s="27" t="s">
        <v>3869</v>
      </c>
      <c r="S1" s="27" t="s">
        <v>3870</v>
      </c>
      <c r="T1" s="27" t="s">
        <v>3871</v>
      </c>
      <c r="U1" s="27" t="s">
        <v>3872</v>
      </c>
      <c r="V1" s="27" t="s">
        <v>3873</v>
      </c>
      <c r="W1" s="27" t="s">
        <v>3874</v>
      </c>
      <c r="X1" s="30" t="s">
        <v>3875</v>
      </c>
      <c r="Y1" s="30" t="s">
        <v>3876</v>
      </c>
      <c r="Z1" s="30" t="s">
        <v>3877</v>
      </c>
      <c r="AA1" s="30" t="s">
        <v>3878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172</v>
      </c>
      <c r="B2" s="18" t="n">
        <v>172</v>
      </c>
      <c r="C2" s="18" t="s">
        <v>1100</v>
      </c>
      <c r="D2" s="18" t="n">
        <v>2005</v>
      </c>
      <c r="E2" s="18" t="s">
        <v>1101</v>
      </c>
      <c r="F2" s="18" t="s">
        <v>3054</v>
      </c>
      <c r="G2" s="18" t="s">
        <v>1105</v>
      </c>
      <c r="H2" s="18" t="n">
        <v>33.2</v>
      </c>
      <c r="I2" s="18" t="n">
        <v>130.5</v>
      </c>
      <c r="J2" s="18" t="s">
        <v>921</v>
      </c>
      <c r="K2" s="18" t="n">
        <v>2003</v>
      </c>
      <c r="L2" s="18" t="s">
        <v>853</v>
      </c>
      <c r="M2" s="18" t="s">
        <v>85</v>
      </c>
      <c r="N2" s="18" t="s">
        <v>86</v>
      </c>
      <c r="O2" s="18" t="s">
        <v>3055</v>
      </c>
      <c r="P2" s="18"/>
      <c r="Q2" s="18" t="n">
        <f aca="false">ROUND(10.5*10,1)</f>
        <v>105</v>
      </c>
      <c r="R2" s="18"/>
      <c r="S2" s="18"/>
      <c r="T2" s="18"/>
      <c r="U2" s="18"/>
      <c r="V2" s="18" t="n">
        <f aca="false">ROUND(19.1*10,1)</f>
        <v>191</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3879</v>
      </c>
      <c r="AS2" s="18" t="s">
        <v>3057</v>
      </c>
      <c r="AT2" s="18" t="s">
        <v>3058</v>
      </c>
      <c r="AU2" s="18" t="s">
        <v>3059</v>
      </c>
      <c r="AV2" s="18" t="s">
        <v>2932</v>
      </c>
      <c r="AW2" s="32" t="s">
        <v>3880</v>
      </c>
      <c r="AX2" s="18" t="s">
        <v>1112</v>
      </c>
      <c r="AY2" s="18" t="s">
        <v>3881</v>
      </c>
      <c r="BA2" s="1" t="s">
        <v>1415</v>
      </c>
    </row>
    <row r="3" customFormat="false" ht="14.25" hidden="false" customHeight="true" outlineLevel="0" collapsed="false">
      <c r="A3" s="18" t="n">
        <v>172</v>
      </c>
      <c r="B3" s="18" t="n">
        <v>172</v>
      </c>
      <c r="C3" s="18" t="s">
        <v>1100</v>
      </c>
      <c r="D3" s="18" t="n">
        <v>2005</v>
      </c>
      <c r="E3" s="18" t="s">
        <v>1101</v>
      </c>
      <c r="F3" s="18" t="s">
        <v>3054</v>
      </c>
      <c r="G3" s="18" t="s">
        <v>1105</v>
      </c>
      <c r="H3" s="18" t="n">
        <v>33.2</v>
      </c>
      <c r="I3" s="18" t="n">
        <v>130.5</v>
      </c>
      <c r="J3" s="18" t="s">
        <v>921</v>
      </c>
      <c r="K3" s="18" t="n">
        <v>2003</v>
      </c>
      <c r="L3" s="18" t="s">
        <v>853</v>
      </c>
      <c r="M3" s="18" t="s">
        <v>85</v>
      </c>
      <c r="N3" s="18" t="s">
        <v>86</v>
      </c>
      <c r="O3" s="18" t="s">
        <v>3055</v>
      </c>
      <c r="P3" s="18"/>
      <c r="Q3" s="18" t="n">
        <f aca="false">ROUND(10.5*10,1)</f>
        <v>105</v>
      </c>
      <c r="R3" s="18"/>
      <c r="S3" s="18"/>
      <c r="T3" s="18"/>
      <c r="U3" s="18"/>
      <c r="V3" s="18" t="n">
        <f aca="false">ROUND(16*10,1)</f>
        <v>160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3879</v>
      </c>
      <c r="AS3" s="18" t="s">
        <v>3057</v>
      </c>
      <c r="AT3" s="18" t="s">
        <v>3058</v>
      </c>
      <c r="AU3" s="18" t="s">
        <v>3059</v>
      </c>
      <c r="AV3" s="18" t="s">
        <v>2932</v>
      </c>
      <c r="AW3" s="32" t="s">
        <v>3882</v>
      </c>
      <c r="AX3" s="18" t="s">
        <v>1112</v>
      </c>
      <c r="AY3" s="18" t="s">
        <v>3881</v>
      </c>
    </row>
    <row r="4" customFormat="false" ht="14.25" hidden="false" customHeight="true" outlineLevel="0" collapsed="false">
      <c r="A4" s="18" t="n">
        <v>172</v>
      </c>
      <c r="B4" s="18" t="n">
        <v>172</v>
      </c>
      <c r="C4" s="18" t="s">
        <v>1100</v>
      </c>
      <c r="D4" s="18" t="n">
        <v>2005</v>
      </c>
      <c r="E4" s="18" t="s">
        <v>1101</v>
      </c>
      <c r="F4" s="18" t="s">
        <v>3054</v>
      </c>
      <c r="G4" s="18" t="s">
        <v>1105</v>
      </c>
      <c r="H4" s="18" t="n">
        <v>33.2</v>
      </c>
      <c r="I4" s="18" t="n">
        <v>130.5</v>
      </c>
      <c r="J4" s="18" t="s">
        <v>921</v>
      </c>
      <c r="K4" s="18" t="n">
        <v>2003</v>
      </c>
      <c r="L4" s="18" t="s">
        <v>853</v>
      </c>
      <c r="M4" s="18" t="s">
        <v>85</v>
      </c>
      <c r="N4" s="18" t="s">
        <v>86</v>
      </c>
      <c r="O4" s="18" t="s">
        <v>3055</v>
      </c>
      <c r="P4" s="18"/>
      <c r="Q4" s="18" t="n">
        <f aca="false">ROUND(10.5*10,1)</f>
        <v>105</v>
      </c>
      <c r="R4" s="18"/>
      <c r="S4" s="18"/>
      <c r="T4" s="18"/>
      <c r="U4" s="18"/>
      <c r="V4" s="18" t="n">
        <f aca="false">ROUND(11.7*10,1)</f>
        <v>117</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3879</v>
      </c>
      <c r="AS4" s="18" t="s">
        <v>3057</v>
      </c>
      <c r="AT4" s="18" t="s">
        <v>3058</v>
      </c>
      <c r="AU4" s="18" t="s">
        <v>3059</v>
      </c>
      <c r="AV4" s="18" t="s">
        <v>2932</v>
      </c>
      <c r="AW4" s="32" t="s">
        <v>3883</v>
      </c>
      <c r="AX4" s="18" t="s">
        <v>1112</v>
      </c>
      <c r="AY4" s="18" t="s">
        <v>3881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3884</v>
      </c>
      <c r="Q1" s="27" t="s">
        <v>3885</v>
      </c>
      <c r="R1" s="27" t="s">
        <v>3886</v>
      </c>
      <c r="S1" s="27" t="s">
        <v>3887</v>
      </c>
      <c r="T1" s="27" t="s">
        <v>3888</v>
      </c>
      <c r="U1" s="27" t="s">
        <v>3889</v>
      </c>
      <c r="V1" s="27" t="s">
        <v>3890</v>
      </c>
      <c r="W1" s="27" t="s">
        <v>3891</v>
      </c>
      <c r="X1" s="30" t="s">
        <v>3892</v>
      </c>
      <c r="Y1" s="30" t="s">
        <v>3893</v>
      </c>
      <c r="Z1" s="30" t="s">
        <v>3894</v>
      </c>
      <c r="AA1" s="30" t="s">
        <v>3895</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1" t="s">
        <v>1417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3896</v>
      </c>
      <c r="Q1" s="27" t="s">
        <v>3897</v>
      </c>
      <c r="R1" s="27" t="s">
        <v>3898</v>
      </c>
      <c r="S1" s="27" t="s">
        <v>3899</v>
      </c>
      <c r="T1" s="27" t="s">
        <v>3900</v>
      </c>
      <c r="U1" s="27" t="s">
        <v>3901</v>
      </c>
      <c r="V1" s="27" t="s">
        <v>3902</v>
      </c>
      <c r="W1" s="27" t="s">
        <v>3903</v>
      </c>
      <c r="X1" s="30" t="s">
        <v>3904</v>
      </c>
      <c r="Y1" s="30" t="s">
        <v>3905</v>
      </c>
      <c r="Z1" s="30" t="s">
        <v>3906</v>
      </c>
      <c r="AA1" s="30" t="s">
        <v>3907</v>
      </c>
      <c r="AB1" s="27" t="s">
        <v>3908</v>
      </c>
      <c r="AC1" s="27" t="s">
        <v>3909</v>
      </c>
      <c r="AD1" s="27" t="s">
        <v>3910</v>
      </c>
      <c r="AE1" s="27" t="s">
        <v>3911</v>
      </c>
      <c r="AF1" s="27" t="s">
        <v>3912</v>
      </c>
      <c r="AG1" s="27" t="s">
        <v>3913</v>
      </c>
      <c r="AH1" s="27" t="s">
        <v>3914</v>
      </c>
      <c r="AI1" s="27" t="s">
        <v>3915</v>
      </c>
      <c r="AJ1" s="30" t="s">
        <v>3916</v>
      </c>
      <c r="AK1" s="30" t="s">
        <v>3917</v>
      </c>
      <c r="AL1" s="30" t="s">
        <v>3918</v>
      </c>
      <c r="AM1" s="30" t="s">
        <v>3919</v>
      </c>
      <c r="AN1" s="27" t="s">
        <v>3920</v>
      </c>
      <c r="AO1" s="27" t="s">
        <v>3921</v>
      </c>
      <c r="AP1" s="27" t="s">
        <v>3922</v>
      </c>
      <c r="AQ1" s="27" t="s">
        <v>3923</v>
      </c>
      <c r="AR1" s="27" t="s">
        <v>3924</v>
      </c>
      <c r="AS1" s="27" t="s">
        <v>3925</v>
      </c>
      <c r="AT1" s="27" t="s">
        <v>3926</v>
      </c>
      <c r="AU1" s="27" t="s">
        <v>3927</v>
      </c>
      <c r="AV1" s="30" t="s">
        <v>3928</v>
      </c>
      <c r="AW1" s="30" t="s">
        <v>3929</v>
      </c>
      <c r="AX1" s="30" t="s">
        <v>3930</v>
      </c>
      <c r="AY1" s="30" t="s">
        <v>3931</v>
      </c>
      <c r="AZ1" s="27" t="s">
        <v>3932</v>
      </c>
      <c r="BA1" s="27" t="s">
        <v>3933</v>
      </c>
      <c r="BB1" s="27" t="s">
        <v>3934</v>
      </c>
      <c r="BC1" s="27" t="s">
        <v>3935</v>
      </c>
      <c r="BD1" s="27" t="s">
        <v>3936</v>
      </c>
      <c r="BE1" s="27" t="s">
        <v>3937</v>
      </c>
      <c r="BF1" s="27" t="s">
        <v>3938</v>
      </c>
      <c r="BG1" s="27" t="s">
        <v>3939</v>
      </c>
      <c r="BH1" s="30" t="s">
        <v>3940</v>
      </c>
      <c r="BI1" s="30" t="s">
        <v>3941</v>
      </c>
      <c r="BJ1" s="30" t="s">
        <v>3942</v>
      </c>
      <c r="BK1" s="30" t="s">
        <v>3943</v>
      </c>
      <c r="BL1" s="28" t="s">
        <v>35</v>
      </c>
      <c r="BM1" s="28" t="s">
        <v>33</v>
      </c>
      <c r="BN1" s="28" t="s">
        <v>37</v>
      </c>
      <c r="BO1" s="21" t="s">
        <v>73</v>
      </c>
      <c r="BP1" s="21" t="s">
        <v>826</v>
      </c>
      <c r="BQ1" s="21" t="s">
        <v>827</v>
      </c>
      <c r="BR1" s="21" t="s">
        <v>74</v>
      </c>
      <c r="BS1" s="21" t="s">
        <v>2036</v>
      </c>
      <c r="BT1" s="21" t="s">
        <v>2037</v>
      </c>
      <c r="BU1" s="21" t="s">
        <v>828</v>
      </c>
      <c r="BV1" s="21" t="s">
        <v>829</v>
      </c>
      <c r="BW1" s="21" t="s">
        <v>75</v>
      </c>
      <c r="BX1" s="21" t="s">
        <v>824</v>
      </c>
      <c r="BY1" s="21" t="s">
        <v>825</v>
      </c>
      <c r="BZ1" s="21" t="s">
        <v>822</v>
      </c>
      <c r="CA1" s="21" t="s">
        <v>823</v>
      </c>
      <c r="CB1" s="22" t="s">
        <v>76</v>
      </c>
      <c r="CC1" s="22" t="s">
        <v>77</v>
      </c>
      <c r="CD1" s="22" t="s">
        <v>2038</v>
      </c>
      <c r="CE1" s="22" t="s">
        <v>2039</v>
      </c>
      <c r="CF1" s="22" t="s">
        <v>78</v>
      </c>
      <c r="CG1" s="22" t="s">
        <v>841</v>
      </c>
      <c r="CH1" s="22" t="s">
        <v>2040</v>
      </c>
      <c r="CI1" s="22" t="s">
        <v>2041</v>
      </c>
      <c r="CK1" s="31" t="s">
        <v>2042</v>
      </c>
    </row>
    <row r="2" customFormat="false" ht="15" hidden="false" customHeight="true" outlineLevel="0" collapsed="false">
      <c r="A2" s="18" t="n">
        <v>172</v>
      </c>
      <c r="B2" s="18" t="n">
        <v>172</v>
      </c>
      <c r="C2" s="18" t="s">
        <v>1100</v>
      </c>
      <c r="D2" s="18" t="n">
        <v>2005</v>
      </c>
      <c r="E2" s="18" t="s">
        <v>1101</v>
      </c>
      <c r="F2" s="18" t="s">
        <v>3054</v>
      </c>
      <c r="G2" s="18" t="s">
        <v>1105</v>
      </c>
      <c r="H2" s="18" t="n">
        <v>33.2</v>
      </c>
      <c r="I2" s="18" t="n">
        <v>130.5</v>
      </c>
      <c r="J2" s="18" t="s">
        <v>921</v>
      </c>
      <c r="K2" s="18" t="n">
        <v>2003</v>
      </c>
      <c r="L2" s="18" t="s">
        <v>853</v>
      </c>
      <c r="M2" s="18" t="s">
        <v>85</v>
      </c>
      <c r="N2" s="18" t="s">
        <v>86</v>
      </c>
      <c r="O2" s="18" t="s">
        <v>3055</v>
      </c>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t="n">
        <f aca="false">ROUND(46.9*1*15*0.1,1)</f>
        <v>70.4</v>
      </c>
      <c r="BB2" s="18"/>
      <c r="BC2" s="18"/>
      <c r="BD2" s="18"/>
      <c r="BE2" s="18"/>
      <c r="BF2" s="18" t="n">
        <f aca="false">ROUND(66.2*1*15*0.1,1)</f>
        <v>99.3</v>
      </c>
      <c r="BG2" s="18"/>
      <c r="BH2" s="18"/>
      <c r="BI2" s="18"/>
      <c r="BJ2" s="18"/>
      <c r="BK2" s="18"/>
      <c r="BL2" s="18" t="n">
        <v>3</v>
      </c>
      <c r="BM2" s="18" t="n">
        <v>3</v>
      </c>
      <c r="BN2" s="18" t="n">
        <f aca="false">IF(AND(N(BL2)&gt;0,N(BM2)&gt;0),SQRT(2*BL2/BM2),"")</f>
        <v>1.4142135623731</v>
      </c>
      <c r="BO2" s="18" t="n">
        <v>29</v>
      </c>
      <c r="BP2" s="18"/>
      <c r="BQ2" s="18"/>
      <c r="BR2" s="18"/>
      <c r="BS2" s="18" t="n">
        <v>33.2</v>
      </c>
      <c r="BT2" s="18" t="n">
        <v>40</v>
      </c>
      <c r="BU2" s="18"/>
      <c r="BV2" s="18"/>
      <c r="BW2" s="18"/>
      <c r="BX2" s="18"/>
      <c r="BY2" s="18"/>
      <c r="BZ2" s="18" t="n">
        <v>16</v>
      </c>
      <c r="CA2" s="18" t="n">
        <v>56</v>
      </c>
      <c r="CB2" s="18" t="s">
        <v>3944</v>
      </c>
      <c r="CC2" s="18" t="s">
        <v>3057</v>
      </c>
      <c r="CD2" s="18" t="s">
        <v>3058</v>
      </c>
      <c r="CE2" s="18" t="s">
        <v>3059</v>
      </c>
      <c r="CF2" s="18" t="s">
        <v>3945</v>
      </c>
      <c r="CG2" s="32" t="s">
        <v>3946</v>
      </c>
      <c r="CH2" s="18" t="s">
        <v>1112</v>
      </c>
      <c r="CI2" s="18" t="s">
        <v>3947</v>
      </c>
      <c r="CK2" s="33" t="s">
        <v>1419</v>
      </c>
    </row>
    <row r="3" customFormat="false" ht="15" hidden="false" customHeight="true" outlineLevel="0" collapsed="false">
      <c r="A3" s="18" t="n">
        <v>172</v>
      </c>
      <c r="B3" s="18" t="n">
        <v>172</v>
      </c>
      <c r="C3" s="18" t="s">
        <v>1100</v>
      </c>
      <c r="D3" s="18" t="n">
        <v>2005</v>
      </c>
      <c r="E3" s="18" t="s">
        <v>1101</v>
      </c>
      <c r="F3" s="18" t="s">
        <v>3054</v>
      </c>
      <c r="G3" s="18" t="s">
        <v>1105</v>
      </c>
      <c r="H3" s="18" t="n">
        <v>33.2</v>
      </c>
      <c r="I3" s="18" t="n">
        <v>130.5</v>
      </c>
      <c r="J3" s="18" t="s">
        <v>921</v>
      </c>
      <c r="K3" s="18" t="n">
        <v>2003</v>
      </c>
      <c r="L3" s="18" t="s">
        <v>853</v>
      </c>
      <c r="M3" s="18" t="s">
        <v>85</v>
      </c>
      <c r="N3" s="18" t="s">
        <v>86</v>
      </c>
      <c r="O3" s="18" t="s">
        <v>3055</v>
      </c>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t="n">
        <f aca="false">ROUND(46.9*1*15*0.1,1)</f>
        <v>70.4</v>
      </c>
      <c r="BB3" s="18"/>
      <c r="BC3" s="18"/>
      <c r="BD3" s="18"/>
      <c r="BE3" s="18"/>
      <c r="BF3" s="18" t="n">
        <f aca="false">ROUND(64.1*1*15*0.1,1)</f>
        <v>96.2</v>
      </c>
      <c r="BG3" s="18"/>
      <c r="BH3" s="18"/>
      <c r="BI3" s="18"/>
      <c r="BJ3" s="18"/>
      <c r="BK3" s="18"/>
      <c r="BL3" s="18" t="n">
        <v>3</v>
      </c>
      <c r="BM3" s="18" t="n">
        <v>3</v>
      </c>
      <c r="BN3" s="18" t="n">
        <f aca="false">IF(AND(N(BL3)&gt;0,N(BM3)&gt;0),SQRT(2*BL3/BM3),"")</f>
        <v>1.4142135623731</v>
      </c>
      <c r="BO3" s="18" t="n">
        <v>29</v>
      </c>
      <c r="BP3" s="18"/>
      <c r="BQ3" s="18"/>
      <c r="BR3" s="18"/>
      <c r="BS3" s="18" t="n">
        <v>33.2</v>
      </c>
      <c r="BT3" s="18" t="n">
        <v>40</v>
      </c>
      <c r="BU3" s="18"/>
      <c r="BV3" s="18"/>
      <c r="BW3" s="18"/>
      <c r="BX3" s="18"/>
      <c r="BY3" s="18"/>
      <c r="BZ3" s="18" t="n">
        <v>16</v>
      </c>
      <c r="CA3" s="18" t="n">
        <v>56</v>
      </c>
      <c r="CB3" s="18" t="s">
        <v>3944</v>
      </c>
      <c r="CC3" s="18" t="s">
        <v>3057</v>
      </c>
      <c r="CD3" s="18" t="s">
        <v>3058</v>
      </c>
      <c r="CE3" s="18" t="s">
        <v>3059</v>
      </c>
      <c r="CF3" s="18" t="s">
        <v>3945</v>
      </c>
      <c r="CG3" s="32" t="s">
        <v>3948</v>
      </c>
      <c r="CH3" s="18" t="s">
        <v>1112</v>
      </c>
      <c r="CI3" s="18" t="s">
        <v>3947</v>
      </c>
    </row>
    <row r="4" customFormat="false" ht="15" hidden="false" customHeight="true" outlineLevel="0" collapsed="false">
      <c r="A4" s="18" t="n">
        <v>172</v>
      </c>
      <c r="B4" s="18" t="n">
        <v>172</v>
      </c>
      <c r="C4" s="18" t="s">
        <v>1100</v>
      </c>
      <c r="D4" s="18" t="n">
        <v>2005</v>
      </c>
      <c r="E4" s="18" t="s">
        <v>1101</v>
      </c>
      <c r="F4" s="18" t="s">
        <v>3054</v>
      </c>
      <c r="G4" s="18" t="s">
        <v>1105</v>
      </c>
      <c r="H4" s="18" t="n">
        <v>33.2</v>
      </c>
      <c r="I4" s="18" t="n">
        <v>130.5</v>
      </c>
      <c r="J4" s="18" t="s">
        <v>921</v>
      </c>
      <c r="K4" s="18" t="n">
        <v>2003</v>
      </c>
      <c r="L4" s="18" t="s">
        <v>853</v>
      </c>
      <c r="M4" s="18" t="s">
        <v>85</v>
      </c>
      <c r="N4" s="18" t="s">
        <v>86</v>
      </c>
      <c r="O4" s="18" t="s">
        <v>3055</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t="n">
        <f aca="false">ROUND(46.9*1*15*0.1,1)</f>
        <v>70.4</v>
      </c>
      <c r="BB4" s="18"/>
      <c r="BC4" s="18"/>
      <c r="BD4" s="18"/>
      <c r="BE4" s="18"/>
      <c r="BF4" s="18" t="n">
        <f aca="false">ROUND(66.6*1*15*0.1,1)</f>
        <v>99.9</v>
      </c>
      <c r="BG4" s="18"/>
      <c r="BH4" s="18"/>
      <c r="BI4" s="18"/>
      <c r="BJ4" s="18"/>
      <c r="BK4" s="18"/>
      <c r="BL4" s="18" t="n">
        <v>3</v>
      </c>
      <c r="BM4" s="18" t="n">
        <v>3</v>
      </c>
      <c r="BN4" s="18" t="n">
        <f aca="false">IF(AND(N(BL4)&gt;0,N(BM4)&gt;0),SQRT(2*BL4/BM4),"")</f>
        <v>1.4142135623731</v>
      </c>
      <c r="BO4" s="18" t="n">
        <v>29</v>
      </c>
      <c r="BP4" s="18"/>
      <c r="BQ4" s="18"/>
      <c r="BR4" s="18"/>
      <c r="BS4" s="18" t="n">
        <v>33.2</v>
      </c>
      <c r="BT4" s="18" t="n">
        <v>40</v>
      </c>
      <c r="BU4" s="18"/>
      <c r="BV4" s="18"/>
      <c r="BW4" s="18"/>
      <c r="BX4" s="18"/>
      <c r="BY4" s="18"/>
      <c r="BZ4" s="18" t="n">
        <v>16</v>
      </c>
      <c r="CA4" s="18" t="n">
        <v>56</v>
      </c>
      <c r="CB4" s="18" t="s">
        <v>3944</v>
      </c>
      <c r="CC4" s="18" t="s">
        <v>3057</v>
      </c>
      <c r="CD4" s="18" t="s">
        <v>3058</v>
      </c>
      <c r="CE4" s="18" t="s">
        <v>3059</v>
      </c>
      <c r="CF4" s="18" t="s">
        <v>3945</v>
      </c>
      <c r="CG4" s="32" t="s">
        <v>3949</v>
      </c>
      <c r="CH4" s="18" t="s">
        <v>1112</v>
      </c>
      <c r="CI4" s="18" t="s">
        <v>3947</v>
      </c>
    </row>
    <row r="5" customFormat="false" ht="15" hidden="false" customHeight="true" outlineLevel="0" collapsed="false">
      <c r="A5" s="18" t="n">
        <v>172</v>
      </c>
      <c r="B5" s="18" t="n">
        <v>172</v>
      </c>
      <c r="C5" s="18" t="s">
        <v>1100</v>
      </c>
      <c r="D5" s="18" t="n">
        <v>2005</v>
      </c>
      <c r="E5" s="18" t="s">
        <v>1101</v>
      </c>
      <c r="F5" s="18" t="s">
        <v>3054</v>
      </c>
      <c r="G5" s="18" t="s">
        <v>1105</v>
      </c>
      <c r="H5" s="18" t="n">
        <v>33.2</v>
      </c>
      <c r="I5" s="18" t="n">
        <v>130.5</v>
      </c>
      <c r="J5" s="18" t="s">
        <v>921</v>
      </c>
      <c r="K5" s="18" t="n">
        <v>2003</v>
      </c>
      <c r="L5" s="18" t="s">
        <v>853</v>
      </c>
      <c r="M5" s="18" t="s">
        <v>85</v>
      </c>
      <c r="N5" s="18" t="s">
        <v>86</v>
      </c>
      <c r="O5" s="18" t="s">
        <v>3055</v>
      </c>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t="n">
        <f aca="false">ROUND(53*1*15*0.1,1)</f>
        <v>79.5</v>
      </c>
      <c r="BB5" s="18"/>
      <c r="BC5" s="18"/>
      <c r="BD5" s="18"/>
      <c r="BE5" s="18"/>
      <c r="BF5" s="18" t="n">
        <f aca="false">ROUND(101*1*15*0.1,1)</f>
        <v>151.5</v>
      </c>
      <c r="BG5" s="18"/>
      <c r="BH5" s="18"/>
      <c r="BI5" s="18"/>
      <c r="BJ5" s="18"/>
      <c r="BK5" s="18"/>
      <c r="BL5" s="18" t="n">
        <v>3</v>
      </c>
      <c r="BM5" s="18" t="n">
        <v>3</v>
      </c>
      <c r="BN5" s="18" t="n">
        <f aca="false">IF(AND(N(BL5)&gt;0,N(BM5)&gt;0),SQRT(2*BL5/BM5),"")</f>
        <v>1.4142135623731</v>
      </c>
      <c r="BO5" s="18" t="n">
        <v>29</v>
      </c>
      <c r="BP5" s="18"/>
      <c r="BQ5" s="18"/>
      <c r="BR5" s="18"/>
      <c r="BS5" s="18" t="n">
        <v>33.2</v>
      </c>
      <c r="BT5" s="18" t="n">
        <v>40</v>
      </c>
      <c r="BU5" s="18"/>
      <c r="BV5" s="18"/>
      <c r="BW5" s="18"/>
      <c r="BX5" s="18"/>
      <c r="BY5" s="18"/>
      <c r="BZ5" s="18" t="n">
        <v>16</v>
      </c>
      <c r="CA5" s="18" t="n">
        <v>56</v>
      </c>
      <c r="CB5" s="18" t="s">
        <v>3950</v>
      </c>
      <c r="CC5" s="18" t="s">
        <v>3057</v>
      </c>
      <c r="CD5" s="18" t="s">
        <v>3058</v>
      </c>
      <c r="CE5" s="18" t="s">
        <v>3059</v>
      </c>
      <c r="CF5" s="18" t="s">
        <v>3945</v>
      </c>
      <c r="CG5" s="32" t="s">
        <v>3951</v>
      </c>
      <c r="CH5" s="18" t="s">
        <v>1112</v>
      </c>
      <c r="CI5" s="18" t="s">
        <v>3952</v>
      </c>
    </row>
    <row r="6" customFormat="false" ht="15" hidden="false" customHeight="true" outlineLevel="0" collapsed="false">
      <c r="A6" s="18" t="n">
        <v>172</v>
      </c>
      <c r="B6" s="18" t="n">
        <v>172</v>
      </c>
      <c r="C6" s="18" t="s">
        <v>1100</v>
      </c>
      <c r="D6" s="18" t="n">
        <v>2005</v>
      </c>
      <c r="E6" s="18" t="s">
        <v>1101</v>
      </c>
      <c r="F6" s="18" t="s">
        <v>3054</v>
      </c>
      <c r="G6" s="18" t="s">
        <v>1105</v>
      </c>
      <c r="H6" s="18" t="n">
        <v>33.2</v>
      </c>
      <c r="I6" s="18" t="n">
        <v>130.5</v>
      </c>
      <c r="J6" s="18" t="s">
        <v>921</v>
      </c>
      <c r="K6" s="18" t="n">
        <v>2003</v>
      </c>
      <c r="L6" s="18" t="s">
        <v>853</v>
      </c>
      <c r="M6" s="18" t="s">
        <v>85</v>
      </c>
      <c r="N6" s="18" t="s">
        <v>86</v>
      </c>
      <c r="O6" s="18" t="s">
        <v>3055</v>
      </c>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t="n">
        <f aca="false">ROUND(53*1*15*0.1,1)</f>
        <v>79.5</v>
      </c>
      <c r="BB6" s="18"/>
      <c r="BC6" s="18"/>
      <c r="BD6" s="18"/>
      <c r="BE6" s="18"/>
      <c r="BF6" s="18" t="n">
        <f aca="false">ROUND(80*1*15*0.1,1)</f>
        <v>120</v>
      </c>
      <c r="BG6" s="18"/>
      <c r="BH6" s="18"/>
      <c r="BI6" s="18"/>
      <c r="BJ6" s="18"/>
      <c r="BK6" s="18"/>
      <c r="BL6" s="18" t="n">
        <v>3</v>
      </c>
      <c r="BM6" s="18" t="n">
        <v>3</v>
      </c>
      <c r="BN6" s="18" t="n">
        <f aca="false">IF(AND(N(BL6)&gt;0,N(BM6)&gt;0),SQRT(2*BL6/BM6),"")</f>
        <v>1.4142135623731</v>
      </c>
      <c r="BO6" s="18" t="n">
        <v>29</v>
      </c>
      <c r="BP6" s="18"/>
      <c r="BQ6" s="18"/>
      <c r="BR6" s="18"/>
      <c r="BS6" s="18" t="n">
        <v>33.2</v>
      </c>
      <c r="BT6" s="18" t="n">
        <v>40</v>
      </c>
      <c r="BU6" s="18"/>
      <c r="BV6" s="18"/>
      <c r="BW6" s="18"/>
      <c r="BX6" s="18"/>
      <c r="BY6" s="18"/>
      <c r="BZ6" s="18" t="n">
        <v>16</v>
      </c>
      <c r="CA6" s="18" t="n">
        <v>56</v>
      </c>
      <c r="CB6" s="18" t="s">
        <v>3950</v>
      </c>
      <c r="CC6" s="18" t="s">
        <v>3057</v>
      </c>
      <c r="CD6" s="18" t="s">
        <v>3058</v>
      </c>
      <c r="CE6" s="18" t="s">
        <v>3059</v>
      </c>
      <c r="CF6" s="18" t="s">
        <v>3945</v>
      </c>
      <c r="CG6" s="32" t="s">
        <v>3953</v>
      </c>
      <c r="CH6" s="18" t="s">
        <v>1112</v>
      </c>
      <c r="CI6" s="18" t="s">
        <v>3952</v>
      </c>
    </row>
    <row r="7" customFormat="false" ht="15" hidden="false" customHeight="true" outlineLevel="0" collapsed="false">
      <c r="A7" s="18" t="n">
        <v>172</v>
      </c>
      <c r="B7" s="18" t="n">
        <v>172</v>
      </c>
      <c r="C7" s="18" t="s">
        <v>1100</v>
      </c>
      <c r="D7" s="18" t="n">
        <v>2005</v>
      </c>
      <c r="E7" s="18" t="s">
        <v>1101</v>
      </c>
      <c r="F7" s="18" t="s">
        <v>3054</v>
      </c>
      <c r="G7" s="18" t="s">
        <v>1105</v>
      </c>
      <c r="H7" s="18" t="n">
        <v>33.2</v>
      </c>
      <c r="I7" s="18" t="n">
        <v>130.5</v>
      </c>
      <c r="J7" s="18" t="s">
        <v>921</v>
      </c>
      <c r="K7" s="18" t="n">
        <v>2003</v>
      </c>
      <c r="L7" s="18" t="s">
        <v>853</v>
      </c>
      <c r="M7" s="18" t="s">
        <v>85</v>
      </c>
      <c r="N7" s="18" t="s">
        <v>86</v>
      </c>
      <c r="O7" s="18" t="s">
        <v>3055</v>
      </c>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t="n">
        <f aca="false">ROUND(53*1*15*0.1,1)</f>
        <v>79.5</v>
      </c>
      <c r="BB7" s="18"/>
      <c r="BC7" s="18"/>
      <c r="BD7" s="18"/>
      <c r="BE7" s="18"/>
      <c r="BF7" s="18" t="n">
        <f aca="false">ROUND(121*1*15*0.1,1)</f>
        <v>181.5</v>
      </c>
      <c r="BG7" s="18"/>
      <c r="BH7" s="18"/>
      <c r="BI7" s="18"/>
      <c r="BJ7" s="18"/>
      <c r="BK7" s="18"/>
      <c r="BL7" s="18" t="n">
        <v>3</v>
      </c>
      <c r="BM7" s="18" t="n">
        <v>3</v>
      </c>
      <c r="BN7" s="18" t="n">
        <f aca="false">IF(AND(N(BL7)&gt;0,N(BM7)&gt;0),SQRT(2*BL7/BM7),"")</f>
        <v>1.4142135623731</v>
      </c>
      <c r="BO7" s="18" t="n">
        <v>29</v>
      </c>
      <c r="BP7" s="18"/>
      <c r="BQ7" s="18"/>
      <c r="BR7" s="18"/>
      <c r="BS7" s="18" t="n">
        <v>33.2</v>
      </c>
      <c r="BT7" s="18" t="n">
        <v>40</v>
      </c>
      <c r="BU7" s="18"/>
      <c r="BV7" s="18"/>
      <c r="BW7" s="18"/>
      <c r="BX7" s="18"/>
      <c r="BY7" s="18"/>
      <c r="BZ7" s="18" t="n">
        <v>16</v>
      </c>
      <c r="CA7" s="18" t="n">
        <v>56</v>
      </c>
      <c r="CB7" s="18" t="s">
        <v>3950</v>
      </c>
      <c r="CC7" s="18" t="s">
        <v>3057</v>
      </c>
      <c r="CD7" s="18" t="s">
        <v>3058</v>
      </c>
      <c r="CE7" s="18" t="s">
        <v>3059</v>
      </c>
      <c r="CF7" s="18" t="s">
        <v>3945</v>
      </c>
      <c r="CG7" s="32" t="s">
        <v>3954</v>
      </c>
      <c r="CH7" s="18" t="s">
        <v>1112</v>
      </c>
      <c r="CI7" s="18" t="s">
        <v>3952</v>
      </c>
    </row>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3955</v>
      </c>
      <c r="Q1" s="27" t="s">
        <v>3956</v>
      </c>
      <c r="R1" s="27" t="s">
        <v>3957</v>
      </c>
      <c r="S1" s="27" t="s">
        <v>3958</v>
      </c>
      <c r="T1" s="27" t="s">
        <v>3959</v>
      </c>
      <c r="U1" s="27" t="s">
        <v>3960</v>
      </c>
      <c r="V1" s="27" t="s">
        <v>3961</v>
      </c>
      <c r="W1" s="27" t="s">
        <v>3962</v>
      </c>
      <c r="X1" s="30" t="s">
        <v>3963</v>
      </c>
      <c r="Y1" s="30" t="s">
        <v>3964</v>
      </c>
      <c r="Z1" s="30" t="s">
        <v>3965</v>
      </c>
      <c r="AA1" s="30" t="s">
        <v>3966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24" t="s">
        <v>1214</v>
      </c>
      <c r="B2" s="24" t="s">
        <v>1214</v>
      </c>
      <c r="C2" s="24" t="s">
        <v>1215</v>
      </c>
      <c r="D2" s="24" t="n">
        <v>2015</v>
      </c>
      <c r="E2" s="24" t="s">
        <v>1216</v>
      </c>
      <c r="F2" s="24" t="s">
        <v>1195</v>
      </c>
      <c r="G2" s="24" t="s">
        <v>1196</v>
      </c>
      <c r="H2" s="24" t="n">
        <v>41.55</v>
      </c>
      <c r="I2" s="24" t="n">
        <v>60.63</v>
      </c>
      <c r="J2" s="24" t="s">
        <v>921</v>
      </c>
      <c r="K2" s="24" t="s">
        <v>3967</v>
      </c>
      <c r="L2" s="24" t="s">
        <v>872</v>
      </c>
      <c r="M2" s="24" t="s">
        <v>85</v>
      </c>
      <c r="N2" s="24" t="s">
        <v>3602</v>
      </c>
      <c r="O2" s="24" t="s">
        <v>3968</v>
      </c>
      <c r="P2" s="24" t="n">
        <v>90</v>
      </c>
      <c r="Q2" s="24"/>
      <c r="R2" s="24" t="n">
        <v>73</v>
      </c>
      <c r="S2" s="24"/>
      <c r="T2" s="24"/>
      <c r="U2" s="24"/>
      <c r="V2" s="24"/>
      <c r="W2" s="24"/>
      <c r="X2" s="24"/>
      <c r="Y2" s="24"/>
      <c r="Z2" s="24"/>
      <c r="AA2" s="24"/>
      <c r="AB2" s="24" t="n">
        <v>43</v>
      </c>
      <c r="AC2" s="24" t="n">
        <v>4</v>
      </c>
      <c r="AD2" s="24" t="n">
        <f aca="false">IF(AND(N(AB2)&gt;0,N(AC2)&gt;0),SQRT(2*AB2/AC2),"")</f>
        <v>4.63680924774785</v>
      </c>
      <c r="AE2" s="24" t="n">
        <v>19</v>
      </c>
      <c r="AF2" s="24" t="n">
        <v>-7</v>
      </c>
      <c r="AG2" s="24" t="n">
        <v>40</v>
      </c>
      <c r="AH2" s="24" t="n">
        <v>100</v>
      </c>
      <c r="AI2" s="24" t="n">
        <v>41.55</v>
      </c>
      <c r="AJ2" s="24" t="n">
        <v>39</v>
      </c>
      <c r="AK2" s="24" t="n">
        <v>13.4</v>
      </c>
      <c r="AL2" s="24"/>
      <c r="AM2" s="24"/>
      <c r="AN2" s="24" t="n">
        <v>3.6</v>
      </c>
      <c r="AO2" s="24" t="n">
        <v>1.35</v>
      </c>
      <c r="AP2" s="24" t="n">
        <v>23</v>
      </c>
      <c r="AQ2" s="24" t="n">
        <v>58</v>
      </c>
      <c r="AR2" s="24" t="s">
        <v>3969</v>
      </c>
      <c r="AS2" s="24" t="s">
        <v>3590</v>
      </c>
      <c r="AT2" s="24" t="s">
        <v>3970</v>
      </c>
      <c r="AU2" s="24" t="s">
        <v>3592</v>
      </c>
      <c r="AV2" s="24" t="s">
        <v>3971</v>
      </c>
      <c r="AW2" s="25" t="s">
        <v>3972</v>
      </c>
      <c r="AX2" s="24" t="s">
        <v>1211</v>
      </c>
      <c r="AY2" s="24" t="s">
        <v>3973</v>
      </c>
      <c r="BA2" s="33" t="s">
        <v>1422</v>
      </c>
    </row>
    <row r="3" customFormat="false" ht="14.25" hidden="false" customHeight="false" outlineLevel="0" collapsed="false">
      <c r="A3" s="24" t="s">
        <v>1214</v>
      </c>
      <c r="B3" s="24" t="s">
        <v>1214</v>
      </c>
      <c r="C3" s="24" t="s">
        <v>1215</v>
      </c>
      <c r="D3" s="24" t="n">
        <v>2015</v>
      </c>
      <c r="E3" s="24" t="s">
        <v>1216</v>
      </c>
      <c r="F3" s="24" t="s">
        <v>1195</v>
      </c>
      <c r="G3" s="24" t="s">
        <v>1196</v>
      </c>
      <c r="H3" s="24" t="n">
        <v>41.55</v>
      </c>
      <c r="I3" s="24" t="n">
        <v>60.63</v>
      </c>
      <c r="J3" s="24" t="s">
        <v>921</v>
      </c>
      <c r="K3" s="24" t="s">
        <v>3967</v>
      </c>
      <c r="L3" s="24" t="s">
        <v>872</v>
      </c>
      <c r="M3" s="24" t="s">
        <v>85</v>
      </c>
      <c r="N3" s="24" t="s">
        <v>3602</v>
      </c>
      <c r="O3" s="24" t="s">
        <v>3968</v>
      </c>
      <c r="P3" s="24" t="n">
        <v>35</v>
      </c>
      <c r="Q3" s="24"/>
      <c r="R3" s="24" t="n">
        <v>22</v>
      </c>
      <c r="S3" s="24"/>
      <c r="T3" s="24"/>
      <c r="U3" s="24"/>
      <c r="V3" s="24"/>
      <c r="W3" s="24"/>
      <c r="X3" s="24"/>
      <c r="Y3" s="24"/>
      <c r="Z3" s="24"/>
      <c r="AA3" s="24"/>
      <c r="AB3" s="24" t="n">
        <v>43</v>
      </c>
      <c r="AC3" s="24" t="n">
        <v>4</v>
      </c>
      <c r="AD3" s="24" t="n">
        <f aca="false">IF(AND(N(AB3)&gt;0,N(AC3)&gt;0),SQRT(2*AB3/AC3),"")</f>
        <v>4.63680924774785</v>
      </c>
      <c r="AE3" s="24" t="n">
        <v>19</v>
      </c>
      <c r="AF3" s="24" t="n">
        <v>-7</v>
      </c>
      <c r="AG3" s="24" t="n">
        <v>40</v>
      </c>
      <c r="AH3" s="24" t="n">
        <v>100</v>
      </c>
      <c r="AI3" s="24" t="n">
        <v>41.55</v>
      </c>
      <c r="AJ3" s="24" t="n">
        <v>39</v>
      </c>
      <c r="AK3" s="24" t="n">
        <v>13.4</v>
      </c>
      <c r="AL3" s="24"/>
      <c r="AM3" s="24"/>
      <c r="AN3" s="24" t="n">
        <v>3.6</v>
      </c>
      <c r="AO3" s="24" t="n">
        <v>1.35</v>
      </c>
      <c r="AP3" s="24" t="n">
        <v>23</v>
      </c>
      <c r="AQ3" s="24" t="n">
        <v>58</v>
      </c>
      <c r="AR3" s="24" t="s">
        <v>3969</v>
      </c>
      <c r="AS3" s="24" t="s">
        <v>3590</v>
      </c>
      <c r="AT3" s="24" t="s">
        <v>3974</v>
      </c>
      <c r="AU3" s="24" t="s">
        <v>3592</v>
      </c>
      <c r="AV3" s="24" t="s">
        <v>3971</v>
      </c>
      <c r="AW3" s="25" t="s">
        <v>3975</v>
      </c>
      <c r="AX3" s="24" t="s">
        <v>1211</v>
      </c>
      <c r="AY3" s="24" t="s">
        <v>3973</v>
      </c>
    </row>
    <row r="4" customFormat="false" ht="14.25" hidden="false" customHeight="false" outlineLevel="0" collapsed="false">
      <c r="A4" s="24" t="s">
        <v>1214</v>
      </c>
      <c r="B4" s="24" t="s">
        <v>1214</v>
      </c>
      <c r="C4" s="24" t="s">
        <v>1215</v>
      </c>
      <c r="D4" s="24" t="n">
        <v>2015</v>
      </c>
      <c r="E4" s="24" t="s">
        <v>1216</v>
      </c>
      <c r="F4" s="24" t="s">
        <v>1195</v>
      </c>
      <c r="G4" s="24" t="s">
        <v>1196</v>
      </c>
      <c r="H4" s="24" t="n">
        <v>41.55</v>
      </c>
      <c r="I4" s="24" t="n">
        <v>60.63</v>
      </c>
      <c r="J4" s="24" t="s">
        <v>921</v>
      </c>
      <c r="K4" s="24" t="s">
        <v>3967</v>
      </c>
      <c r="L4" s="24" t="s">
        <v>872</v>
      </c>
      <c r="M4" s="24" t="s">
        <v>85</v>
      </c>
      <c r="N4" s="24" t="s">
        <v>3602</v>
      </c>
      <c r="O4" s="24" t="s">
        <v>3968</v>
      </c>
      <c r="P4" s="24" t="n">
        <v>98</v>
      </c>
      <c r="Q4" s="24"/>
      <c r="R4" s="24" t="n">
        <v>73</v>
      </c>
      <c r="S4" s="24"/>
      <c r="T4" s="24"/>
      <c r="U4" s="24"/>
      <c r="V4" s="24"/>
      <c r="W4" s="24"/>
      <c r="X4" s="24"/>
      <c r="Y4" s="24"/>
      <c r="Z4" s="24"/>
      <c r="AA4" s="24"/>
      <c r="AB4" s="24" t="n">
        <v>43</v>
      </c>
      <c r="AC4" s="24" t="n">
        <v>4</v>
      </c>
      <c r="AD4" s="24" t="n">
        <f aca="false">IF(AND(N(AB4)&gt;0,N(AC4)&gt;0),SQRT(2*AB4/AC4),"")</f>
        <v>4.63680924774785</v>
      </c>
      <c r="AE4" s="24" t="n">
        <v>19</v>
      </c>
      <c r="AF4" s="24" t="n">
        <v>-7</v>
      </c>
      <c r="AG4" s="24" t="n">
        <v>40</v>
      </c>
      <c r="AH4" s="24" t="n">
        <v>100</v>
      </c>
      <c r="AI4" s="24" t="n">
        <v>41.55</v>
      </c>
      <c r="AJ4" s="24" t="n">
        <v>39</v>
      </c>
      <c r="AK4" s="24" t="n">
        <v>13.4</v>
      </c>
      <c r="AL4" s="24"/>
      <c r="AM4" s="24"/>
      <c r="AN4" s="24" t="n">
        <v>3.6</v>
      </c>
      <c r="AO4" s="24" t="n">
        <v>1.35</v>
      </c>
      <c r="AP4" s="24" t="n">
        <v>23</v>
      </c>
      <c r="AQ4" s="24" t="n">
        <v>58</v>
      </c>
      <c r="AR4" s="24" t="s">
        <v>3969</v>
      </c>
      <c r="AS4" s="24" t="s">
        <v>3590</v>
      </c>
      <c r="AT4" s="24" t="s">
        <v>3970</v>
      </c>
      <c r="AU4" s="24" t="s">
        <v>3592</v>
      </c>
      <c r="AV4" s="24" t="s">
        <v>3971</v>
      </c>
      <c r="AW4" s="25" t="s">
        <v>3976</v>
      </c>
      <c r="AX4" s="24" t="s">
        <v>1211</v>
      </c>
      <c r="AY4" s="24" t="s">
        <v>3973</v>
      </c>
    </row>
    <row r="5" customFormat="false" ht="14.25" hidden="false" customHeight="false" outlineLevel="0" collapsed="false">
      <c r="A5" s="24" t="s">
        <v>1214</v>
      </c>
      <c r="B5" s="24" t="s">
        <v>1214</v>
      </c>
      <c r="C5" s="24" t="s">
        <v>1215</v>
      </c>
      <c r="D5" s="24" t="n">
        <v>2015</v>
      </c>
      <c r="E5" s="24" t="s">
        <v>1216</v>
      </c>
      <c r="F5" s="24" t="s">
        <v>1195</v>
      </c>
      <c r="G5" s="24" t="s">
        <v>1196</v>
      </c>
      <c r="H5" s="24" t="n">
        <v>41.55</v>
      </c>
      <c r="I5" s="24" t="n">
        <v>60.63</v>
      </c>
      <c r="J5" s="24" t="s">
        <v>921</v>
      </c>
      <c r="K5" s="24" t="s">
        <v>3967</v>
      </c>
      <c r="L5" s="24" t="s">
        <v>872</v>
      </c>
      <c r="M5" s="24" t="s">
        <v>85</v>
      </c>
      <c r="N5" s="24" t="s">
        <v>3602</v>
      </c>
      <c r="O5" s="24" t="s">
        <v>3968</v>
      </c>
      <c r="P5" s="24" t="n">
        <v>42</v>
      </c>
      <c r="Q5" s="24"/>
      <c r="R5" s="24" t="n">
        <v>22</v>
      </c>
      <c r="S5" s="24"/>
      <c r="T5" s="24"/>
      <c r="U5" s="24"/>
      <c r="V5" s="24"/>
      <c r="W5" s="24"/>
      <c r="X5" s="24"/>
      <c r="Y5" s="24"/>
      <c r="Z5" s="24"/>
      <c r="AA5" s="24"/>
      <c r="AB5" s="24" t="n">
        <v>43</v>
      </c>
      <c r="AC5" s="24" t="n">
        <v>4</v>
      </c>
      <c r="AD5" s="24" t="n">
        <f aca="false">IF(AND(N(AB5)&gt;0,N(AC5)&gt;0),SQRT(2*AB5/AC5),"")</f>
        <v>4.63680924774785</v>
      </c>
      <c r="AE5" s="24" t="n">
        <v>19</v>
      </c>
      <c r="AF5" s="24" t="n">
        <v>-7</v>
      </c>
      <c r="AG5" s="24" t="n">
        <v>40</v>
      </c>
      <c r="AH5" s="24" t="n">
        <v>100</v>
      </c>
      <c r="AI5" s="24" t="n">
        <v>41.55</v>
      </c>
      <c r="AJ5" s="24" t="n">
        <v>39</v>
      </c>
      <c r="AK5" s="24" t="n">
        <v>13.4</v>
      </c>
      <c r="AL5" s="24"/>
      <c r="AM5" s="24"/>
      <c r="AN5" s="24" t="n">
        <v>3.6</v>
      </c>
      <c r="AO5" s="24" t="n">
        <v>1.35</v>
      </c>
      <c r="AP5" s="24" t="n">
        <v>23</v>
      </c>
      <c r="AQ5" s="24" t="n">
        <v>58</v>
      </c>
      <c r="AR5" s="24" t="s">
        <v>3969</v>
      </c>
      <c r="AS5" s="24" t="s">
        <v>3590</v>
      </c>
      <c r="AT5" s="24" t="s">
        <v>3974</v>
      </c>
      <c r="AU5" s="24" t="s">
        <v>3592</v>
      </c>
      <c r="AV5" s="24" t="s">
        <v>3971</v>
      </c>
      <c r="AW5" s="25" t="s">
        <v>3977</v>
      </c>
      <c r="AX5" s="24" t="s">
        <v>1211</v>
      </c>
      <c r="AY5" s="24" t="s">
        <v>3973</v>
      </c>
    </row>
    <row r="6" customFormat="false" ht="14.25" hidden="false" customHeight="false" outlineLevel="0" collapsed="false">
      <c r="A6" s="24" t="s">
        <v>1214</v>
      </c>
      <c r="B6" s="24" t="s">
        <v>1214</v>
      </c>
      <c r="C6" s="24" t="s">
        <v>1215</v>
      </c>
      <c r="D6" s="24" t="n">
        <v>2015</v>
      </c>
      <c r="E6" s="24" t="s">
        <v>1216</v>
      </c>
      <c r="F6" s="24" t="s">
        <v>1195</v>
      </c>
      <c r="G6" s="24" t="s">
        <v>1196</v>
      </c>
      <c r="H6" s="24" t="n">
        <v>41.55</v>
      </c>
      <c r="I6" s="24" t="n">
        <v>60.63</v>
      </c>
      <c r="J6" s="24" t="s">
        <v>921</v>
      </c>
      <c r="K6" s="24" t="s">
        <v>3967</v>
      </c>
      <c r="L6" s="24" t="s">
        <v>872</v>
      </c>
      <c r="M6" s="24" t="s">
        <v>85</v>
      </c>
      <c r="N6" s="24" t="s">
        <v>3602</v>
      </c>
      <c r="O6" s="24" t="s">
        <v>3968</v>
      </c>
      <c r="P6" s="24" t="n">
        <v>93</v>
      </c>
      <c r="Q6" s="24"/>
      <c r="R6" s="24" t="n">
        <v>75</v>
      </c>
      <c r="S6" s="24"/>
      <c r="T6" s="24"/>
      <c r="U6" s="24"/>
      <c r="V6" s="24"/>
      <c r="W6" s="24"/>
      <c r="X6" s="24"/>
      <c r="Y6" s="24"/>
      <c r="Z6" s="24"/>
      <c r="AA6" s="24"/>
      <c r="AB6" s="24" t="n">
        <v>43</v>
      </c>
      <c r="AC6" s="24" t="n">
        <v>4</v>
      </c>
      <c r="AD6" s="24" t="n">
        <f aca="false">IF(AND(N(AB6)&gt;0,N(AC6)&gt;0),SQRT(2*AB6/AC6),"")</f>
        <v>4.63680924774785</v>
      </c>
      <c r="AE6" s="24" t="n">
        <v>19</v>
      </c>
      <c r="AF6" s="24" t="n">
        <v>-7</v>
      </c>
      <c r="AG6" s="24" t="n">
        <v>40</v>
      </c>
      <c r="AH6" s="24" t="n">
        <v>100</v>
      </c>
      <c r="AI6" s="24" t="n">
        <v>41.55</v>
      </c>
      <c r="AJ6" s="24" t="n">
        <v>39</v>
      </c>
      <c r="AK6" s="24" t="n">
        <v>13.4</v>
      </c>
      <c r="AL6" s="24"/>
      <c r="AM6" s="24"/>
      <c r="AN6" s="24" t="n">
        <v>3.6</v>
      </c>
      <c r="AO6" s="24" t="n">
        <v>1.35</v>
      </c>
      <c r="AP6" s="24" t="n">
        <v>23</v>
      </c>
      <c r="AQ6" s="24" t="n">
        <v>58</v>
      </c>
      <c r="AR6" s="24" t="s">
        <v>3969</v>
      </c>
      <c r="AS6" s="24" t="s">
        <v>3590</v>
      </c>
      <c r="AT6" s="24" t="s">
        <v>3970</v>
      </c>
      <c r="AU6" s="24" t="s">
        <v>3592</v>
      </c>
      <c r="AV6" s="24" t="s">
        <v>3971</v>
      </c>
      <c r="AW6" s="25" t="s">
        <v>3978</v>
      </c>
      <c r="AX6" s="24" t="s">
        <v>1211</v>
      </c>
      <c r="AY6" s="24" t="s">
        <v>3973</v>
      </c>
    </row>
    <row r="7" customFormat="false" ht="14.25" hidden="false" customHeight="false" outlineLevel="0" collapsed="false">
      <c r="A7" s="24" t="s">
        <v>1214</v>
      </c>
      <c r="B7" s="24" t="s">
        <v>1214</v>
      </c>
      <c r="C7" s="24" t="s">
        <v>1215</v>
      </c>
      <c r="D7" s="24" t="n">
        <v>2015</v>
      </c>
      <c r="E7" s="24" t="s">
        <v>1216</v>
      </c>
      <c r="F7" s="24" t="s">
        <v>1195</v>
      </c>
      <c r="G7" s="24" t="s">
        <v>1196</v>
      </c>
      <c r="H7" s="24" t="n">
        <v>41.55</v>
      </c>
      <c r="I7" s="24" t="n">
        <v>60.63</v>
      </c>
      <c r="J7" s="24" t="s">
        <v>921</v>
      </c>
      <c r="K7" s="24" t="s">
        <v>3967</v>
      </c>
      <c r="L7" s="24" t="s">
        <v>872</v>
      </c>
      <c r="M7" s="24" t="s">
        <v>85</v>
      </c>
      <c r="N7" s="24" t="s">
        <v>3602</v>
      </c>
      <c r="O7" s="24" t="s">
        <v>3968</v>
      </c>
      <c r="P7" s="24" t="n">
        <v>33</v>
      </c>
      <c r="Q7" s="24"/>
      <c r="R7" s="24" t="n">
        <v>21</v>
      </c>
      <c r="S7" s="24"/>
      <c r="T7" s="24"/>
      <c r="U7" s="24"/>
      <c r="V7" s="24"/>
      <c r="W7" s="24"/>
      <c r="X7" s="24"/>
      <c r="Y7" s="24"/>
      <c r="Z7" s="24"/>
      <c r="AA7" s="24"/>
      <c r="AB7" s="24" t="n">
        <v>43</v>
      </c>
      <c r="AC7" s="24" t="n">
        <v>4</v>
      </c>
      <c r="AD7" s="24" t="n">
        <f aca="false">IF(AND(N(AB7)&gt;0,N(AC7)&gt;0),SQRT(2*AB7/AC7),"")</f>
        <v>4.63680924774785</v>
      </c>
      <c r="AE7" s="24" t="n">
        <v>19</v>
      </c>
      <c r="AF7" s="24" t="n">
        <v>-7</v>
      </c>
      <c r="AG7" s="24" t="n">
        <v>40</v>
      </c>
      <c r="AH7" s="24" t="n">
        <v>100</v>
      </c>
      <c r="AI7" s="24" t="n">
        <v>41.55</v>
      </c>
      <c r="AJ7" s="24" t="n">
        <v>39</v>
      </c>
      <c r="AK7" s="24" t="n">
        <v>13.4</v>
      </c>
      <c r="AL7" s="24"/>
      <c r="AM7" s="24"/>
      <c r="AN7" s="24" t="n">
        <v>3.6</v>
      </c>
      <c r="AO7" s="24" t="n">
        <v>1.35</v>
      </c>
      <c r="AP7" s="24" t="n">
        <v>23</v>
      </c>
      <c r="AQ7" s="24" t="n">
        <v>58</v>
      </c>
      <c r="AR7" s="24" t="s">
        <v>3969</v>
      </c>
      <c r="AS7" s="24" t="s">
        <v>3590</v>
      </c>
      <c r="AT7" s="24" t="s">
        <v>3974</v>
      </c>
      <c r="AU7" s="24" t="s">
        <v>3592</v>
      </c>
      <c r="AV7" s="24" t="s">
        <v>3971</v>
      </c>
      <c r="AW7" s="25" t="s">
        <v>3979</v>
      </c>
      <c r="AX7" s="24" t="s">
        <v>1211</v>
      </c>
      <c r="AY7" s="24" t="s">
        <v>3973</v>
      </c>
    </row>
    <row r="8" customFormat="false" ht="14.25" hidden="false" customHeight="false" outlineLevel="0" collapsed="false">
      <c r="A8" s="24" t="s">
        <v>1214</v>
      </c>
      <c r="B8" s="24" t="s">
        <v>1214</v>
      </c>
      <c r="C8" s="24" t="s">
        <v>1215</v>
      </c>
      <c r="D8" s="24" t="n">
        <v>2015</v>
      </c>
      <c r="E8" s="24" t="s">
        <v>1216</v>
      </c>
      <c r="F8" s="24" t="s">
        <v>1195</v>
      </c>
      <c r="G8" s="24" t="s">
        <v>1196</v>
      </c>
      <c r="H8" s="24" t="n">
        <v>41.55</v>
      </c>
      <c r="I8" s="24" t="n">
        <v>60.63</v>
      </c>
      <c r="J8" s="24" t="s">
        <v>921</v>
      </c>
      <c r="K8" s="24" t="s">
        <v>3967</v>
      </c>
      <c r="L8" s="24" t="s">
        <v>872</v>
      </c>
      <c r="M8" s="24" t="s">
        <v>85</v>
      </c>
      <c r="N8" s="24" t="s">
        <v>3602</v>
      </c>
      <c r="O8" s="24" t="s">
        <v>3968</v>
      </c>
      <c r="P8" s="24" t="n">
        <v>104</v>
      </c>
      <c r="Q8" s="24"/>
      <c r="R8" s="24" t="n">
        <v>75</v>
      </c>
      <c r="S8" s="24"/>
      <c r="T8" s="24"/>
      <c r="U8" s="24"/>
      <c r="V8" s="24"/>
      <c r="W8" s="24"/>
      <c r="X8" s="24"/>
      <c r="Y8" s="24"/>
      <c r="Z8" s="24"/>
      <c r="AA8" s="24"/>
      <c r="AB8" s="24" t="n">
        <v>43</v>
      </c>
      <c r="AC8" s="24" t="n">
        <v>4</v>
      </c>
      <c r="AD8" s="24" t="n">
        <f aca="false">IF(AND(N(AB8)&gt;0,N(AC8)&gt;0),SQRT(2*AB8/AC8),"")</f>
        <v>4.63680924774785</v>
      </c>
      <c r="AE8" s="24" t="n">
        <v>19</v>
      </c>
      <c r="AF8" s="24" t="n">
        <v>-7</v>
      </c>
      <c r="AG8" s="24" t="n">
        <v>40</v>
      </c>
      <c r="AH8" s="24" t="n">
        <v>100</v>
      </c>
      <c r="AI8" s="24" t="n">
        <v>41.55</v>
      </c>
      <c r="AJ8" s="24" t="n">
        <v>39</v>
      </c>
      <c r="AK8" s="24" t="n">
        <v>13.4</v>
      </c>
      <c r="AL8" s="24"/>
      <c r="AM8" s="24"/>
      <c r="AN8" s="24" t="n">
        <v>3.6</v>
      </c>
      <c r="AO8" s="24" t="n">
        <v>1.35</v>
      </c>
      <c r="AP8" s="24" t="n">
        <v>23</v>
      </c>
      <c r="AQ8" s="24" t="n">
        <v>58</v>
      </c>
      <c r="AR8" s="24" t="s">
        <v>3969</v>
      </c>
      <c r="AS8" s="24" t="s">
        <v>3590</v>
      </c>
      <c r="AT8" s="24" t="s">
        <v>3970</v>
      </c>
      <c r="AU8" s="24" t="s">
        <v>3592</v>
      </c>
      <c r="AV8" s="24" t="s">
        <v>3971</v>
      </c>
      <c r="AW8" s="25" t="s">
        <v>3980</v>
      </c>
      <c r="AX8" s="24" t="s">
        <v>1211</v>
      </c>
      <c r="AY8" s="24" t="s">
        <v>3973</v>
      </c>
    </row>
    <row r="9" customFormat="false" ht="14.25" hidden="false" customHeight="false" outlineLevel="0" collapsed="false">
      <c r="A9" s="24" t="s">
        <v>1214</v>
      </c>
      <c r="B9" s="24" t="s">
        <v>1214</v>
      </c>
      <c r="C9" s="24" t="s">
        <v>1215</v>
      </c>
      <c r="D9" s="24" t="n">
        <v>2015</v>
      </c>
      <c r="E9" s="24" t="s">
        <v>1216</v>
      </c>
      <c r="F9" s="24" t="s">
        <v>1195</v>
      </c>
      <c r="G9" s="24" t="s">
        <v>1196</v>
      </c>
      <c r="H9" s="24" t="n">
        <v>41.55</v>
      </c>
      <c r="I9" s="24" t="n">
        <v>60.63</v>
      </c>
      <c r="J9" s="24" t="s">
        <v>921</v>
      </c>
      <c r="K9" s="24" t="s">
        <v>3967</v>
      </c>
      <c r="L9" s="24" t="s">
        <v>872</v>
      </c>
      <c r="M9" s="24" t="s">
        <v>85</v>
      </c>
      <c r="N9" s="24" t="s">
        <v>3602</v>
      </c>
      <c r="O9" s="24" t="s">
        <v>3968</v>
      </c>
      <c r="P9" s="24" t="n">
        <v>40</v>
      </c>
      <c r="Q9" s="24"/>
      <c r="R9" s="24" t="n">
        <v>21</v>
      </c>
      <c r="S9" s="24"/>
      <c r="T9" s="24"/>
      <c r="U9" s="24"/>
      <c r="V9" s="24"/>
      <c r="W9" s="24"/>
      <c r="X9" s="24"/>
      <c r="Y9" s="24"/>
      <c r="Z9" s="24"/>
      <c r="AA9" s="24"/>
      <c r="AB9" s="24" t="n">
        <v>43</v>
      </c>
      <c r="AC9" s="24" t="n">
        <v>4</v>
      </c>
      <c r="AD9" s="24" t="n">
        <f aca="false">IF(AND(N(AB9)&gt;0,N(AC9)&gt;0),SQRT(2*AB9/AC9),"")</f>
        <v>4.63680924774785</v>
      </c>
      <c r="AE9" s="24" t="n">
        <v>19</v>
      </c>
      <c r="AF9" s="24" t="n">
        <v>-7</v>
      </c>
      <c r="AG9" s="24" t="n">
        <v>40</v>
      </c>
      <c r="AH9" s="24" t="n">
        <v>100</v>
      </c>
      <c r="AI9" s="24" t="n">
        <v>41.55</v>
      </c>
      <c r="AJ9" s="24" t="n">
        <v>39</v>
      </c>
      <c r="AK9" s="24" t="n">
        <v>13.4</v>
      </c>
      <c r="AL9" s="24"/>
      <c r="AM9" s="24"/>
      <c r="AN9" s="24" t="n">
        <v>3.6</v>
      </c>
      <c r="AO9" s="24" t="n">
        <v>1.35</v>
      </c>
      <c r="AP9" s="24" t="n">
        <v>23</v>
      </c>
      <c r="AQ9" s="24" t="n">
        <v>58</v>
      </c>
      <c r="AR9" s="24" t="s">
        <v>3969</v>
      </c>
      <c r="AS9" s="24" t="s">
        <v>3590</v>
      </c>
      <c r="AT9" s="24" t="s">
        <v>3974</v>
      </c>
      <c r="AU9" s="24" t="s">
        <v>3592</v>
      </c>
      <c r="AV9" s="24" t="s">
        <v>3971</v>
      </c>
      <c r="AW9" s="25" t="s">
        <v>3981</v>
      </c>
      <c r="AX9" s="24" t="s">
        <v>1211</v>
      </c>
      <c r="AY9" s="24" t="s">
        <v>3973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3982</v>
      </c>
      <c r="Q1" s="27" t="s">
        <v>3983</v>
      </c>
      <c r="R1" s="27" t="s">
        <v>3984</v>
      </c>
      <c r="S1" s="27" t="s">
        <v>3985</v>
      </c>
      <c r="T1" s="27" t="s">
        <v>3986</v>
      </c>
      <c r="U1" s="27" t="s">
        <v>3987</v>
      </c>
      <c r="V1" s="27" t="s">
        <v>3988</v>
      </c>
      <c r="W1" s="27" t="s">
        <v>3989</v>
      </c>
      <c r="X1" s="30" t="s">
        <v>3990</v>
      </c>
      <c r="Y1" s="30" t="s">
        <v>3991</v>
      </c>
      <c r="Z1" s="30" t="s">
        <v>3992</v>
      </c>
      <c r="AA1" s="30" t="s">
        <v>3993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1425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3994</v>
      </c>
      <c r="Q1" s="27" t="s">
        <v>3995</v>
      </c>
      <c r="R1" s="27" t="s">
        <v>3996</v>
      </c>
      <c r="S1" s="27" t="s">
        <v>3997</v>
      </c>
      <c r="T1" s="27" t="s">
        <v>3998</v>
      </c>
      <c r="U1" s="27" t="s">
        <v>3999</v>
      </c>
      <c r="V1" s="27" t="s">
        <v>4000</v>
      </c>
      <c r="W1" s="27" t="s">
        <v>4001</v>
      </c>
      <c r="X1" s="30" t="s">
        <v>4002</v>
      </c>
      <c r="Y1" s="30" t="s">
        <v>4003</v>
      </c>
      <c r="Z1" s="30" t="s">
        <v>4004</v>
      </c>
      <c r="AA1" s="30" t="s">
        <v>4005</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1427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4006</v>
      </c>
      <c r="Q1" s="27" t="s">
        <v>4007</v>
      </c>
      <c r="R1" s="27" t="s">
        <v>4008</v>
      </c>
      <c r="S1" s="27" t="s">
        <v>4009</v>
      </c>
      <c r="T1" s="27" t="s">
        <v>4010</v>
      </c>
      <c r="U1" s="27" t="s">
        <v>4011</v>
      </c>
      <c r="V1" s="27" t="s">
        <v>4012</v>
      </c>
      <c r="W1" s="27" t="s">
        <v>4013</v>
      </c>
      <c r="X1" s="30" t="s">
        <v>4014</v>
      </c>
      <c r="Y1" s="30" t="s">
        <v>4015</v>
      </c>
      <c r="Z1" s="30" t="s">
        <v>4016</v>
      </c>
      <c r="AA1" s="30" t="s">
        <v>4017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965</v>
      </c>
      <c r="B2" s="18" t="s">
        <v>965</v>
      </c>
      <c r="C2" s="18" t="s">
        <v>966</v>
      </c>
      <c r="D2" s="18" t="n">
        <v>2020</v>
      </c>
      <c r="E2" s="18" t="s">
        <v>967</v>
      </c>
      <c r="F2" s="18" t="s">
        <v>866</v>
      </c>
      <c r="G2" s="18" t="s">
        <v>970</v>
      </c>
      <c r="H2" s="18" t="n">
        <v>28.4</v>
      </c>
      <c r="I2" s="18" t="n">
        <v>77.1</v>
      </c>
      <c r="J2" s="18" t="s">
        <v>83</v>
      </c>
      <c r="K2" s="18" t="s">
        <v>2075</v>
      </c>
      <c r="L2" s="18" t="s">
        <v>853</v>
      </c>
      <c r="M2" s="18" t="s">
        <v>85</v>
      </c>
      <c r="N2" s="18" t="s">
        <v>86</v>
      </c>
      <c r="O2" s="18" t="s">
        <v>2043</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4018</v>
      </c>
      <c r="AS2" s="18" t="s">
        <v>2076</v>
      </c>
      <c r="AT2" s="18" t="s">
        <v>2077</v>
      </c>
      <c r="AU2" s="18" t="s">
        <v>2078</v>
      </c>
      <c r="AV2" s="18" t="s">
        <v>2115</v>
      </c>
      <c r="AW2" s="32" t="s">
        <v>4019</v>
      </c>
      <c r="AX2" s="18" t="s">
        <v>979</v>
      </c>
      <c r="AY2" s="18" t="s">
        <v>4020</v>
      </c>
      <c r="BA2" s="33" t="s">
        <v>1427</v>
      </c>
    </row>
    <row r="3" customFormat="false" ht="14.25" hidden="false" customHeight="true" outlineLevel="0" collapsed="false">
      <c r="A3" s="18" t="s">
        <v>965</v>
      </c>
      <c r="B3" s="18" t="s">
        <v>965</v>
      </c>
      <c r="C3" s="18" t="s">
        <v>966</v>
      </c>
      <c r="D3" s="18" t="n">
        <v>2020</v>
      </c>
      <c r="E3" s="18" t="s">
        <v>967</v>
      </c>
      <c r="F3" s="18" t="s">
        <v>866</v>
      </c>
      <c r="G3" s="18" t="s">
        <v>970</v>
      </c>
      <c r="H3" s="18" t="n">
        <v>28.4</v>
      </c>
      <c r="I3" s="18" t="n">
        <v>77.1</v>
      </c>
      <c r="J3" s="18" t="s">
        <v>83</v>
      </c>
      <c r="K3" s="18" t="s">
        <v>2075</v>
      </c>
      <c r="L3" s="18" t="s">
        <v>853</v>
      </c>
      <c r="M3" s="18" t="s">
        <v>85</v>
      </c>
      <c r="N3" s="18" t="s">
        <v>86</v>
      </c>
      <c r="O3" s="18" t="s">
        <v>2043</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4018</v>
      </c>
      <c r="AS3" s="18" t="s">
        <v>2082</v>
      </c>
      <c r="AT3" s="18" t="s">
        <v>2077</v>
      </c>
      <c r="AU3" s="18" t="s">
        <v>2078</v>
      </c>
      <c r="AV3" s="18" t="s">
        <v>2115</v>
      </c>
      <c r="AW3" s="32" t="s">
        <v>4021</v>
      </c>
      <c r="AX3" s="18" t="s">
        <v>979</v>
      </c>
      <c r="AY3" s="18" t="s">
        <v>4020</v>
      </c>
    </row>
    <row r="4" customFormat="false" ht="14.2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4018</v>
      </c>
      <c r="AS4" s="18" t="s">
        <v>2084</v>
      </c>
      <c r="AT4" s="18" t="s">
        <v>2077</v>
      </c>
      <c r="AU4" s="18" t="s">
        <v>2078</v>
      </c>
      <c r="AV4" s="18" t="s">
        <v>2115</v>
      </c>
      <c r="AW4" s="32" t="s">
        <v>4022</v>
      </c>
      <c r="AX4" s="18" t="s">
        <v>979</v>
      </c>
      <c r="AY4" s="18" t="s">
        <v>4020</v>
      </c>
    </row>
    <row r="5" customFormat="false" ht="14.2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4018</v>
      </c>
      <c r="AS5" s="18" t="s">
        <v>2086</v>
      </c>
      <c r="AT5" s="18" t="s">
        <v>2077</v>
      </c>
      <c r="AU5" s="18" t="s">
        <v>2078</v>
      </c>
      <c r="AV5" s="18" t="s">
        <v>2115</v>
      </c>
      <c r="AW5" s="32" t="s">
        <v>4023</v>
      </c>
      <c r="AX5" s="18" t="s">
        <v>979</v>
      </c>
      <c r="AY5" s="18" t="s">
        <v>4020</v>
      </c>
    </row>
    <row r="6" customFormat="false" ht="14.2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4018</v>
      </c>
      <c r="AS6" s="18" t="s">
        <v>2088</v>
      </c>
      <c r="AT6" s="18" t="s">
        <v>2077</v>
      </c>
      <c r="AU6" s="18" t="s">
        <v>2078</v>
      </c>
      <c r="AV6" s="18" t="s">
        <v>2115</v>
      </c>
      <c r="AW6" s="32" t="s">
        <v>4024</v>
      </c>
      <c r="AX6" s="18" t="s">
        <v>979</v>
      </c>
      <c r="AY6" s="18" t="s">
        <v>4020</v>
      </c>
    </row>
    <row r="7" customFormat="false" ht="14.2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4018</v>
      </c>
      <c r="AS7" s="18" t="s">
        <v>2090</v>
      </c>
      <c r="AT7" s="18" t="s">
        <v>2077</v>
      </c>
      <c r="AU7" s="18" t="s">
        <v>2078</v>
      </c>
      <c r="AV7" s="18" t="s">
        <v>2115</v>
      </c>
      <c r="AW7" s="32" t="s">
        <v>4025</v>
      </c>
      <c r="AX7" s="18" t="s">
        <v>979</v>
      </c>
      <c r="AY7" s="18" t="s">
        <v>4020</v>
      </c>
    </row>
    <row r="8" customFormat="false" ht="14.2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4018</v>
      </c>
      <c r="AS8" s="18" t="s">
        <v>2092</v>
      </c>
      <c r="AT8" s="18" t="s">
        <v>2077</v>
      </c>
      <c r="AU8" s="18" t="s">
        <v>2078</v>
      </c>
      <c r="AV8" s="18" t="s">
        <v>2115</v>
      </c>
      <c r="AW8" s="32" t="s">
        <v>4026</v>
      </c>
      <c r="AX8" s="18" t="s">
        <v>979</v>
      </c>
      <c r="AY8" s="18" t="s">
        <v>4020</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4018</v>
      </c>
      <c r="AS9" s="18" t="s">
        <v>2094</v>
      </c>
      <c r="AT9" s="18" t="s">
        <v>2077</v>
      </c>
      <c r="AU9" s="18" t="s">
        <v>2078</v>
      </c>
      <c r="AV9" s="18" t="s">
        <v>2115</v>
      </c>
      <c r="AW9" s="32" t="s">
        <v>4027</v>
      </c>
      <c r="AX9" s="18" t="s">
        <v>979</v>
      </c>
      <c r="AY9" s="18" t="s">
        <v>4020</v>
      </c>
    </row>
    <row r="10" customFormat="false" ht="14.25" hidden="false" customHeight="true" outlineLevel="0" collapsed="false">
      <c r="A10" s="5" t="s">
        <v>1064</v>
      </c>
      <c r="B10" s="5" t="s">
        <v>1064</v>
      </c>
      <c r="C10" s="5" t="s">
        <v>1065</v>
      </c>
      <c r="D10" s="5" t="n">
        <v>2022</v>
      </c>
      <c r="E10" s="5" t="s">
        <v>80</v>
      </c>
      <c r="F10" s="5" t="s">
        <v>942</v>
      </c>
      <c r="G10" s="5" t="s">
        <v>943</v>
      </c>
      <c r="H10" s="5" t="n">
        <v>29.706</v>
      </c>
      <c r="I10" s="5" t="n">
        <v>76.956</v>
      </c>
      <c r="J10" s="5" t="s">
        <v>83</v>
      </c>
      <c r="K10" s="5" t="n">
        <v>2019</v>
      </c>
      <c r="L10" s="5" t="s">
        <v>84</v>
      </c>
      <c r="M10" s="5" t="s">
        <v>85</v>
      </c>
      <c r="N10" s="5" t="s">
        <v>86</v>
      </c>
      <c r="O10" s="5" t="s">
        <v>2097</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4028</v>
      </c>
      <c r="AS10" s="5" t="s">
        <v>2119</v>
      </c>
      <c r="AT10" s="5" t="s">
        <v>2120</v>
      </c>
      <c r="AU10" s="5" t="s">
        <v>2121</v>
      </c>
      <c r="AV10" s="5" t="s">
        <v>2079</v>
      </c>
      <c r="AW10" s="23" t="s">
        <v>4029</v>
      </c>
      <c r="AX10" s="5" t="s">
        <v>1076</v>
      </c>
      <c r="AY10" s="5" t="s">
        <v>4030</v>
      </c>
    </row>
    <row r="11" customFormat="false" ht="14.25" hidden="false" customHeight="true" outlineLevel="0" collapsed="false">
      <c r="A11" s="5" t="s">
        <v>1064</v>
      </c>
      <c r="B11" s="5" t="s">
        <v>1064</v>
      </c>
      <c r="C11" s="5" t="s">
        <v>1065</v>
      </c>
      <c r="D11" s="5" t="n">
        <v>2022</v>
      </c>
      <c r="E11" s="5" t="s">
        <v>80</v>
      </c>
      <c r="F11" s="5" t="s">
        <v>942</v>
      </c>
      <c r="G11" s="5" t="s">
        <v>943</v>
      </c>
      <c r="H11" s="5" t="n">
        <v>29.706</v>
      </c>
      <c r="I11" s="5" t="n">
        <v>76.956</v>
      </c>
      <c r="J11" s="5" t="s">
        <v>83</v>
      </c>
      <c r="K11" s="5" t="n">
        <v>2019</v>
      </c>
      <c r="L11" s="5" t="s">
        <v>84</v>
      </c>
      <c r="M11" s="5" t="s">
        <v>85</v>
      </c>
      <c r="N11" s="5" t="s">
        <v>86</v>
      </c>
      <c r="O11" s="5" t="s">
        <v>2124</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4028</v>
      </c>
      <c r="AS11" s="5" t="s">
        <v>2119</v>
      </c>
      <c r="AT11" s="5" t="s">
        <v>2120</v>
      </c>
      <c r="AU11" s="5" t="s">
        <v>2121</v>
      </c>
      <c r="AV11" s="5" t="s">
        <v>2079</v>
      </c>
      <c r="AW11" s="23" t="s">
        <v>4031</v>
      </c>
      <c r="AX11" s="5" t="s">
        <v>1076</v>
      </c>
      <c r="AY11" s="5" t="s">
        <v>4030</v>
      </c>
    </row>
    <row r="12" customFormat="false" ht="14.25" hidden="false" customHeight="true" outlineLevel="0" collapsed="false">
      <c r="A12" s="5" t="s">
        <v>1064</v>
      </c>
      <c r="B12" s="5" t="s">
        <v>1064</v>
      </c>
      <c r="C12" s="5" t="s">
        <v>1065</v>
      </c>
      <c r="D12" s="5" t="n">
        <v>2022</v>
      </c>
      <c r="E12" s="5" t="s">
        <v>80</v>
      </c>
      <c r="F12" s="5" t="s">
        <v>942</v>
      </c>
      <c r="G12" s="5" t="s">
        <v>943</v>
      </c>
      <c r="H12" s="5" t="n">
        <v>29.706</v>
      </c>
      <c r="I12" s="5" t="n">
        <v>76.956</v>
      </c>
      <c r="J12" s="5" t="s">
        <v>83</v>
      </c>
      <c r="K12" s="5" t="n">
        <v>2019</v>
      </c>
      <c r="L12" s="5" t="s">
        <v>84</v>
      </c>
      <c r="M12" s="5" t="s">
        <v>85</v>
      </c>
      <c r="N12" s="5" t="s">
        <v>2050</v>
      </c>
      <c r="O12" s="5" t="s">
        <v>2051</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4028</v>
      </c>
      <c r="AS12" s="5" t="s">
        <v>2119</v>
      </c>
      <c r="AT12" s="5" t="s">
        <v>2120</v>
      </c>
      <c r="AU12" s="5" t="s">
        <v>2121</v>
      </c>
      <c r="AV12" s="5" t="s">
        <v>2079</v>
      </c>
      <c r="AW12" s="23" t="s">
        <v>4032</v>
      </c>
      <c r="AX12" s="5" t="s">
        <v>1076</v>
      </c>
      <c r="AY12" s="5" t="s">
        <v>4030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4033</v>
      </c>
      <c r="Q1" s="27" t="s">
        <v>4034</v>
      </c>
      <c r="R1" s="27" t="s">
        <v>4035</v>
      </c>
      <c r="S1" s="27" t="s">
        <v>4036</v>
      </c>
      <c r="T1" s="27" t="s">
        <v>4037</v>
      </c>
      <c r="U1" s="27" t="s">
        <v>4038</v>
      </c>
      <c r="V1" s="27" t="s">
        <v>4039</v>
      </c>
      <c r="W1" s="27" t="s">
        <v>4040</v>
      </c>
      <c r="X1" s="30" t="s">
        <v>4041</v>
      </c>
      <c r="Y1" s="30" t="s">
        <v>4042</v>
      </c>
      <c r="Z1" s="30" t="s">
        <v>4043</v>
      </c>
      <c r="AA1" s="30" t="s">
        <v>4044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965</v>
      </c>
      <c r="B2" s="18" t="s">
        <v>965</v>
      </c>
      <c r="C2" s="18" t="s">
        <v>966</v>
      </c>
      <c r="D2" s="18" t="n">
        <v>2020</v>
      </c>
      <c r="E2" s="18" t="s">
        <v>967</v>
      </c>
      <c r="F2" s="18" t="s">
        <v>866</v>
      </c>
      <c r="G2" s="18" t="s">
        <v>970</v>
      </c>
      <c r="H2" s="18" t="n">
        <v>28.4</v>
      </c>
      <c r="I2" s="18" t="n">
        <v>77.1</v>
      </c>
      <c r="J2" s="18" t="s">
        <v>83</v>
      </c>
      <c r="K2" s="18" t="s">
        <v>2075</v>
      </c>
      <c r="L2" s="18" t="s">
        <v>853</v>
      </c>
      <c r="M2" s="18" t="s">
        <v>85</v>
      </c>
      <c r="N2" s="18" t="s">
        <v>86</v>
      </c>
      <c r="O2" s="18" t="s">
        <v>2043</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4018</v>
      </c>
      <c r="AS2" s="18" t="s">
        <v>2076</v>
      </c>
      <c r="AT2" s="18" t="s">
        <v>2077</v>
      </c>
      <c r="AU2" s="18" t="s">
        <v>2078</v>
      </c>
      <c r="AV2" s="18" t="s">
        <v>2115</v>
      </c>
      <c r="AW2" s="32" t="s">
        <v>4045</v>
      </c>
      <c r="AX2" s="18" t="s">
        <v>979</v>
      </c>
      <c r="AY2" s="18" t="s">
        <v>4020</v>
      </c>
      <c r="BA2" s="33" t="s">
        <v>1427</v>
      </c>
    </row>
    <row r="3" customFormat="false" ht="14.25" hidden="false" customHeight="true" outlineLevel="0" collapsed="false">
      <c r="A3" s="18" t="s">
        <v>965</v>
      </c>
      <c r="B3" s="18" t="s">
        <v>965</v>
      </c>
      <c r="C3" s="18" t="s">
        <v>966</v>
      </c>
      <c r="D3" s="18" t="n">
        <v>2020</v>
      </c>
      <c r="E3" s="18" t="s">
        <v>967</v>
      </c>
      <c r="F3" s="18" t="s">
        <v>866</v>
      </c>
      <c r="G3" s="18" t="s">
        <v>970</v>
      </c>
      <c r="H3" s="18" t="n">
        <v>28.4</v>
      </c>
      <c r="I3" s="18" t="n">
        <v>77.1</v>
      </c>
      <c r="J3" s="18" t="s">
        <v>83</v>
      </c>
      <c r="K3" s="18" t="s">
        <v>2075</v>
      </c>
      <c r="L3" s="18" t="s">
        <v>853</v>
      </c>
      <c r="M3" s="18" t="s">
        <v>85</v>
      </c>
      <c r="N3" s="18" t="s">
        <v>86</v>
      </c>
      <c r="O3" s="18" t="s">
        <v>2043</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4018</v>
      </c>
      <c r="AS3" s="18" t="s">
        <v>2082</v>
      </c>
      <c r="AT3" s="18" t="s">
        <v>2077</v>
      </c>
      <c r="AU3" s="18" t="s">
        <v>2078</v>
      </c>
      <c r="AV3" s="18" t="s">
        <v>2115</v>
      </c>
      <c r="AW3" s="32" t="s">
        <v>4046</v>
      </c>
      <c r="AX3" s="18" t="s">
        <v>979</v>
      </c>
      <c r="AY3" s="18" t="s">
        <v>4020</v>
      </c>
    </row>
    <row r="4" customFormat="false" ht="14.2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4018</v>
      </c>
      <c r="AS4" s="18" t="s">
        <v>2084</v>
      </c>
      <c r="AT4" s="18" t="s">
        <v>2077</v>
      </c>
      <c r="AU4" s="18" t="s">
        <v>2078</v>
      </c>
      <c r="AV4" s="18" t="s">
        <v>2115</v>
      </c>
      <c r="AW4" s="32" t="s">
        <v>4047</v>
      </c>
      <c r="AX4" s="18" t="s">
        <v>979</v>
      </c>
      <c r="AY4" s="18" t="s">
        <v>4020</v>
      </c>
    </row>
    <row r="5" customFormat="false" ht="14.2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4018</v>
      </c>
      <c r="AS5" s="18" t="s">
        <v>2086</v>
      </c>
      <c r="AT5" s="18" t="s">
        <v>2077</v>
      </c>
      <c r="AU5" s="18" t="s">
        <v>2078</v>
      </c>
      <c r="AV5" s="18" t="s">
        <v>2115</v>
      </c>
      <c r="AW5" s="32" t="s">
        <v>4048</v>
      </c>
      <c r="AX5" s="18" t="s">
        <v>979</v>
      </c>
      <c r="AY5" s="18" t="s">
        <v>4020</v>
      </c>
    </row>
    <row r="6" customFormat="false" ht="14.2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4018</v>
      </c>
      <c r="AS6" s="18" t="s">
        <v>2088</v>
      </c>
      <c r="AT6" s="18" t="s">
        <v>2077</v>
      </c>
      <c r="AU6" s="18" t="s">
        <v>2078</v>
      </c>
      <c r="AV6" s="18" t="s">
        <v>2115</v>
      </c>
      <c r="AW6" s="32" t="s">
        <v>4049</v>
      </c>
      <c r="AX6" s="18" t="s">
        <v>979</v>
      </c>
      <c r="AY6" s="18" t="s">
        <v>4020</v>
      </c>
    </row>
    <row r="7" customFormat="false" ht="14.2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4018</v>
      </c>
      <c r="AS7" s="18" t="s">
        <v>2090</v>
      </c>
      <c r="AT7" s="18" t="s">
        <v>2077</v>
      </c>
      <c r="AU7" s="18" t="s">
        <v>2078</v>
      </c>
      <c r="AV7" s="18" t="s">
        <v>2115</v>
      </c>
      <c r="AW7" s="32" t="s">
        <v>4050</v>
      </c>
      <c r="AX7" s="18" t="s">
        <v>979</v>
      </c>
      <c r="AY7" s="18" t="s">
        <v>4020</v>
      </c>
    </row>
    <row r="8" customFormat="false" ht="14.2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4018</v>
      </c>
      <c r="AS8" s="18" t="s">
        <v>2092</v>
      </c>
      <c r="AT8" s="18" t="s">
        <v>2077</v>
      </c>
      <c r="AU8" s="18" t="s">
        <v>2078</v>
      </c>
      <c r="AV8" s="18" t="s">
        <v>2115</v>
      </c>
      <c r="AW8" s="32" t="s">
        <v>4051</v>
      </c>
      <c r="AX8" s="18" t="s">
        <v>979</v>
      </c>
      <c r="AY8" s="18" t="s">
        <v>4020</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4018</v>
      </c>
      <c r="AS9" s="18" t="s">
        <v>2094</v>
      </c>
      <c r="AT9" s="18" t="s">
        <v>2077</v>
      </c>
      <c r="AU9" s="18" t="s">
        <v>2078</v>
      </c>
      <c r="AV9" s="18" t="s">
        <v>2115</v>
      </c>
      <c r="AW9" s="32" t="s">
        <v>4052</v>
      </c>
      <c r="AX9" s="18" t="s">
        <v>979</v>
      </c>
      <c r="AY9" s="18" t="s">
        <v>4020</v>
      </c>
    </row>
    <row r="10" customFormat="false" ht="14.25" hidden="false" customHeight="true" outlineLevel="0" collapsed="false">
      <c r="A10" s="5" t="s">
        <v>1064</v>
      </c>
      <c r="B10" s="5" t="s">
        <v>1064</v>
      </c>
      <c r="C10" s="5" t="s">
        <v>1065</v>
      </c>
      <c r="D10" s="5" t="n">
        <v>2022</v>
      </c>
      <c r="E10" s="5" t="s">
        <v>80</v>
      </c>
      <c r="F10" s="5" t="s">
        <v>942</v>
      </c>
      <c r="G10" s="5" t="s">
        <v>943</v>
      </c>
      <c r="H10" s="5" t="n">
        <v>29.706</v>
      </c>
      <c r="I10" s="5" t="n">
        <v>76.956</v>
      </c>
      <c r="J10" s="5" t="s">
        <v>83</v>
      </c>
      <c r="K10" s="5" t="n">
        <v>2019</v>
      </c>
      <c r="L10" s="5" t="s">
        <v>84</v>
      </c>
      <c r="M10" s="5" t="s">
        <v>85</v>
      </c>
      <c r="N10" s="5" t="s">
        <v>86</v>
      </c>
      <c r="O10" s="5" t="s">
        <v>2097</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4028</v>
      </c>
      <c r="AS10" s="5" t="s">
        <v>2119</v>
      </c>
      <c r="AT10" s="5" t="s">
        <v>2120</v>
      </c>
      <c r="AU10" s="5" t="s">
        <v>2121</v>
      </c>
      <c r="AV10" s="5" t="s">
        <v>2079</v>
      </c>
      <c r="AW10" s="23" t="s">
        <v>4053</v>
      </c>
      <c r="AX10" s="5" t="s">
        <v>1076</v>
      </c>
      <c r="AY10" s="5" t="s">
        <v>4030</v>
      </c>
    </row>
    <row r="11" customFormat="false" ht="14.25" hidden="false" customHeight="true" outlineLevel="0" collapsed="false">
      <c r="A11" s="5" t="s">
        <v>1064</v>
      </c>
      <c r="B11" s="5" t="s">
        <v>1064</v>
      </c>
      <c r="C11" s="5" t="s">
        <v>1065</v>
      </c>
      <c r="D11" s="5" t="n">
        <v>2022</v>
      </c>
      <c r="E11" s="5" t="s">
        <v>80</v>
      </c>
      <c r="F11" s="5" t="s">
        <v>942</v>
      </c>
      <c r="G11" s="5" t="s">
        <v>943</v>
      </c>
      <c r="H11" s="5" t="n">
        <v>29.706</v>
      </c>
      <c r="I11" s="5" t="n">
        <v>76.956</v>
      </c>
      <c r="J11" s="5" t="s">
        <v>83</v>
      </c>
      <c r="K11" s="5" t="n">
        <v>2019</v>
      </c>
      <c r="L11" s="5" t="s">
        <v>84</v>
      </c>
      <c r="M11" s="5" t="s">
        <v>85</v>
      </c>
      <c r="N11" s="5" t="s">
        <v>86</v>
      </c>
      <c r="O11" s="5" t="s">
        <v>2124</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4028</v>
      </c>
      <c r="AS11" s="5" t="s">
        <v>2119</v>
      </c>
      <c r="AT11" s="5" t="s">
        <v>2120</v>
      </c>
      <c r="AU11" s="5" t="s">
        <v>2121</v>
      </c>
      <c r="AV11" s="5" t="s">
        <v>2079</v>
      </c>
      <c r="AW11" s="23" t="s">
        <v>4054</v>
      </c>
      <c r="AX11" s="5" t="s">
        <v>1076</v>
      </c>
      <c r="AY11" s="5" t="s">
        <v>4030</v>
      </c>
    </row>
    <row r="12" customFormat="false" ht="14.25" hidden="false" customHeight="true" outlineLevel="0" collapsed="false">
      <c r="A12" s="5" t="s">
        <v>1064</v>
      </c>
      <c r="B12" s="5" t="s">
        <v>1064</v>
      </c>
      <c r="C12" s="5" t="s">
        <v>1065</v>
      </c>
      <c r="D12" s="5" t="n">
        <v>2022</v>
      </c>
      <c r="E12" s="5" t="s">
        <v>80</v>
      </c>
      <c r="F12" s="5" t="s">
        <v>942</v>
      </c>
      <c r="G12" s="5" t="s">
        <v>943</v>
      </c>
      <c r="H12" s="5" t="n">
        <v>29.706</v>
      </c>
      <c r="I12" s="5" t="n">
        <v>76.956</v>
      </c>
      <c r="J12" s="5" t="s">
        <v>83</v>
      </c>
      <c r="K12" s="5" t="n">
        <v>2019</v>
      </c>
      <c r="L12" s="5" t="s">
        <v>84</v>
      </c>
      <c r="M12" s="5" t="s">
        <v>85</v>
      </c>
      <c r="N12" s="5" t="s">
        <v>2050</v>
      </c>
      <c r="O12" s="5" t="s">
        <v>2051</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4028</v>
      </c>
      <c r="AS12" s="5" t="s">
        <v>2119</v>
      </c>
      <c r="AT12" s="5" t="s">
        <v>2120</v>
      </c>
      <c r="AU12" s="5" t="s">
        <v>2121</v>
      </c>
      <c r="AV12" s="5" t="s">
        <v>2079</v>
      </c>
      <c r="AW12" s="23" t="s">
        <v>4055</v>
      </c>
      <c r="AX12" s="5" t="s">
        <v>1076</v>
      </c>
      <c r="AY12" s="5" t="s">
        <v>4030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4056</v>
      </c>
      <c r="Q1" s="27" t="s">
        <v>4057</v>
      </c>
      <c r="R1" s="27" t="s">
        <v>4058</v>
      </c>
      <c r="S1" s="27" t="s">
        <v>4059</v>
      </c>
      <c r="T1" s="27" t="s">
        <v>4060</v>
      </c>
      <c r="U1" s="27" t="s">
        <v>4061</v>
      </c>
      <c r="V1" s="27" t="s">
        <v>4062</v>
      </c>
      <c r="W1" s="27" t="s">
        <v>4063</v>
      </c>
      <c r="X1" s="30" t="s">
        <v>4064</v>
      </c>
      <c r="Y1" s="30" t="s">
        <v>4065</v>
      </c>
      <c r="Z1" s="30" t="s">
        <v>4066</v>
      </c>
      <c r="AA1" s="30" t="s">
        <v>4067</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965</v>
      </c>
      <c r="B2" s="18" t="s">
        <v>965</v>
      </c>
      <c r="C2" s="18" t="s">
        <v>966</v>
      </c>
      <c r="D2" s="18" t="n">
        <v>2020</v>
      </c>
      <c r="E2" s="18" t="s">
        <v>967</v>
      </c>
      <c r="F2" s="18" t="s">
        <v>866</v>
      </c>
      <c r="G2" s="18" t="s">
        <v>970</v>
      </c>
      <c r="H2" s="18" t="n">
        <v>28.4</v>
      </c>
      <c r="I2" s="18" t="n">
        <v>77.1</v>
      </c>
      <c r="J2" s="18" t="s">
        <v>83</v>
      </c>
      <c r="K2" s="18" t="s">
        <v>2075</v>
      </c>
      <c r="L2" s="18" t="s">
        <v>853</v>
      </c>
      <c r="M2" s="18" t="s">
        <v>85</v>
      </c>
      <c r="N2" s="18" t="s">
        <v>86</v>
      </c>
      <c r="O2" s="18" t="s">
        <v>2043</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4018</v>
      </c>
      <c r="AS2" s="18" t="s">
        <v>2076</v>
      </c>
      <c r="AT2" s="18" t="s">
        <v>2077</v>
      </c>
      <c r="AU2" s="18" t="s">
        <v>2078</v>
      </c>
      <c r="AV2" s="18" t="s">
        <v>2115</v>
      </c>
      <c r="AW2" s="32" t="s">
        <v>4068</v>
      </c>
      <c r="AX2" s="18" t="s">
        <v>979</v>
      </c>
      <c r="AY2" s="18" t="s">
        <v>4020</v>
      </c>
      <c r="BA2" s="33" t="s">
        <v>1427</v>
      </c>
    </row>
    <row r="3" customFormat="false" ht="14.25" hidden="false" customHeight="true" outlineLevel="0" collapsed="false">
      <c r="A3" s="18" t="s">
        <v>965</v>
      </c>
      <c r="B3" s="18" t="s">
        <v>965</v>
      </c>
      <c r="C3" s="18" t="s">
        <v>966</v>
      </c>
      <c r="D3" s="18" t="n">
        <v>2020</v>
      </c>
      <c r="E3" s="18" t="s">
        <v>967</v>
      </c>
      <c r="F3" s="18" t="s">
        <v>866</v>
      </c>
      <c r="G3" s="18" t="s">
        <v>970</v>
      </c>
      <c r="H3" s="18" t="n">
        <v>28.4</v>
      </c>
      <c r="I3" s="18" t="n">
        <v>77.1</v>
      </c>
      <c r="J3" s="18" t="s">
        <v>83</v>
      </c>
      <c r="K3" s="18" t="s">
        <v>2075</v>
      </c>
      <c r="L3" s="18" t="s">
        <v>853</v>
      </c>
      <c r="M3" s="18" t="s">
        <v>85</v>
      </c>
      <c r="N3" s="18" t="s">
        <v>86</v>
      </c>
      <c r="O3" s="18" t="s">
        <v>2043</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4018</v>
      </c>
      <c r="AS3" s="18" t="s">
        <v>2082</v>
      </c>
      <c r="AT3" s="18" t="s">
        <v>2077</v>
      </c>
      <c r="AU3" s="18" t="s">
        <v>2078</v>
      </c>
      <c r="AV3" s="18" t="s">
        <v>2115</v>
      </c>
      <c r="AW3" s="32" t="s">
        <v>4069</v>
      </c>
      <c r="AX3" s="18" t="s">
        <v>979</v>
      </c>
      <c r="AY3" s="18" t="s">
        <v>4020</v>
      </c>
    </row>
    <row r="4" customFormat="false" ht="14.2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4018</v>
      </c>
      <c r="AS4" s="18" t="s">
        <v>2084</v>
      </c>
      <c r="AT4" s="18" t="s">
        <v>2077</v>
      </c>
      <c r="AU4" s="18" t="s">
        <v>2078</v>
      </c>
      <c r="AV4" s="18" t="s">
        <v>2115</v>
      </c>
      <c r="AW4" s="32" t="s">
        <v>4070</v>
      </c>
      <c r="AX4" s="18" t="s">
        <v>979</v>
      </c>
      <c r="AY4" s="18" t="s">
        <v>4020</v>
      </c>
    </row>
    <row r="5" customFormat="false" ht="14.2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4018</v>
      </c>
      <c r="AS5" s="18" t="s">
        <v>2086</v>
      </c>
      <c r="AT5" s="18" t="s">
        <v>2077</v>
      </c>
      <c r="AU5" s="18" t="s">
        <v>2078</v>
      </c>
      <c r="AV5" s="18" t="s">
        <v>2115</v>
      </c>
      <c r="AW5" s="32" t="s">
        <v>4071</v>
      </c>
      <c r="AX5" s="18" t="s">
        <v>979</v>
      </c>
      <c r="AY5" s="18" t="s">
        <v>4020</v>
      </c>
    </row>
    <row r="6" customFormat="false" ht="14.2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4018</v>
      </c>
      <c r="AS6" s="18" t="s">
        <v>2088</v>
      </c>
      <c r="AT6" s="18" t="s">
        <v>2077</v>
      </c>
      <c r="AU6" s="18" t="s">
        <v>2078</v>
      </c>
      <c r="AV6" s="18" t="s">
        <v>2115</v>
      </c>
      <c r="AW6" s="32" t="s">
        <v>4072</v>
      </c>
      <c r="AX6" s="18" t="s">
        <v>979</v>
      </c>
      <c r="AY6" s="18" t="s">
        <v>4020</v>
      </c>
    </row>
    <row r="7" customFormat="false" ht="14.2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4018</v>
      </c>
      <c r="AS7" s="18" t="s">
        <v>2090</v>
      </c>
      <c r="AT7" s="18" t="s">
        <v>2077</v>
      </c>
      <c r="AU7" s="18" t="s">
        <v>2078</v>
      </c>
      <c r="AV7" s="18" t="s">
        <v>2115</v>
      </c>
      <c r="AW7" s="32" t="s">
        <v>4073</v>
      </c>
      <c r="AX7" s="18" t="s">
        <v>979</v>
      </c>
      <c r="AY7" s="18" t="s">
        <v>4020</v>
      </c>
    </row>
    <row r="8" customFormat="false" ht="14.2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4018</v>
      </c>
      <c r="AS8" s="18" t="s">
        <v>2092</v>
      </c>
      <c r="AT8" s="18" t="s">
        <v>2077</v>
      </c>
      <c r="AU8" s="18" t="s">
        <v>2078</v>
      </c>
      <c r="AV8" s="18" t="s">
        <v>2115</v>
      </c>
      <c r="AW8" s="32" t="s">
        <v>4074</v>
      </c>
      <c r="AX8" s="18" t="s">
        <v>979</v>
      </c>
      <c r="AY8" s="18" t="s">
        <v>4020</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4018</v>
      </c>
      <c r="AS9" s="18" t="s">
        <v>2094</v>
      </c>
      <c r="AT9" s="18" t="s">
        <v>2077</v>
      </c>
      <c r="AU9" s="18" t="s">
        <v>2078</v>
      </c>
      <c r="AV9" s="18" t="s">
        <v>2115</v>
      </c>
      <c r="AW9" s="32" t="s">
        <v>4075</v>
      </c>
      <c r="AX9" s="18" t="s">
        <v>979</v>
      </c>
      <c r="AY9" s="18" t="s">
        <v>4020</v>
      </c>
    </row>
    <row r="10" customFormat="false" ht="14.25" hidden="false" customHeight="true" outlineLevel="0" collapsed="false">
      <c r="A10" s="5" t="s">
        <v>1064</v>
      </c>
      <c r="B10" s="5" t="s">
        <v>1064</v>
      </c>
      <c r="C10" s="5" t="s">
        <v>1065</v>
      </c>
      <c r="D10" s="5" t="n">
        <v>2022</v>
      </c>
      <c r="E10" s="5" t="s">
        <v>80</v>
      </c>
      <c r="F10" s="5" t="s">
        <v>942</v>
      </c>
      <c r="G10" s="5" t="s">
        <v>943</v>
      </c>
      <c r="H10" s="5" t="n">
        <v>29.706</v>
      </c>
      <c r="I10" s="5" t="n">
        <v>76.956</v>
      </c>
      <c r="J10" s="5" t="s">
        <v>83</v>
      </c>
      <c r="K10" s="5" t="n">
        <v>2019</v>
      </c>
      <c r="L10" s="5" t="s">
        <v>84</v>
      </c>
      <c r="M10" s="5" t="s">
        <v>85</v>
      </c>
      <c r="N10" s="5" t="s">
        <v>86</v>
      </c>
      <c r="O10" s="5" t="s">
        <v>2097</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4028</v>
      </c>
      <c r="AS10" s="5" t="s">
        <v>2119</v>
      </c>
      <c r="AT10" s="5" t="s">
        <v>2120</v>
      </c>
      <c r="AU10" s="5" t="s">
        <v>2121</v>
      </c>
      <c r="AV10" s="5" t="s">
        <v>2079</v>
      </c>
      <c r="AW10" s="23" t="s">
        <v>4076</v>
      </c>
      <c r="AX10" s="5" t="s">
        <v>1076</v>
      </c>
      <c r="AY10" s="5" t="s">
        <v>4030</v>
      </c>
    </row>
    <row r="11" customFormat="false" ht="14.25" hidden="false" customHeight="true" outlineLevel="0" collapsed="false">
      <c r="A11" s="5" t="s">
        <v>1064</v>
      </c>
      <c r="B11" s="5" t="s">
        <v>1064</v>
      </c>
      <c r="C11" s="5" t="s">
        <v>1065</v>
      </c>
      <c r="D11" s="5" t="n">
        <v>2022</v>
      </c>
      <c r="E11" s="5" t="s">
        <v>80</v>
      </c>
      <c r="F11" s="5" t="s">
        <v>942</v>
      </c>
      <c r="G11" s="5" t="s">
        <v>943</v>
      </c>
      <c r="H11" s="5" t="n">
        <v>29.706</v>
      </c>
      <c r="I11" s="5" t="n">
        <v>76.956</v>
      </c>
      <c r="J11" s="5" t="s">
        <v>83</v>
      </c>
      <c r="K11" s="5" t="n">
        <v>2019</v>
      </c>
      <c r="L11" s="5" t="s">
        <v>84</v>
      </c>
      <c r="M11" s="5" t="s">
        <v>85</v>
      </c>
      <c r="N11" s="5" t="s">
        <v>86</v>
      </c>
      <c r="O11" s="5" t="s">
        <v>2124</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4028</v>
      </c>
      <c r="AS11" s="5" t="s">
        <v>2119</v>
      </c>
      <c r="AT11" s="5" t="s">
        <v>2120</v>
      </c>
      <c r="AU11" s="5" t="s">
        <v>2121</v>
      </c>
      <c r="AV11" s="5" t="s">
        <v>2079</v>
      </c>
      <c r="AW11" s="23" t="s">
        <v>4077</v>
      </c>
      <c r="AX11" s="5" t="s">
        <v>1076</v>
      </c>
      <c r="AY11" s="5" t="s">
        <v>4030</v>
      </c>
    </row>
    <row r="12" customFormat="false" ht="14.25" hidden="false" customHeight="true" outlineLevel="0" collapsed="false">
      <c r="A12" s="5" t="s">
        <v>1064</v>
      </c>
      <c r="B12" s="5" t="s">
        <v>1064</v>
      </c>
      <c r="C12" s="5" t="s">
        <v>1065</v>
      </c>
      <c r="D12" s="5" t="n">
        <v>2022</v>
      </c>
      <c r="E12" s="5" t="s">
        <v>80</v>
      </c>
      <c r="F12" s="5" t="s">
        <v>942</v>
      </c>
      <c r="G12" s="5" t="s">
        <v>943</v>
      </c>
      <c r="H12" s="5" t="n">
        <v>29.706</v>
      </c>
      <c r="I12" s="5" t="n">
        <v>76.956</v>
      </c>
      <c r="J12" s="5" t="s">
        <v>83</v>
      </c>
      <c r="K12" s="5" t="n">
        <v>2019</v>
      </c>
      <c r="L12" s="5" t="s">
        <v>84</v>
      </c>
      <c r="M12" s="5" t="s">
        <v>85</v>
      </c>
      <c r="N12" s="5" t="s">
        <v>2050</v>
      </c>
      <c r="O12" s="5" t="s">
        <v>2051</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4028</v>
      </c>
      <c r="AS12" s="5" t="s">
        <v>2119</v>
      </c>
      <c r="AT12" s="5" t="s">
        <v>2120</v>
      </c>
      <c r="AU12" s="5" t="s">
        <v>2121</v>
      </c>
      <c r="AV12" s="5" t="s">
        <v>2079</v>
      </c>
      <c r="AW12" s="23" t="s">
        <v>4078</v>
      </c>
      <c r="AX12" s="5" t="s">
        <v>1076</v>
      </c>
      <c r="AY12" s="5" t="s">
        <v>4030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4079</v>
      </c>
      <c r="Q1" s="27" t="s">
        <v>4080</v>
      </c>
      <c r="R1" s="27" t="s">
        <v>4081</v>
      </c>
      <c r="S1" s="27" t="s">
        <v>4082</v>
      </c>
      <c r="T1" s="27" t="s">
        <v>4083</v>
      </c>
      <c r="U1" s="27" t="s">
        <v>4084</v>
      </c>
      <c r="V1" s="27" t="s">
        <v>4085</v>
      </c>
      <c r="W1" s="27" t="s">
        <v>4086</v>
      </c>
      <c r="X1" s="30" t="s">
        <v>4087</v>
      </c>
      <c r="Y1" s="30" t="s">
        <v>4088</v>
      </c>
      <c r="Z1" s="30" t="s">
        <v>4089</v>
      </c>
      <c r="AA1" s="30" t="s">
        <v>4090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965</v>
      </c>
      <c r="B2" s="18" t="s">
        <v>965</v>
      </c>
      <c r="C2" s="18" t="s">
        <v>966</v>
      </c>
      <c r="D2" s="18" t="n">
        <v>2020</v>
      </c>
      <c r="E2" s="18" t="s">
        <v>967</v>
      </c>
      <c r="F2" s="18" t="s">
        <v>866</v>
      </c>
      <c r="G2" s="18" t="s">
        <v>970</v>
      </c>
      <c r="H2" s="18" t="n">
        <v>28.4</v>
      </c>
      <c r="I2" s="18" t="n">
        <v>77.1</v>
      </c>
      <c r="J2" s="18" t="s">
        <v>83</v>
      </c>
      <c r="K2" s="18" t="s">
        <v>2075</v>
      </c>
      <c r="L2" s="18" t="s">
        <v>853</v>
      </c>
      <c r="M2" s="18" t="s">
        <v>85</v>
      </c>
      <c r="N2" s="18" t="s">
        <v>86</v>
      </c>
      <c r="O2" s="18" t="s">
        <v>2043</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4018</v>
      </c>
      <c r="AS2" s="18" t="s">
        <v>2076</v>
      </c>
      <c r="AT2" s="18" t="s">
        <v>2077</v>
      </c>
      <c r="AU2" s="18" t="s">
        <v>2078</v>
      </c>
      <c r="AV2" s="18" t="s">
        <v>2115</v>
      </c>
      <c r="AW2" s="32" t="s">
        <v>4091</v>
      </c>
      <c r="AX2" s="18" t="s">
        <v>979</v>
      </c>
      <c r="AY2" s="18" t="s">
        <v>4020</v>
      </c>
      <c r="BA2" s="33" t="s">
        <v>1427</v>
      </c>
    </row>
    <row r="3" customFormat="false" ht="14.25" hidden="false" customHeight="true" outlineLevel="0" collapsed="false">
      <c r="A3" s="18" t="s">
        <v>965</v>
      </c>
      <c r="B3" s="18" t="s">
        <v>965</v>
      </c>
      <c r="C3" s="18" t="s">
        <v>966</v>
      </c>
      <c r="D3" s="18" t="n">
        <v>2020</v>
      </c>
      <c r="E3" s="18" t="s">
        <v>967</v>
      </c>
      <c r="F3" s="18" t="s">
        <v>866</v>
      </c>
      <c r="G3" s="18" t="s">
        <v>970</v>
      </c>
      <c r="H3" s="18" t="n">
        <v>28.4</v>
      </c>
      <c r="I3" s="18" t="n">
        <v>77.1</v>
      </c>
      <c r="J3" s="18" t="s">
        <v>83</v>
      </c>
      <c r="K3" s="18" t="s">
        <v>2075</v>
      </c>
      <c r="L3" s="18" t="s">
        <v>853</v>
      </c>
      <c r="M3" s="18" t="s">
        <v>85</v>
      </c>
      <c r="N3" s="18" t="s">
        <v>86</v>
      </c>
      <c r="O3" s="18" t="s">
        <v>2043</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4018</v>
      </c>
      <c r="AS3" s="18" t="s">
        <v>2082</v>
      </c>
      <c r="AT3" s="18" t="s">
        <v>2077</v>
      </c>
      <c r="AU3" s="18" t="s">
        <v>2078</v>
      </c>
      <c r="AV3" s="18" t="s">
        <v>2115</v>
      </c>
      <c r="AW3" s="32" t="s">
        <v>4092</v>
      </c>
      <c r="AX3" s="18" t="s">
        <v>979</v>
      </c>
      <c r="AY3" s="18" t="s">
        <v>4020</v>
      </c>
    </row>
    <row r="4" customFormat="false" ht="14.25" hidden="false" customHeight="true" outlineLevel="0" collapsed="false">
      <c r="A4" s="18" t="s">
        <v>965</v>
      </c>
      <c r="B4" s="18" t="s">
        <v>965</v>
      </c>
      <c r="C4" s="18" t="s">
        <v>966</v>
      </c>
      <c r="D4" s="18" t="n">
        <v>2020</v>
      </c>
      <c r="E4" s="18" t="s">
        <v>967</v>
      </c>
      <c r="F4" s="18" t="s">
        <v>866</v>
      </c>
      <c r="G4" s="18" t="s">
        <v>970</v>
      </c>
      <c r="H4" s="18" t="n">
        <v>28.4</v>
      </c>
      <c r="I4" s="18" t="n">
        <v>77.1</v>
      </c>
      <c r="J4" s="18" t="s">
        <v>83</v>
      </c>
      <c r="K4" s="18" t="s">
        <v>2075</v>
      </c>
      <c r="L4" s="18" t="s">
        <v>853</v>
      </c>
      <c r="M4" s="18" t="s">
        <v>85</v>
      </c>
      <c r="N4" s="18" t="s">
        <v>86</v>
      </c>
      <c r="O4" s="18" t="s">
        <v>2043</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4018</v>
      </c>
      <c r="AS4" s="18" t="s">
        <v>2084</v>
      </c>
      <c r="AT4" s="18" t="s">
        <v>2077</v>
      </c>
      <c r="AU4" s="18" t="s">
        <v>2078</v>
      </c>
      <c r="AV4" s="18" t="s">
        <v>2115</v>
      </c>
      <c r="AW4" s="32" t="s">
        <v>4093</v>
      </c>
      <c r="AX4" s="18" t="s">
        <v>979</v>
      </c>
      <c r="AY4" s="18" t="s">
        <v>4020</v>
      </c>
    </row>
    <row r="5" customFormat="false" ht="14.25" hidden="false" customHeight="true" outlineLevel="0" collapsed="false">
      <c r="A5" s="18" t="s">
        <v>965</v>
      </c>
      <c r="B5" s="18" t="s">
        <v>965</v>
      </c>
      <c r="C5" s="18" t="s">
        <v>966</v>
      </c>
      <c r="D5" s="18" t="n">
        <v>2020</v>
      </c>
      <c r="E5" s="18" t="s">
        <v>967</v>
      </c>
      <c r="F5" s="18" t="s">
        <v>866</v>
      </c>
      <c r="G5" s="18" t="s">
        <v>970</v>
      </c>
      <c r="H5" s="18" t="n">
        <v>28.4</v>
      </c>
      <c r="I5" s="18" t="n">
        <v>77.1</v>
      </c>
      <c r="J5" s="18" t="s">
        <v>83</v>
      </c>
      <c r="K5" s="18" t="s">
        <v>2075</v>
      </c>
      <c r="L5" s="18" t="s">
        <v>853</v>
      </c>
      <c r="M5" s="18" t="s">
        <v>85</v>
      </c>
      <c r="N5" s="18" t="s">
        <v>86</v>
      </c>
      <c r="O5" s="18" t="s">
        <v>2043</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4018</v>
      </c>
      <c r="AS5" s="18" t="s">
        <v>2086</v>
      </c>
      <c r="AT5" s="18" t="s">
        <v>2077</v>
      </c>
      <c r="AU5" s="18" t="s">
        <v>2078</v>
      </c>
      <c r="AV5" s="18" t="s">
        <v>2115</v>
      </c>
      <c r="AW5" s="32" t="s">
        <v>4094</v>
      </c>
      <c r="AX5" s="18" t="s">
        <v>979</v>
      </c>
      <c r="AY5" s="18" t="s">
        <v>4020</v>
      </c>
    </row>
    <row r="6" customFormat="false" ht="14.25" hidden="false" customHeight="true" outlineLevel="0" collapsed="false">
      <c r="A6" s="18" t="s">
        <v>965</v>
      </c>
      <c r="B6" s="18" t="s">
        <v>965</v>
      </c>
      <c r="C6" s="18" t="s">
        <v>966</v>
      </c>
      <c r="D6" s="18" t="n">
        <v>2020</v>
      </c>
      <c r="E6" s="18" t="s">
        <v>967</v>
      </c>
      <c r="F6" s="18" t="s">
        <v>866</v>
      </c>
      <c r="G6" s="18" t="s">
        <v>970</v>
      </c>
      <c r="H6" s="18" t="n">
        <v>28.4</v>
      </c>
      <c r="I6" s="18" t="n">
        <v>77.1</v>
      </c>
      <c r="J6" s="18" t="s">
        <v>83</v>
      </c>
      <c r="K6" s="18" t="s">
        <v>2075</v>
      </c>
      <c r="L6" s="18" t="s">
        <v>853</v>
      </c>
      <c r="M6" s="18" t="s">
        <v>85</v>
      </c>
      <c r="N6" s="18" t="s">
        <v>86</v>
      </c>
      <c r="O6" s="18" t="s">
        <v>2043</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4018</v>
      </c>
      <c r="AS6" s="18" t="s">
        <v>2088</v>
      </c>
      <c r="AT6" s="18" t="s">
        <v>2077</v>
      </c>
      <c r="AU6" s="18" t="s">
        <v>2078</v>
      </c>
      <c r="AV6" s="18" t="s">
        <v>2115</v>
      </c>
      <c r="AW6" s="32" t="s">
        <v>4095</v>
      </c>
      <c r="AX6" s="18" t="s">
        <v>979</v>
      </c>
      <c r="AY6" s="18" t="s">
        <v>4020</v>
      </c>
    </row>
    <row r="7" customFormat="false" ht="14.25" hidden="false" customHeight="true" outlineLevel="0" collapsed="false">
      <c r="A7" s="18" t="s">
        <v>965</v>
      </c>
      <c r="B7" s="18" t="s">
        <v>965</v>
      </c>
      <c r="C7" s="18" t="s">
        <v>966</v>
      </c>
      <c r="D7" s="18" t="n">
        <v>2020</v>
      </c>
      <c r="E7" s="18" t="s">
        <v>967</v>
      </c>
      <c r="F7" s="18" t="s">
        <v>866</v>
      </c>
      <c r="G7" s="18" t="s">
        <v>970</v>
      </c>
      <c r="H7" s="18" t="n">
        <v>28.4</v>
      </c>
      <c r="I7" s="18" t="n">
        <v>77.1</v>
      </c>
      <c r="J7" s="18" t="s">
        <v>83</v>
      </c>
      <c r="K7" s="18" t="s">
        <v>2075</v>
      </c>
      <c r="L7" s="18" t="s">
        <v>853</v>
      </c>
      <c r="M7" s="18" t="s">
        <v>85</v>
      </c>
      <c r="N7" s="18" t="s">
        <v>86</v>
      </c>
      <c r="O7" s="18" t="s">
        <v>2043</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4018</v>
      </c>
      <c r="AS7" s="18" t="s">
        <v>2090</v>
      </c>
      <c r="AT7" s="18" t="s">
        <v>2077</v>
      </c>
      <c r="AU7" s="18" t="s">
        <v>2078</v>
      </c>
      <c r="AV7" s="18" t="s">
        <v>2115</v>
      </c>
      <c r="AW7" s="32" t="s">
        <v>4096</v>
      </c>
      <c r="AX7" s="18" t="s">
        <v>979</v>
      </c>
      <c r="AY7" s="18" t="s">
        <v>4020</v>
      </c>
    </row>
    <row r="8" customFormat="false" ht="14.25" hidden="false" customHeight="true" outlineLevel="0" collapsed="false">
      <c r="A8" s="18" t="s">
        <v>965</v>
      </c>
      <c r="B8" s="18" t="s">
        <v>965</v>
      </c>
      <c r="C8" s="18" t="s">
        <v>966</v>
      </c>
      <c r="D8" s="18" t="n">
        <v>2020</v>
      </c>
      <c r="E8" s="18" t="s">
        <v>967</v>
      </c>
      <c r="F8" s="18" t="s">
        <v>866</v>
      </c>
      <c r="G8" s="18" t="s">
        <v>970</v>
      </c>
      <c r="H8" s="18" t="n">
        <v>28.4</v>
      </c>
      <c r="I8" s="18" t="n">
        <v>77.1</v>
      </c>
      <c r="J8" s="18" t="s">
        <v>83</v>
      </c>
      <c r="K8" s="18" t="s">
        <v>2075</v>
      </c>
      <c r="L8" s="18" t="s">
        <v>853</v>
      </c>
      <c r="M8" s="18" t="s">
        <v>85</v>
      </c>
      <c r="N8" s="18" t="s">
        <v>86</v>
      </c>
      <c r="O8" s="18" t="s">
        <v>2043</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4018</v>
      </c>
      <c r="AS8" s="18" t="s">
        <v>2092</v>
      </c>
      <c r="AT8" s="18" t="s">
        <v>2077</v>
      </c>
      <c r="AU8" s="18" t="s">
        <v>2078</v>
      </c>
      <c r="AV8" s="18" t="s">
        <v>2115</v>
      </c>
      <c r="AW8" s="32" t="s">
        <v>4097</v>
      </c>
      <c r="AX8" s="18" t="s">
        <v>979</v>
      </c>
      <c r="AY8" s="18" t="s">
        <v>4020</v>
      </c>
    </row>
    <row r="9" customFormat="false" ht="14.25" hidden="false" customHeight="true" outlineLevel="0" collapsed="false">
      <c r="A9" s="18" t="s">
        <v>965</v>
      </c>
      <c r="B9" s="18" t="s">
        <v>965</v>
      </c>
      <c r="C9" s="18" t="s">
        <v>966</v>
      </c>
      <c r="D9" s="18" t="n">
        <v>2020</v>
      </c>
      <c r="E9" s="18" t="s">
        <v>967</v>
      </c>
      <c r="F9" s="18" t="s">
        <v>866</v>
      </c>
      <c r="G9" s="18" t="s">
        <v>970</v>
      </c>
      <c r="H9" s="18" t="n">
        <v>28.4</v>
      </c>
      <c r="I9" s="18" t="n">
        <v>77.1</v>
      </c>
      <c r="J9" s="18" t="s">
        <v>83</v>
      </c>
      <c r="K9" s="18" t="s">
        <v>2075</v>
      </c>
      <c r="L9" s="18" t="s">
        <v>853</v>
      </c>
      <c r="M9" s="18" t="s">
        <v>85</v>
      </c>
      <c r="N9" s="18" t="s">
        <v>86</v>
      </c>
      <c r="O9" s="18" t="s">
        <v>2043</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4018</v>
      </c>
      <c r="AS9" s="18" t="s">
        <v>2094</v>
      </c>
      <c r="AT9" s="18" t="s">
        <v>2077</v>
      </c>
      <c r="AU9" s="18" t="s">
        <v>2078</v>
      </c>
      <c r="AV9" s="18" t="s">
        <v>2115</v>
      </c>
      <c r="AW9" s="32" t="s">
        <v>4098</v>
      </c>
      <c r="AX9" s="18" t="s">
        <v>979</v>
      </c>
      <c r="AY9" s="18" t="s">
        <v>4020</v>
      </c>
    </row>
    <row r="10" customFormat="false" ht="14.25" hidden="false" customHeight="true" outlineLevel="0" collapsed="false">
      <c r="A10" s="5" t="s">
        <v>1064</v>
      </c>
      <c r="B10" s="5" t="s">
        <v>1064</v>
      </c>
      <c r="C10" s="5" t="s">
        <v>1065</v>
      </c>
      <c r="D10" s="5" t="n">
        <v>2022</v>
      </c>
      <c r="E10" s="5" t="s">
        <v>80</v>
      </c>
      <c r="F10" s="5" t="s">
        <v>942</v>
      </c>
      <c r="G10" s="5" t="s">
        <v>943</v>
      </c>
      <c r="H10" s="5" t="n">
        <v>29.706</v>
      </c>
      <c r="I10" s="5" t="n">
        <v>76.956</v>
      </c>
      <c r="J10" s="5" t="s">
        <v>83</v>
      </c>
      <c r="K10" s="5" t="n">
        <v>2019</v>
      </c>
      <c r="L10" s="5" t="s">
        <v>84</v>
      </c>
      <c r="M10" s="5" t="s">
        <v>85</v>
      </c>
      <c r="N10" s="5" t="s">
        <v>86</v>
      </c>
      <c r="O10" s="5" t="s">
        <v>2097</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4028</v>
      </c>
      <c r="AS10" s="5" t="s">
        <v>2119</v>
      </c>
      <c r="AT10" s="5" t="s">
        <v>2120</v>
      </c>
      <c r="AU10" s="5" t="s">
        <v>2121</v>
      </c>
      <c r="AV10" s="5" t="s">
        <v>2079</v>
      </c>
      <c r="AW10" s="23" t="s">
        <v>4099</v>
      </c>
      <c r="AX10" s="5" t="s">
        <v>1076</v>
      </c>
      <c r="AY10" s="5" t="s">
        <v>4030</v>
      </c>
    </row>
    <row r="11" customFormat="false" ht="14.25" hidden="false" customHeight="true" outlineLevel="0" collapsed="false">
      <c r="A11" s="5" t="s">
        <v>1064</v>
      </c>
      <c r="B11" s="5" t="s">
        <v>1064</v>
      </c>
      <c r="C11" s="5" t="s">
        <v>1065</v>
      </c>
      <c r="D11" s="5" t="n">
        <v>2022</v>
      </c>
      <c r="E11" s="5" t="s">
        <v>80</v>
      </c>
      <c r="F11" s="5" t="s">
        <v>942</v>
      </c>
      <c r="G11" s="5" t="s">
        <v>943</v>
      </c>
      <c r="H11" s="5" t="n">
        <v>29.706</v>
      </c>
      <c r="I11" s="5" t="n">
        <v>76.956</v>
      </c>
      <c r="J11" s="5" t="s">
        <v>83</v>
      </c>
      <c r="K11" s="5" t="n">
        <v>2019</v>
      </c>
      <c r="L11" s="5" t="s">
        <v>84</v>
      </c>
      <c r="M11" s="5" t="s">
        <v>85</v>
      </c>
      <c r="N11" s="5" t="s">
        <v>86</v>
      </c>
      <c r="O11" s="5" t="s">
        <v>2124</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4028</v>
      </c>
      <c r="AS11" s="5" t="s">
        <v>2119</v>
      </c>
      <c r="AT11" s="5" t="s">
        <v>2120</v>
      </c>
      <c r="AU11" s="5" t="s">
        <v>2121</v>
      </c>
      <c r="AV11" s="5" t="s">
        <v>2079</v>
      </c>
      <c r="AW11" s="23" t="s">
        <v>4100</v>
      </c>
      <c r="AX11" s="5" t="s">
        <v>1076</v>
      </c>
      <c r="AY11" s="5" t="s">
        <v>4030</v>
      </c>
    </row>
    <row r="12" customFormat="false" ht="14.25" hidden="false" customHeight="true" outlineLevel="0" collapsed="false">
      <c r="A12" s="5" t="s">
        <v>1064</v>
      </c>
      <c r="B12" s="5" t="s">
        <v>1064</v>
      </c>
      <c r="C12" s="5" t="s">
        <v>1065</v>
      </c>
      <c r="D12" s="5" t="n">
        <v>2022</v>
      </c>
      <c r="E12" s="5" t="s">
        <v>80</v>
      </c>
      <c r="F12" s="5" t="s">
        <v>942</v>
      </c>
      <c r="G12" s="5" t="s">
        <v>943</v>
      </c>
      <c r="H12" s="5" t="n">
        <v>29.706</v>
      </c>
      <c r="I12" s="5" t="n">
        <v>76.956</v>
      </c>
      <c r="J12" s="5" t="s">
        <v>83</v>
      </c>
      <c r="K12" s="5" t="n">
        <v>2019</v>
      </c>
      <c r="L12" s="5" t="s">
        <v>84</v>
      </c>
      <c r="M12" s="5" t="s">
        <v>85</v>
      </c>
      <c r="N12" s="5" t="s">
        <v>2050</v>
      </c>
      <c r="O12" s="5" t="s">
        <v>2051</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4028</v>
      </c>
      <c r="AS12" s="5" t="s">
        <v>2119</v>
      </c>
      <c r="AT12" s="5" t="s">
        <v>2120</v>
      </c>
      <c r="AU12" s="5" t="s">
        <v>2121</v>
      </c>
      <c r="AV12" s="5" t="s">
        <v>2079</v>
      </c>
      <c r="AW12" s="23" t="s">
        <v>4101</v>
      </c>
      <c r="AX12" s="5" t="s">
        <v>1076</v>
      </c>
      <c r="AY12" s="5" t="s">
        <v>4030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4102</v>
      </c>
      <c r="Q1" s="27" t="s">
        <v>4103</v>
      </c>
      <c r="R1" s="27" t="s">
        <v>4104</v>
      </c>
      <c r="S1" s="27" t="s">
        <v>4105</v>
      </c>
      <c r="T1" s="27" t="s">
        <v>4106</v>
      </c>
      <c r="U1" s="27" t="s">
        <v>4107</v>
      </c>
      <c r="V1" s="27" t="s">
        <v>4108</v>
      </c>
      <c r="W1" s="27" t="s">
        <v>4109</v>
      </c>
      <c r="X1" s="30" t="s">
        <v>4110</v>
      </c>
      <c r="Y1" s="30" t="s">
        <v>4111</v>
      </c>
      <c r="Z1" s="30" t="s">
        <v>4112</v>
      </c>
      <c r="AA1" s="30" t="s">
        <v>4113</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2317</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4114</v>
      </c>
      <c r="AS2" s="18" t="s">
        <v>2044</v>
      </c>
      <c r="AT2" s="18" t="s">
        <v>2045</v>
      </c>
      <c r="AU2" s="18" t="s">
        <v>2046</v>
      </c>
      <c r="AV2" s="18" t="s">
        <v>3507</v>
      </c>
      <c r="AW2" s="32" t="s">
        <v>4115</v>
      </c>
      <c r="AX2" s="18" t="s">
        <v>928</v>
      </c>
      <c r="AY2" s="18" t="s">
        <v>4116</v>
      </c>
      <c r="BA2" s="33" t="s">
        <v>1434</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2052</v>
      </c>
      <c r="L3" s="5" t="s">
        <v>872</v>
      </c>
      <c r="M3" s="5" t="s">
        <v>85</v>
      </c>
      <c r="N3" s="5" t="s">
        <v>86</v>
      </c>
      <c r="O3" s="5" t="s">
        <v>2979</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4117</v>
      </c>
      <c r="AS3" s="5" t="s">
        <v>2053</v>
      </c>
      <c r="AT3" s="5" t="s">
        <v>3511</v>
      </c>
      <c r="AU3" s="5" t="s">
        <v>2055</v>
      </c>
      <c r="AV3" s="5" t="s">
        <v>3507</v>
      </c>
      <c r="AW3" s="23" t="s">
        <v>4118</v>
      </c>
      <c r="AX3" s="5" t="s">
        <v>880</v>
      </c>
      <c r="AY3" s="5" t="s">
        <v>4119</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2979</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4117</v>
      </c>
      <c r="AS4" s="5" t="s">
        <v>2059</v>
      </c>
      <c r="AT4" s="5" t="s">
        <v>3511</v>
      </c>
      <c r="AU4" s="5" t="s">
        <v>2055</v>
      </c>
      <c r="AV4" s="5" t="s">
        <v>3507</v>
      </c>
      <c r="AW4" s="23" t="s">
        <v>4120</v>
      </c>
      <c r="AX4" s="5" t="s">
        <v>880</v>
      </c>
      <c r="AY4" s="5" t="s">
        <v>4119</v>
      </c>
    </row>
    <row r="5" customFormat="false" ht="15" hidden="false" customHeight="true" outlineLevel="0" collapsed="false">
      <c r="A5" s="18" t="s">
        <v>955</v>
      </c>
      <c r="B5" s="18" t="s">
        <v>955</v>
      </c>
      <c r="C5" s="18" t="s">
        <v>956</v>
      </c>
      <c r="D5" s="18" t="n">
        <v>2019</v>
      </c>
      <c r="E5" s="18" t="s">
        <v>3303</v>
      </c>
      <c r="F5" s="18" t="s">
        <v>942</v>
      </c>
      <c r="G5" s="18" t="s">
        <v>943</v>
      </c>
      <c r="H5" s="18" t="n">
        <v>29.7</v>
      </c>
      <c r="I5" s="18" t="n">
        <v>76.96</v>
      </c>
      <c r="J5" s="18" t="s">
        <v>83</v>
      </c>
      <c r="K5" s="18" t="n">
        <v>2013</v>
      </c>
      <c r="L5" s="18" t="s">
        <v>84</v>
      </c>
      <c r="M5" s="18" t="s">
        <v>85</v>
      </c>
      <c r="N5" s="18" t="s">
        <v>86</v>
      </c>
      <c r="O5" s="18" t="s">
        <v>2043</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4121</v>
      </c>
      <c r="AS5" s="18" t="s">
        <v>2337</v>
      </c>
      <c r="AT5" s="18" t="s">
        <v>3305</v>
      </c>
      <c r="AU5" s="18" t="s">
        <v>2339</v>
      </c>
      <c r="AV5" s="18" t="s">
        <v>91</v>
      </c>
      <c r="AW5" s="32" t="s">
        <v>4122</v>
      </c>
      <c r="AX5" s="18" t="s">
        <v>962</v>
      </c>
      <c r="AY5" s="18" t="s">
        <v>4123</v>
      </c>
    </row>
    <row r="6" customFormat="false" ht="15" hidden="false" customHeight="true" outlineLevel="0" collapsed="false">
      <c r="A6" s="18" t="s">
        <v>955</v>
      </c>
      <c r="B6" s="18" t="s">
        <v>955</v>
      </c>
      <c r="C6" s="18" t="s">
        <v>956</v>
      </c>
      <c r="D6" s="18" t="n">
        <v>2019</v>
      </c>
      <c r="E6" s="18" t="s">
        <v>3303</v>
      </c>
      <c r="F6" s="18" t="s">
        <v>942</v>
      </c>
      <c r="G6" s="18" t="s">
        <v>943</v>
      </c>
      <c r="H6" s="18" t="n">
        <v>29.7</v>
      </c>
      <c r="I6" s="18" t="n">
        <v>76.96</v>
      </c>
      <c r="J6" s="18" t="s">
        <v>83</v>
      </c>
      <c r="K6" s="18" t="n">
        <v>2013</v>
      </c>
      <c r="L6" s="18" t="s">
        <v>84</v>
      </c>
      <c r="M6" s="18" t="s">
        <v>85</v>
      </c>
      <c r="N6" s="18" t="s">
        <v>2050</v>
      </c>
      <c r="O6" s="18" t="s">
        <v>2051</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4121</v>
      </c>
      <c r="AS6" s="18" t="s">
        <v>2337</v>
      </c>
      <c r="AT6" s="18" t="s">
        <v>3305</v>
      </c>
      <c r="AU6" s="18" t="s">
        <v>2339</v>
      </c>
      <c r="AV6" s="18" t="s">
        <v>91</v>
      </c>
      <c r="AW6" s="32" t="s">
        <v>4122</v>
      </c>
      <c r="AX6" s="18" t="s">
        <v>962</v>
      </c>
      <c r="AY6" s="18" t="s">
        <v>4123</v>
      </c>
    </row>
    <row r="7" customFormat="false" ht="15" hidden="false" customHeight="true" outlineLevel="0" collapsed="false">
      <c r="A7" s="5" t="s">
        <v>1041</v>
      </c>
      <c r="B7" s="5" t="s">
        <v>1041</v>
      </c>
      <c r="C7" s="5" t="s">
        <v>1042</v>
      </c>
      <c r="D7" s="5" t="n">
        <v>2022</v>
      </c>
      <c r="E7" s="5" t="s">
        <v>843</v>
      </c>
      <c r="F7" s="5" t="s">
        <v>1045</v>
      </c>
      <c r="G7" s="5" t="s">
        <v>1046</v>
      </c>
      <c r="H7" s="5" t="n">
        <v>24.724</v>
      </c>
      <c r="I7" s="5" t="n">
        <v>90.437</v>
      </c>
      <c r="J7" s="5" t="s">
        <v>83</v>
      </c>
      <c r="K7" s="5" t="s">
        <v>2111</v>
      </c>
      <c r="L7" s="5" t="s">
        <v>84</v>
      </c>
      <c r="M7" s="5" t="s">
        <v>85</v>
      </c>
      <c r="N7" s="5" t="s">
        <v>86</v>
      </c>
      <c r="O7" s="5" t="s">
        <v>2043</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4124</v>
      </c>
      <c r="AS7" s="5" t="s">
        <v>2112</v>
      </c>
      <c r="AT7" s="5" t="s">
        <v>2113</v>
      </c>
      <c r="AU7" s="5" t="s">
        <v>2114</v>
      </c>
      <c r="AV7" s="5" t="s">
        <v>2115</v>
      </c>
      <c r="AW7" s="23" t="s">
        <v>2116</v>
      </c>
      <c r="AX7" s="5" t="s">
        <v>1060</v>
      </c>
      <c r="AY7" s="5" t="s">
        <v>4125</v>
      </c>
    </row>
    <row r="8" customFormat="false" ht="15" hidden="false" customHeight="true" outlineLevel="0" collapsed="false">
      <c r="A8" s="5" t="s">
        <v>1041</v>
      </c>
      <c r="B8" s="5" t="s">
        <v>1041</v>
      </c>
      <c r="C8" s="5" t="s">
        <v>1042</v>
      </c>
      <c r="D8" s="5" t="n">
        <v>2022</v>
      </c>
      <c r="E8" s="5" t="s">
        <v>843</v>
      </c>
      <c r="F8" s="5" t="s">
        <v>1045</v>
      </c>
      <c r="G8" s="5" t="s">
        <v>1046</v>
      </c>
      <c r="H8" s="5" t="n">
        <v>24.724</v>
      </c>
      <c r="I8" s="5" t="n">
        <v>90.437</v>
      </c>
      <c r="J8" s="5" t="s">
        <v>83</v>
      </c>
      <c r="K8" s="5" t="s">
        <v>2111</v>
      </c>
      <c r="L8" s="5" t="s">
        <v>84</v>
      </c>
      <c r="M8" s="5" t="s">
        <v>85</v>
      </c>
      <c r="N8" s="5" t="s">
        <v>86</v>
      </c>
      <c r="O8" s="5" t="s">
        <v>2043</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4124</v>
      </c>
      <c r="AS8" s="5" t="s">
        <v>2112</v>
      </c>
      <c r="AT8" s="5" t="s">
        <v>2113</v>
      </c>
      <c r="AU8" s="5" t="s">
        <v>2114</v>
      </c>
      <c r="AV8" s="5" t="s">
        <v>2115</v>
      </c>
      <c r="AW8" s="23" t="s">
        <v>2118</v>
      </c>
      <c r="AX8" s="5" t="s">
        <v>1060</v>
      </c>
      <c r="AY8" s="5" t="s">
        <v>4125</v>
      </c>
    </row>
    <row r="9" customFormat="false" ht="15" hidden="false" customHeight="true" outlineLevel="0" collapsed="false">
      <c r="A9" s="5" t="s">
        <v>1064</v>
      </c>
      <c r="B9" s="5" t="s">
        <v>1064</v>
      </c>
      <c r="C9" s="5" t="s">
        <v>1065</v>
      </c>
      <c r="D9" s="5" t="n">
        <v>2022</v>
      </c>
      <c r="E9" s="5" t="s">
        <v>80</v>
      </c>
      <c r="F9" s="5" t="s">
        <v>942</v>
      </c>
      <c r="G9" s="5" t="s">
        <v>943</v>
      </c>
      <c r="H9" s="5" t="n">
        <v>29.706</v>
      </c>
      <c r="I9" s="5" t="n">
        <v>76.956</v>
      </c>
      <c r="J9" s="5" t="s">
        <v>83</v>
      </c>
      <c r="K9" s="5" t="n">
        <v>2019</v>
      </c>
      <c r="L9" s="5" t="s">
        <v>84</v>
      </c>
      <c r="M9" s="5" t="s">
        <v>85</v>
      </c>
      <c r="N9" s="5" t="s">
        <v>86</v>
      </c>
      <c r="O9" s="5" t="s">
        <v>2097</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4126</v>
      </c>
      <c r="AS9" s="5" t="s">
        <v>2119</v>
      </c>
      <c r="AT9" s="5" t="s">
        <v>2120</v>
      </c>
      <c r="AU9" s="5" t="s">
        <v>2121</v>
      </c>
      <c r="AV9" s="5" t="s">
        <v>2047</v>
      </c>
      <c r="AW9" s="23" t="s">
        <v>4127</v>
      </c>
      <c r="AX9" s="5" t="s">
        <v>1076</v>
      </c>
      <c r="AY9" s="5" t="s">
        <v>4128</v>
      </c>
    </row>
    <row r="10" customFormat="false" ht="15" hidden="false" customHeight="true" outlineLevel="0" collapsed="false">
      <c r="A10" s="5" t="s">
        <v>1064</v>
      </c>
      <c r="B10" s="5" t="s">
        <v>1064</v>
      </c>
      <c r="C10" s="5" t="s">
        <v>1065</v>
      </c>
      <c r="D10" s="5" t="n">
        <v>2022</v>
      </c>
      <c r="E10" s="5" t="s">
        <v>80</v>
      </c>
      <c r="F10" s="5" t="s">
        <v>942</v>
      </c>
      <c r="G10" s="5" t="s">
        <v>943</v>
      </c>
      <c r="H10" s="5" t="n">
        <v>29.706</v>
      </c>
      <c r="I10" s="5" t="n">
        <v>76.956</v>
      </c>
      <c r="J10" s="5" t="s">
        <v>83</v>
      </c>
      <c r="K10" s="5" t="n">
        <v>2019</v>
      </c>
      <c r="L10" s="5" t="s">
        <v>84</v>
      </c>
      <c r="M10" s="5" t="s">
        <v>85</v>
      </c>
      <c r="N10" s="5" t="s">
        <v>86</v>
      </c>
      <c r="O10" s="5" t="s">
        <v>2124</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4126</v>
      </c>
      <c r="AS10" s="5" t="s">
        <v>2119</v>
      </c>
      <c r="AT10" s="5" t="s">
        <v>2120</v>
      </c>
      <c r="AU10" s="5" t="s">
        <v>2121</v>
      </c>
      <c r="AV10" s="5" t="s">
        <v>2047</v>
      </c>
      <c r="AW10" s="23" t="s">
        <v>4129</v>
      </c>
      <c r="AX10" s="5" t="s">
        <v>1076</v>
      </c>
      <c r="AY10" s="5" t="s">
        <v>4128</v>
      </c>
    </row>
    <row r="11" customFormat="false" ht="15" hidden="false" customHeight="true" outlineLevel="0" collapsed="false">
      <c r="A11" s="5" t="s">
        <v>1064</v>
      </c>
      <c r="B11" s="5" t="s">
        <v>1064</v>
      </c>
      <c r="C11" s="5" t="s">
        <v>1065</v>
      </c>
      <c r="D11" s="5" t="n">
        <v>2022</v>
      </c>
      <c r="E11" s="5" t="s">
        <v>80</v>
      </c>
      <c r="F11" s="5" t="s">
        <v>942</v>
      </c>
      <c r="G11" s="5" t="s">
        <v>943</v>
      </c>
      <c r="H11" s="5" t="n">
        <v>29.706</v>
      </c>
      <c r="I11" s="5" t="n">
        <v>76.956</v>
      </c>
      <c r="J11" s="5" t="s">
        <v>83</v>
      </c>
      <c r="K11" s="5" t="n">
        <v>2019</v>
      </c>
      <c r="L11" s="5" t="s">
        <v>84</v>
      </c>
      <c r="M11" s="5" t="s">
        <v>85</v>
      </c>
      <c r="N11" s="5" t="s">
        <v>2050</v>
      </c>
      <c r="O11" s="5" t="s">
        <v>2051</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4126</v>
      </c>
      <c r="AS11" s="5" t="s">
        <v>2119</v>
      </c>
      <c r="AT11" s="5" t="s">
        <v>2120</v>
      </c>
      <c r="AU11" s="5" t="s">
        <v>2121</v>
      </c>
      <c r="AV11" s="5" t="s">
        <v>2047</v>
      </c>
      <c r="AW11" s="23" t="s">
        <v>4130</v>
      </c>
      <c r="AX11" s="5" t="s">
        <v>1076</v>
      </c>
      <c r="AY11" s="5" t="s">
        <v>4128</v>
      </c>
    </row>
    <row r="12" customFormat="false" ht="15" hidden="false" customHeight="true" outlineLevel="0" collapsed="false">
      <c r="A12" s="18" t="n">
        <v>172</v>
      </c>
      <c r="B12" s="18" t="n">
        <v>172</v>
      </c>
      <c r="C12" s="18" t="s">
        <v>1100</v>
      </c>
      <c r="D12" s="18" t="n">
        <v>2005</v>
      </c>
      <c r="E12" s="18" t="s">
        <v>1101</v>
      </c>
      <c r="F12" s="18" t="s">
        <v>3054</v>
      </c>
      <c r="G12" s="18" t="s">
        <v>1105</v>
      </c>
      <c r="H12" s="18" t="n">
        <v>33.2</v>
      </c>
      <c r="I12" s="18" t="n">
        <v>130.5</v>
      </c>
      <c r="J12" s="18" t="s">
        <v>921</v>
      </c>
      <c r="K12" s="18" t="n">
        <v>2003</v>
      </c>
      <c r="L12" s="18" t="s">
        <v>853</v>
      </c>
      <c r="M12" s="18" t="s">
        <v>85</v>
      </c>
      <c r="N12" s="18" t="s">
        <v>86</v>
      </c>
      <c r="O12" s="18" t="s">
        <v>3055</v>
      </c>
      <c r="P12" s="18"/>
      <c r="Q12" s="18" t="n">
        <f aca="false">ROUND(0.83*1000,0)</f>
        <v>830</v>
      </c>
      <c r="R12" s="18"/>
      <c r="S12" s="18"/>
      <c r="T12" s="18"/>
      <c r="U12" s="18"/>
      <c r="V12" s="18" t="n">
        <f aca="false">ROUND(1.07*1000,0)</f>
        <v>1070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4131</v>
      </c>
      <c r="AS12" s="18" t="s">
        <v>3057</v>
      </c>
      <c r="AT12" s="18" t="s">
        <v>3058</v>
      </c>
      <c r="AU12" s="18" t="s">
        <v>3059</v>
      </c>
      <c r="AV12" s="18" t="s">
        <v>3709</v>
      </c>
      <c r="AW12" s="32" t="s">
        <v>4132</v>
      </c>
      <c r="AX12" s="18" t="s">
        <v>1112</v>
      </c>
      <c r="AY12" s="18" t="s">
        <v>4133</v>
      </c>
    </row>
    <row r="13" customFormat="false" ht="15" hidden="false" customHeight="true" outlineLevel="0" collapsed="false">
      <c r="A13" s="18" t="n">
        <v>172</v>
      </c>
      <c r="B13" s="18" t="n">
        <v>172</v>
      </c>
      <c r="C13" s="18" t="s">
        <v>1100</v>
      </c>
      <c r="D13" s="18" t="n">
        <v>2005</v>
      </c>
      <c r="E13" s="18" t="s">
        <v>1101</v>
      </c>
      <c r="F13" s="18" t="s">
        <v>3054</v>
      </c>
      <c r="G13" s="18" t="s">
        <v>1105</v>
      </c>
      <c r="H13" s="18" t="n">
        <v>33.2</v>
      </c>
      <c r="I13" s="18" t="n">
        <v>130.5</v>
      </c>
      <c r="J13" s="18" t="s">
        <v>921</v>
      </c>
      <c r="K13" s="18" t="n">
        <v>2003</v>
      </c>
      <c r="L13" s="18" t="s">
        <v>853</v>
      </c>
      <c r="M13" s="18" t="s">
        <v>85</v>
      </c>
      <c r="N13" s="18" t="s">
        <v>86</v>
      </c>
      <c r="O13" s="18" t="s">
        <v>3055</v>
      </c>
      <c r="P13" s="18"/>
      <c r="Q13" s="18" t="n">
        <f aca="false">ROUND(0.83*1000,0)</f>
        <v>830</v>
      </c>
      <c r="R13" s="18"/>
      <c r="S13" s="18"/>
      <c r="T13" s="18"/>
      <c r="U13" s="18"/>
      <c r="V13" s="18" t="n">
        <f aca="false">ROUND(1.09*1000,0)</f>
        <v>1090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4131</v>
      </c>
      <c r="AS13" s="18" t="s">
        <v>3057</v>
      </c>
      <c r="AT13" s="18" t="s">
        <v>3058</v>
      </c>
      <c r="AU13" s="18" t="s">
        <v>3059</v>
      </c>
      <c r="AV13" s="18" t="s">
        <v>3709</v>
      </c>
      <c r="AW13" s="32" t="s">
        <v>4134</v>
      </c>
      <c r="AX13" s="18" t="s">
        <v>1112</v>
      </c>
      <c r="AY13" s="18" t="s">
        <v>4133</v>
      </c>
    </row>
    <row r="14" customFormat="false" ht="14.25" hidden="false" customHeight="true" outlineLevel="0" collapsed="false">
      <c r="A14" s="18" t="n">
        <v>172</v>
      </c>
      <c r="B14" s="18" t="n">
        <v>172</v>
      </c>
      <c r="C14" s="18" t="s">
        <v>1100</v>
      </c>
      <c r="D14" s="18" t="n">
        <v>2005</v>
      </c>
      <c r="E14" s="18" t="s">
        <v>1101</v>
      </c>
      <c r="F14" s="18" t="s">
        <v>3054</v>
      </c>
      <c r="G14" s="18" t="s">
        <v>1105</v>
      </c>
      <c r="H14" s="18" t="n">
        <v>33.2</v>
      </c>
      <c r="I14" s="18" t="n">
        <v>130.5</v>
      </c>
      <c r="J14" s="18" t="s">
        <v>921</v>
      </c>
      <c r="K14" s="18" t="n">
        <v>2003</v>
      </c>
      <c r="L14" s="18" t="s">
        <v>853</v>
      </c>
      <c r="M14" s="18" t="s">
        <v>85</v>
      </c>
      <c r="N14" s="18" t="s">
        <v>86</v>
      </c>
      <c r="O14" s="18" t="s">
        <v>3055</v>
      </c>
      <c r="P14" s="18"/>
      <c r="Q14" s="18" t="n">
        <f aca="false">ROUND(0.83*1000,0)</f>
        <v>830</v>
      </c>
      <c r="R14" s="18"/>
      <c r="S14" s="18"/>
      <c r="T14" s="18"/>
      <c r="U14" s="18"/>
      <c r="V14" s="18" t="n">
        <f aca="false">ROUND(1.2*1000,0)</f>
        <v>1200</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4131</v>
      </c>
      <c r="AS14" s="18" t="s">
        <v>3057</v>
      </c>
      <c r="AT14" s="18" t="s">
        <v>3058</v>
      </c>
      <c r="AU14" s="18" t="s">
        <v>3059</v>
      </c>
      <c r="AV14" s="18" t="s">
        <v>3709</v>
      </c>
      <c r="AW14" s="32" t="s">
        <v>4135</v>
      </c>
      <c r="AX14" s="18" t="s">
        <v>1112</v>
      </c>
      <c r="AY14" s="18" t="s">
        <v>4133</v>
      </c>
    </row>
    <row r="15" customFormat="false" ht="14.25" hidden="false" customHeight="true" outlineLevel="0" collapsed="false">
      <c r="A15" s="18" t="n">
        <v>172</v>
      </c>
      <c r="B15" s="18" t="n">
        <v>172</v>
      </c>
      <c r="C15" s="18" t="s">
        <v>1100</v>
      </c>
      <c r="D15" s="18" t="n">
        <v>2005</v>
      </c>
      <c r="E15" s="18" t="s">
        <v>1101</v>
      </c>
      <c r="F15" s="18" t="s">
        <v>3054</v>
      </c>
      <c r="G15" s="18" t="s">
        <v>1105</v>
      </c>
      <c r="H15" s="18" t="n">
        <v>33.2</v>
      </c>
      <c r="I15" s="18" t="n">
        <v>130.5</v>
      </c>
      <c r="J15" s="18" t="s">
        <v>921</v>
      </c>
      <c r="K15" s="18" t="n">
        <v>2003</v>
      </c>
      <c r="L15" s="18" t="s">
        <v>853</v>
      </c>
      <c r="M15" s="18" t="s">
        <v>85</v>
      </c>
      <c r="N15" s="18" t="s">
        <v>86</v>
      </c>
      <c r="O15" s="18" t="s">
        <v>3055</v>
      </c>
      <c r="P15" s="18"/>
      <c r="Q15" s="18" t="n">
        <f aca="false">ROUND(0.59*1000,0)</f>
        <v>590</v>
      </c>
      <c r="R15" s="18"/>
      <c r="S15" s="18"/>
      <c r="T15" s="18"/>
      <c r="U15" s="18"/>
      <c r="V15" s="18" t="n">
        <f aca="false">ROUND(0.74*1000,0)</f>
        <v>740</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4136</v>
      </c>
      <c r="AS15" s="18" t="s">
        <v>3057</v>
      </c>
      <c r="AT15" s="18" t="s">
        <v>3058</v>
      </c>
      <c r="AU15" s="18" t="s">
        <v>3059</v>
      </c>
      <c r="AV15" s="18" t="s">
        <v>3709</v>
      </c>
      <c r="AW15" s="32" t="s">
        <v>4137</v>
      </c>
      <c r="AX15" s="18" t="s">
        <v>1112</v>
      </c>
      <c r="AY15" s="18" t="s">
        <v>4138</v>
      </c>
    </row>
    <row r="16" customFormat="false" ht="14.25" hidden="false" customHeight="true" outlineLevel="0" collapsed="false">
      <c r="A16" s="18" t="n">
        <v>172</v>
      </c>
      <c r="B16" s="18" t="n">
        <v>172</v>
      </c>
      <c r="C16" s="18" t="s">
        <v>1100</v>
      </c>
      <c r="D16" s="18" t="n">
        <v>2005</v>
      </c>
      <c r="E16" s="18" t="s">
        <v>1101</v>
      </c>
      <c r="F16" s="18" t="s">
        <v>3054</v>
      </c>
      <c r="G16" s="18" t="s">
        <v>1105</v>
      </c>
      <c r="H16" s="18" t="n">
        <v>33.2</v>
      </c>
      <c r="I16" s="18" t="n">
        <v>130.5</v>
      </c>
      <c r="J16" s="18" t="s">
        <v>921</v>
      </c>
      <c r="K16" s="18" t="n">
        <v>2003</v>
      </c>
      <c r="L16" s="18" t="s">
        <v>853</v>
      </c>
      <c r="M16" s="18" t="s">
        <v>85</v>
      </c>
      <c r="N16" s="18" t="s">
        <v>86</v>
      </c>
      <c r="O16" s="18" t="s">
        <v>3055</v>
      </c>
      <c r="P16" s="18"/>
      <c r="Q16" s="18" t="n">
        <f aca="false">ROUND(0.59*1000,0)</f>
        <v>590</v>
      </c>
      <c r="R16" s="18"/>
      <c r="S16" s="18"/>
      <c r="T16" s="18"/>
      <c r="U16" s="18"/>
      <c r="V16" s="18" t="n">
        <f aca="false">ROUND(0.85*1000,0)</f>
        <v>850</v>
      </c>
      <c r="W16" s="18"/>
      <c r="X16" s="18"/>
      <c r="Y16" s="18"/>
      <c r="Z16" s="18"/>
      <c r="AA16" s="18"/>
      <c r="AB16" s="18" t="n">
        <v>3</v>
      </c>
      <c r="AC16" s="18" t="n">
        <v>3</v>
      </c>
      <c r="AD16" s="18" t="n">
        <f aca="false">IF(AND(N(AB16)&gt;0,N(AC16)&gt;0),SQRT(2*AB16/AC16),"")</f>
        <v>1.4142135623731</v>
      </c>
      <c r="AE16" s="18" t="n">
        <v>29</v>
      </c>
      <c r="AF16" s="18"/>
      <c r="AG16" s="18"/>
      <c r="AH16" s="18"/>
      <c r="AI16" s="18" t="n">
        <v>33.2</v>
      </c>
      <c r="AJ16" s="18" t="n">
        <v>40</v>
      </c>
      <c r="AK16" s="18"/>
      <c r="AL16" s="18"/>
      <c r="AM16" s="18"/>
      <c r="AN16" s="18"/>
      <c r="AO16" s="18"/>
      <c r="AP16" s="18" t="n">
        <v>16</v>
      </c>
      <c r="AQ16" s="18" t="n">
        <v>56</v>
      </c>
      <c r="AR16" s="18" t="s">
        <v>4136</v>
      </c>
      <c r="AS16" s="18" t="s">
        <v>3057</v>
      </c>
      <c r="AT16" s="18" t="s">
        <v>3058</v>
      </c>
      <c r="AU16" s="18" t="s">
        <v>3059</v>
      </c>
      <c r="AV16" s="18" t="s">
        <v>3709</v>
      </c>
      <c r="AW16" s="32" t="s">
        <v>4139</v>
      </c>
      <c r="AX16" s="18" t="s">
        <v>1112</v>
      </c>
      <c r="AY16" s="18" t="s">
        <v>4138</v>
      </c>
    </row>
    <row r="17" customFormat="false" ht="14.25" hidden="false" customHeight="true" outlineLevel="0" collapsed="false">
      <c r="A17" s="18" t="n">
        <v>172</v>
      </c>
      <c r="B17" s="18" t="n">
        <v>172</v>
      </c>
      <c r="C17" s="18" t="s">
        <v>1100</v>
      </c>
      <c r="D17" s="18" t="n">
        <v>2005</v>
      </c>
      <c r="E17" s="18" t="s">
        <v>1101</v>
      </c>
      <c r="F17" s="18" t="s">
        <v>3054</v>
      </c>
      <c r="G17" s="18" t="s">
        <v>1105</v>
      </c>
      <c r="H17" s="18" t="n">
        <v>33.2</v>
      </c>
      <c r="I17" s="18" t="n">
        <v>130.5</v>
      </c>
      <c r="J17" s="18" t="s">
        <v>921</v>
      </c>
      <c r="K17" s="18" t="n">
        <v>2003</v>
      </c>
      <c r="L17" s="18" t="s">
        <v>853</v>
      </c>
      <c r="M17" s="18" t="s">
        <v>85</v>
      </c>
      <c r="N17" s="18" t="s">
        <v>86</v>
      </c>
      <c r="O17" s="18" t="s">
        <v>3055</v>
      </c>
      <c r="P17" s="18"/>
      <c r="Q17" s="18" t="n">
        <f aca="false">ROUND(0.59*1000,0)</f>
        <v>590</v>
      </c>
      <c r="R17" s="18"/>
      <c r="S17" s="18"/>
      <c r="T17" s="18"/>
      <c r="U17" s="18"/>
      <c r="V17" s="18" t="n">
        <f aca="false">ROUND(0.85*1000,0)</f>
        <v>850</v>
      </c>
      <c r="W17" s="18"/>
      <c r="X17" s="18"/>
      <c r="Y17" s="18"/>
      <c r="Z17" s="18"/>
      <c r="AA17" s="18"/>
      <c r="AB17" s="18" t="n">
        <v>3</v>
      </c>
      <c r="AC17" s="18" t="n">
        <v>3</v>
      </c>
      <c r="AD17" s="18" t="n">
        <f aca="false">IF(AND(N(AB17)&gt;0,N(AC17)&gt;0),SQRT(2*AB17/AC17),"")</f>
        <v>1.4142135623731</v>
      </c>
      <c r="AE17" s="18" t="n">
        <v>29</v>
      </c>
      <c r="AF17" s="18"/>
      <c r="AG17" s="18"/>
      <c r="AH17" s="18"/>
      <c r="AI17" s="18" t="n">
        <v>33.2</v>
      </c>
      <c r="AJ17" s="18" t="n">
        <v>40</v>
      </c>
      <c r="AK17" s="18"/>
      <c r="AL17" s="18"/>
      <c r="AM17" s="18"/>
      <c r="AN17" s="18"/>
      <c r="AO17" s="18"/>
      <c r="AP17" s="18" t="n">
        <v>16</v>
      </c>
      <c r="AQ17" s="18" t="n">
        <v>56</v>
      </c>
      <c r="AR17" s="18" t="s">
        <v>4136</v>
      </c>
      <c r="AS17" s="18" t="s">
        <v>3057</v>
      </c>
      <c r="AT17" s="18" t="s">
        <v>3058</v>
      </c>
      <c r="AU17" s="18" t="s">
        <v>3059</v>
      </c>
      <c r="AV17" s="18" t="s">
        <v>3709</v>
      </c>
      <c r="AW17" s="32" t="s">
        <v>4140</v>
      </c>
      <c r="AX17" s="18" t="s">
        <v>1112</v>
      </c>
      <c r="AY17" s="18" t="s">
        <v>4138</v>
      </c>
    </row>
    <row r="18" customFormat="false" ht="14.25" hidden="false" customHeight="true" outlineLevel="0" collapsed="false">
      <c r="A18" s="18" t="n">
        <v>173</v>
      </c>
      <c r="B18" s="18" t="n">
        <v>173</v>
      </c>
      <c r="C18" s="18" t="s">
        <v>1133</v>
      </c>
      <c r="D18" s="18" t="n">
        <v>2023</v>
      </c>
      <c r="E18" s="18" t="s">
        <v>1134</v>
      </c>
      <c r="F18" s="18" t="s">
        <v>866</v>
      </c>
      <c r="G18" s="18" t="s">
        <v>1137</v>
      </c>
      <c r="H18" s="18" t="n">
        <v>28.633</v>
      </c>
      <c r="I18" s="18" t="n">
        <v>77.15</v>
      </c>
      <c r="J18" s="18" t="s">
        <v>83</v>
      </c>
      <c r="K18" s="18" t="n">
        <v>2020</v>
      </c>
      <c r="L18" s="18" t="s">
        <v>84</v>
      </c>
      <c r="M18" s="18" t="s">
        <v>85</v>
      </c>
      <c r="N18" s="18" t="s">
        <v>86</v>
      </c>
      <c r="O18" s="18" t="s">
        <v>2043</v>
      </c>
      <c r="P18" s="18" t="n">
        <v>187</v>
      </c>
      <c r="Q18" s="18" t="n">
        <v>160.8</v>
      </c>
      <c r="R18" s="18"/>
      <c r="S18" s="18" t="n">
        <v>173.3</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4121</v>
      </c>
      <c r="AS18" s="18" t="s">
        <v>2165</v>
      </c>
      <c r="AT18" s="18" t="s">
        <v>2166</v>
      </c>
      <c r="AU18" s="18" t="s">
        <v>2167</v>
      </c>
      <c r="AV18" s="18" t="s">
        <v>2115</v>
      </c>
      <c r="AW18" s="32" t="s">
        <v>4141</v>
      </c>
      <c r="AX18" s="18" t="s">
        <v>1148</v>
      </c>
      <c r="AY18" s="18" t="s">
        <v>4128</v>
      </c>
    </row>
    <row r="19" customFormat="false" ht="14.25" hidden="false" customHeight="true" outlineLevel="0" collapsed="false">
      <c r="A19" s="18" t="n">
        <v>173</v>
      </c>
      <c r="B19" s="18" t="n">
        <v>173</v>
      </c>
      <c r="C19" s="18" t="s">
        <v>1133</v>
      </c>
      <c r="D19" s="18" t="n">
        <v>2023</v>
      </c>
      <c r="E19" s="18" t="s">
        <v>1134</v>
      </c>
      <c r="F19" s="18" t="s">
        <v>866</v>
      </c>
      <c r="G19" s="18" t="s">
        <v>1137</v>
      </c>
      <c r="H19" s="18" t="n">
        <v>28.633</v>
      </c>
      <c r="I19" s="18" t="n">
        <v>77.15</v>
      </c>
      <c r="J19" s="18" t="s">
        <v>83</v>
      </c>
      <c r="K19" s="18" t="n">
        <v>2020</v>
      </c>
      <c r="L19" s="18" t="s">
        <v>84</v>
      </c>
      <c r="M19" s="18" t="s">
        <v>85</v>
      </c>
      <c r="N19" s="18" t="s">
        <v>86</v>
      </c>
      <c r="O19" s="18" t="s">
        <v>2043</v>
      </c>
      <c r="P19" s="18" t="n">
        <v>155.2</v>
      </c>
      <c r="Q19" s="18" t="n">
        <v>166.8</v>
      </c>
      <c r="R19" s="18"/>
      <c r="S19" s="18" t="n">
        <v>169.3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4121</v>
      </c>
      <c r="AS19" s="18" t="s">
        <v>2165</v>
      </c>
      <c r="AT19" s="18" t="s">
        <v>2166</v>
      </c>
      <c r="AU19" s="18" t="s">
        <v>2167</v>
      </c>
      <c r="AV19" s="18" t="s">
        <v>2115</v>
      </c>
      <c r="AW19" s="32" t="s">
        <v>4142</v>
      </c>
      <c r="AX19" s="18" t="s">
        <v>1148</v>
      </c>
      <c r="AY19" s="18" t="s">
        <v>4128</v>
      </c>
    </row>
    <row r="20" customFormat="false" ht="14.25" hidden="false" customHeight="true" outlineLevel="0" collapsed="false">
      <c r="A20" s="18" t="n">
        <v>173</v>
      </c>
      <c r="B20" s="18" t="n">
        <v>173</v>
      </c>
      <c r="C20" s="18" t="s">
        <v>1133</v>
      </c>
      <c r="D20" s="18" t="n">
        <v>2023</v>
      </c>
      <c r="E20" s="18" t="s">
        <v>1134</v>
      </c>
      <c r="F20" s="18" t="s">
        <v>866</v>
      </c>
      <c r="G20" s="18" t="s">
        <v>1137</v>
      </c>
      <c r="H20" s="18" t="n">
        <v>28.633</v>
      </c>
      <c r="I20" s="18" t="n">
        <v>77.15</v>
      </c>
      <c r="J20" s="18" t="s">
        <v>83</v>
      </c>
      <c r="K20" s="18" t="n">
        <v>2020</v>
      </c>
      <c r="L20" s="18" t="s">
        <v>84</v>
      </c>
      <c r="M20" s="18" t="s">
        <v>85</v>
      </c>
      <c r="N20" s="18" t="s">
        <v>86</v>
      </c>
      <c r="O20" s="18" t="s">
        <v>2043</v>
      </c>
      <c r="P20" s="18" t="n">
        <v>180.8</v>
      </c>
      <c r="Q20" s="18" t="n">
        <v>160.8</v>
      </c>
      <c r="R20" s="18"/>
      <c r="S20" s="18" t="n">
        <v>173.3</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4121</v>
      </c>
      <c r="AS20" s="18" t="s">
        <v>2165</v>
      </c>
      <c r="AT20" s="18" t="s">
        <v>2166</v>
      </c>
      <c r="AU20" s="18" t="s">
        <v>2167</v>
      </c>
      <c r="AV20" s="18" t="s">
        <v>2115</v>
      </c>
      <c r="AW20" s="32" t="s">
        <v>4143</v>
      </c>
      <c r="AX20" s="18" t="s">
        <v>1148</v>
      </c>
      <c r="AY20" s="18" t="s">
        <v>4128</v>
      </c>
    </row>
    <row r="21" customFormat="false" ht="14.25" hidden="false" customHeight="true" outlineLevel="0" collapsed="false">
      <c r="A21" s="18" t="n">
        <v>173</v>
      </c>
      <c r="B21" s="18" t="n">
        <v>173</v>
      </c>
      <c r="C21" s="18" t="s">
        <v>1133</v>
      </c>
      <c r="D21" s="18" t="n">
        <v>2023</v>
      </c>
      <c r="E21" s="18" t="s">
        <v>1134</v>
      </c>
      <c r="F21" s="18" t="s">
        <v>866</v>
      </c>
      <c r="G21" s="18" t="s">
        <v>1137</v>
      </c>
      <c r="H21" s="18" t="n">
        <v>28.633</v>
      </c>
      <c r="I21" s="18" t="n">
        <v>77.15</v>
      </c>
      <c r="J21" s="18" t="s">
        <v>83</v>
      </c>
      <c r="K21" s="18" t="n">
        <v>2020</v>
      </c>
      <c r="L21" s="18" t="s">
        <v>84</v>
      </c>
      <c r="M21" s="18" t="s">
        <v>85</v>
      </c>
      <c r="N21" s="18" t="s">
        <v>86</v>
      </c>
      <c r="O21" s="18" t="s">
        <v>2043</v>
      </c>
      <c r="P21" s="18" t="n">
        <v>209.8</v>
      </c>
      <c r="Q21" s="18" t="n">
        <v>166.8</v>
      </c>
      <c r="R21" s="18"/>
      <c r="S21" s="18" t="n">
        <v>169.3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4121</v>
      </c>
      <c r="AS21" s="18" t="s">
        <v>2165</v>
      </c>
      <c r="AT21" s="18" t="s">
        <v>2166</v>
      </c>
      <c r="AU21" s="18" t="s">
        <v>2167</v>
      </c>
      <c r="AV21" s="18" t="s">
        <v>2115</v>
      </c>
      <c r="AW21" s="32" t="s">
        <v>4144</v>
      </c>
      <c r="AX21" s="18" t="s">
        <v>1148</v>
      </c>
      <c r="AY21" s="18" t="s">
        <v>4128</v>
      </c>
    </row>
    <row r="22" customFormat="false" ht="14.25" hidden="false" customHeight="true" outlineLevel="0" collapsed="false">
      <c r="A22" s="18" t="n">
        <v>173</v>
      </c>
      <c r="B22" s="18" t="n">
        <v>173</v>
      </c>
      <c r="C22" s="18" t="s">
        <v>1133</v>
      </c>
      <c r="D22" s="18" t="n">
        <v>2023</v>
      </c>
      <c r="E22" s="18" t="s">
        <v>1134</v>
      </c>
      <c r="F22" s="18" t="s">
        <v>866</v>
      </c>
      <c r="G22" s="18" t="s">
        <v>1137</v>
      </c>
      <c r="H22" s="18" t="n">
        <v>28.633</v>
      </c>
      <c r="I22" s="18" t="n">
        <v>77.15</v>
      </c>
      <c r="J22" s="18" t="s">
        <v>83</v>
      </c>
      <c r="K22" s="18" t="n">
        <v>2020</v>
      </c>
      <c r="L22" s="18" t="s">
        <v>84</v>
      </c>
      <c r="M22" s="18" t="s">
        <v>85</v>
      </c>
      <c r="N22" s="18" t="s">
        <v>2050</v>
      </c>
      <c r="O22" s="18" t="s">
        <v>2051</v>
      </c>
      <c r="P22" s="18" t="n">
        <v>133.1</v>
      </c>
      <c r="Q22" s="18" t="n">
        <v>141.7</v>
      </c>
      <c r="R22" s="18"/>
      <c r="S22" s="18" t="n">
        <v>133.1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4121</v>
      </c>
      <c r="AS22" s="18" t="s">
        <v>2165</v>
      </c>
      <c r="AT22" s="18" t="s">
        <v>2166</v>
      </c>
      <c r="AU22" s="18" t="s">
        <v>2167</v>
      </c>
      <c r="AV22" s="18" t="s">
        <v>2115</v>
      </c>
      <c r="AW22" s="32" t="s">
        <v>4145</v>
      </c>
      <c r="AX22" s="18" t="s">
        <v>1148</v>
      </c>
      <c r="AY22" s="18" t="s">
        <v>4128</v>
      </c>
    </row>
    <row r="23" customFormat="false" ht="14.25" hidden="false" customHeight="true" outlineLevel="0" collapsed="false">
      <c r="A23" s="18" t="n">
        <v>173</v>
      </c>
      <c r="B23" s="18" t="n">
        <v>173</v>
      </c>
      <c r="C23" s="18" t="s">
        <v>1133</v>
      </c>
      <c r="D23" s="18" t="n">
        <v>2023</v>
      </c>
      <c r="E23" s="18" t="s">
        <v>1134</v>
      </c>
      <c r="F23" s="18" t="s">
        <v>866</v>
      </c>
      <c r="G23" s="18" t="s">
        <v>1137</v>
      </c>
      <c r="H23" s="18" t="n">
        <v>28.633</v>
      </c>
      <c r="I23" s="18" t="n">
        <v>77.15</v>
      </c>
      <c r="J23" s="18" t="s">
        <v>83</v>
      </c>
      <c r="K23" s="18" t="n">
        <v>2020</v>
      </c>
      <c r="L23" s="18" t="s">
        <v>84</v>
      </c>
      <c r="M23" s="18" t="s">
        <v>85</v>
      </c>
      <c r="N23" s="18" t="s">
        <v>2050</v>
      </c>
      <c r="O23" s="18" t="s">
        <v>2051</v>
      </c>
      <c r="P23" s="18" t="n">
        <v>157.6</v>
      </c>
      <c r="Q23" s="18" t="n">
        <v>141.6</v>
      </c>
      <c r="R23" s="18"/>
      <c r="S23" s="18" t="n">
        <v>116.4</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4121</v>
      </c>
      <c r="AS23" s="18" t="s">
        <v>2165</v>
      </c>
      <c r="AT23" s="18" t="s">
        <v>2166</v>
      </c>
      <c r="AU23" s="18" t="s">
        <v>2167</v>
      </c>
      <c r="AV23" s="18" t="s">
        <v>2115</v>
      </c>
      <c r="AW23" s="32" t="s">
        <v>4146</v>
      </c>
      <c r="AX23" s="18" t="s">
        <v>1148</v>
      </c>
      <c r="AY23" s="18" t="s">
        <v>4128</v>
      </c>
    </row>
    <row r="24" customFormat="false" ht="14.25" hidden="false" customHeight="true" outlineLevel="0" collapsed="false">
      <c r="A24" s="18" t="n">
        <v>173</v>
      </c>
      <c r="B24" s="18" t="n">
        <v>173</v>
      </c>
      <c r="C24" s="18" t="s">
        <v>1133</v>
      </c>
      <c r="D24" s="18" t="n">
        <v>2023</v>
      </c>
      <c r="E24" s="18" t="s">
        <v>1134</v>
      </c>
      <c r="F24" s="18" t="s">
        <v>866</v>
      </c>
      <c r="G24" s="18" t="s">
        <v>1137</v>
      </c>
      <c r="H24" s="18" t="n">
        <v>28.633</v>
      </c>
      <c r="I24" s="18" t="n">
        <v>77.15</v>
      </c>
      <c r="J24" s="18" t="s">
        <v>83</v>
      </c>
      <c r="K24" s="18" t="n">
        <v>2020</v>
      </c>
      <c r="L24" s="18" t="s">
        <v>84</v>
      </c>
      <c r="M24" s="18" t="s">
        <v>85</v>
      </c>
      <c r="N24" s="18" t="s">
        <v>2050</v>
      </c>
      <c r="O24" s="18" t="s">
        <v>2051</v>
      </c>
      <c r="P24" s="18" t="n">
        <v>158.2</v>
      </c>
      <c r="Q24" s="18" t="n">
        <v>141.7</v>
      </c>
      <c r="R24" s="18"/>
      <c r="S24" s="18" t="n">
        <v>133.1</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4121</v>
      </c>
      <c r="AS24" s="18" t="s">
        <v>2165</v>
      </c>
      <c r="AT24" s="18" t="s">
        <v>2166</v>
      </c>
      <c r="AU24" s="18" t="s">
        <v>2167</v>
      </c>
      <c r="AV24" s="18" t="s">
        <v>2115</v>
      </c>
      <c r="AW24" s="32" t="s">
        <v>4147</v>
      </c>
      <c r="AX24" s="18" t="s">
        <v>1148</v>
      </c>
      <c r="AY24" s="18" t="s">
        <v>4128</v>
      </c>
    </row>
    <row r="25" customFormat="false" ht="14.25" hidden="false" customHeight="true" outlineLevel="0" collapsed="false">
      <c r="A25" s="18" t="n">
        <v>173</v>
      </c>
      <c r="B25" s="18" t="n">
        <v>173</v>
      </c>
      <c r="C25" s="18" t="s">
        <v>1133</v>
      </c>
      <c r="D25" s="18" t="n">
        <v>2023</v>
      </c>
      <c r="E25" s="18" t="s">
        <v>1134</v>
      </c>
      <c r="F25" s="18" t="s">
        <v>866</v>
      </c>
      <c r="G25" s="18" t="s">
        <v>1137</v>
      </c>
      <c r="H25" s="18" t="n">
        <v>28.633</v>
      </c>
      <c r="I25" s="18" t="n">
        <v>77.15</v>
      </c>
      <c r="J25" s="18" t="s">
        <v>83</v>
      </c>
      <c r="K25" s="18" t="n">
        <v>2020</v>
      </c>
      <c r="L25" s="18" t="s">
        <v>84</v>
      </c>
      <c r="M25" s="18" t="s">
        <v>85</v>
      </c>
      <c r="N25" s="18" t="s">
        <v>2050</v>
      </c>
      <c r="O25" s="18" t="s">
        <v>2051</v>
      </c>
      <c r="P25" s="18" t="n">
        <v>157</v>
      </c>
      <c r="Q25" s="18" t="n">
        <v>141.6</v>
      </c>
      <c r="R25" s="18"/>
      <c r="S25" s="18" t="n">
        <v>116.4</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4121</v>
      </c>
      <c r="AS25" s="18" t="s">
        <v>2165</v>
      </c>
      <c r="AT25" s="18" t="s">
        <v>2166</v>
      </c>
      <c r="AU25" s="18" t="s">
        <v>2167</v>
      </c>
      <c r="AV25" s="18" t="s">
        <v>2115</v>
      </c>
      <c r="AW25" s="32" t="s">
        <v>4148</v>
      </c>
      <c r="AX25" s="18" t="s">
        <v>1148</v>
      </c>
      <c r="AY25" s="18" t="s">
        <v>4128</v>
      </c>
    </row>
    <row r="26" customFormat="false" ht="14.25" hidden="false" customHeight="true" outlineLevel="0" collapsed="false">
      <c r="A26" s="18" t="n">
        <v>173</v>
      </c>
      <c r="B26" s="18" t="n">
        <v>173</v>
      </c>
      <c r="C26" s="18" t="s">
        <v>1133</v>
      </c>
      <c r="D26" s="18" t="n">
        <v>2023</v>
      </c>
      <c r="E26" s="18" t="s">
        <v>1134</v>
      </c>
      <c r="F26" s="18" t="s">
        <v>866</v>
      </c>
      <c r="G26" s="18" t="s">
        <v>1137</v>
      </c>
      <c r="H26" s="18" t="n">
        <v>28.633</v>
      </c>
      <c r="I26" s="18" t="n">
        <v>77.15</v>
      </c>
      <c r="J26" s="18" t="s">
        <v>83</v>
      </c>
      <c r="K26" s="18" t="n">
        <v>2020</v>
      </c>
      <c r="L26" s="18" t="s">
        <v>84</v>
      </c>
      <c r="M26" s="18" t="s">
        <v>85</v>
      </c>
      <c r="N26" s="18" t="s">
        <v>2177</v>
      </c>
      <c r="O26" s="18" t="s">
        <v>2178</v>
      </c>
      <c r="P26" s="18" t="n">
        <v>120.1</v>
      </c>
      <c r="Q26" s="18" t="n">
        <v>123.8</v>
      </c>
      <c r="R26" s="18"/>
      <c r="S26" s="18" t="n">
        <v>127.5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4121</v>
      </c>
      <c r="AS26" s="18" t="s">
        <v>2165</v>
      </c>
      <c r="AT26" s="18" t="s">
        <v>2166</v>
      </c>
      <c r="AU26" s="18" t="s">
        <v>2167</v>
      </c>
      <c r="AV26" s="18" t="s">
        <v>2115</v>
      </c>
      <c r="AW26" s="32" t="s">
        <v>4149</v>
      </c>
      <c r="AX26" s="18" t="s">
        <v>1148</v>
      </c>
      <c r="AY26" s="18" t="s">
        <v>4128</v>
      </c>
    </row>
    <row r="27" customFormat="false" ht="14.25" hidden="false" customHeight="true" outlineLevel="0" collapsed="false">
      <c r="A27" s="18" t="n">
        <v>173</v>
      </c>
      <c r="B27" s="18" t="n">
        <v>173</v>
      </c>
      <c r="C27" s="18" t="s">
        <v>1133</v>
      </c>
      <c r="D27" s="18" t="n">
        <v>2023</v>
      </c>
      <c r="E27" s="18" t="s">
        <v>1134</v>
      </c>
      <c r="F27" s="18" t="s">
        <v>866</v>
      </c>
      <c r="G27" s="18" t="s">
        <v>1137</v>
      </c>
      <c r="H27" s="18" t="n">
        <v>28.633</v>
      </c>
      <c r="I27" s="18" t="n">
        <v>77.15</v>
      </c>
      <c r="J27" s="18" t="s">
        <v>83</v>
      </c>
      <c r="K27" s="18" t="n">
        <v>2020</v>
      </c>
      <c r="L27" s="18" t="s">
        <v>84</v>
      </c>
      <c r="M27" s="18" t="s">
        <v>85</v>
      </c>
      <c r="N27" s="18" t="s">
        <v>2177</v>
      </c>
      <c r="O27" s="18" t="s">
        <v>2178</v>
      </c>
      <c r="P27" s="18" t="n">
        <v>135</v>
      </c>
      <c r="Q27" s="18" t="n">
        <v>123.8</v>
      </c>
      <c r="R27" s="18"/>
      <c r="S27" s="18" t="n">
        <v>139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4121</v>
      </c>
      <c r="AS27" s="18" t="s">
        <v>2165</v>
      </c>
      <c r="AT27" s="18" t="s">
        <v>2166</v>
      </c>
      <c r="AU27" s="18" t="s">
        <v>2167</v>
      </c>
      <c r="AV27" s="18" t="s">
        <v>2115</v>
      </c>
      <c r="AW27" s="32" t="s">
        <v>4150</v>
      </c>
      <c r="AX27" s="18" t="s">
        <v>1148</v>
      </c>
      <c r="AY27" s="18" t="s">
        <v>4128</v>
      </c>
    </row>
    <row r="28" customFormat="false" ht="14.25" hidden="false" customHeight="true" outlineLevel="0" collapsed="false">
      <c r="A28" s="18" t="n">
        <v>173</v>
      </c>
      <c r="B28" s="18" t="n">
        <v>173</v>
      </c>
      <c r="C28" s="18" t="s">
        <v>1133</v>
      </c>
      <c r="D28" s="18" t="n">
        <v>2023</v>
      </c>
      <c r="E28" s="18" t="s">
        <v>1134</v>
      </c>
      <c r="F28" s="18" t="s">
        <v>866</v>
      </c>
      <c r="G28" s="18" t="s">
        <v>1137</v>
      </c>
      <c r="H28" s="18" t="n">
        <v>28.633</v>
      </c>
      <c r="I28" s="18" t="n">
        <v>77.15</v>
      </c>
      <c r="J28" s="18" t="s">
        <v>83</v>
      </c>
      <c r="K28" s="18" t="n">
        <v>2020</v>
      </c>
      <c r="L28" s="18" t="s">
        <v>84</v>
      </c>
      <c r="M28" s="18" t="s">
        <v>85</v>
      </c>
      <c r="N28" s="18" t="s">
        <v>2177</v>
      </c>
      <c r="O28" s="18" t="s">
        <v>2178</v>
      </c>
      <c r="P28" s="18" t="n">
        <v>140.4</v>
      </c>
      <c r="Q28" s="18" t="n">
        <v>123.8</v>
      </c>
      <c r="R28" s="18"/>
      <c r="S28" s="18" t="n">
        <v>127.5</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4121</v>
      </c>
      <c r="AS28" s="18" t="s">
        <v>2165</v>
      </c>
      <c r="AT28" s="18" t="s">
        <v>2166</v>
      </c>
      <c r="AU28" s="18" t="s">
        <v>2167</v>
      </c>
      <c r="AV28" s="18" t="s">
        <v>2115</v>
      </c>
      <c r="AW28" s="32" t="s">
        <v>4151</v>
      </c>
      <c r="AX28" s="18" t="s">
        <v>1148</v>
      </c>
      <c r="AY28" s="18" t="s">
        <v>4128</v>
      </c>
    </row>
    <row r="29" customFormat="false" ht="14.25" hidden="false" customHeight="true" outlineLevel="0" collapsed="false">
      <c r="A29" s="18" t="n">
        <v>173</v>
      </c>
      <c r="B29" s="18" t="n">
        <v>173</v>
      </c>
      <c r="C29" s="18" t="s">
        <v>1133</v>
      </c>
      <c r="D29" s="18" t="n">
        <v>2023</v>
      </c>
      <c r="E29" s="18" t="s">
        <v>1134</v>
      </c>
      <c r="F29" s="18" t="s">
        <v>866</v>
      </c>
      <c r="G29" s="18" t="s">
        <v>1137</v>
      </c>
      <c r="H29" s="18" t="n">
        <v>28.633</v>
      </c>
      <c r="I29" s="18" t="n">
        <v>77.15</v>
      </c>
      <c r="J29" s="18" t="s">
        <v>83</v>
      </c>
      <c r="K29" s="18" t="n">
        <v>2020</v>
      </c>
      <c r="L29" s="18" t="s">
        <v>84</v>
      </c>
      <c r="M29" s="18" t="s">
        <v>85</v>
      </c>
      <c r="N29" s="18" t="s">
        <v>2177</v>
      </c>
      <c r="O29" s="18" t="s">
        <v>2178</v>
      </c>
      <c r="P29" s="18" t="n">
        <v>143.4</v>
      </c>
      <c r="Q29" s="18" t="n">
        <v>123.8</v>
      </c>
      <c r="R29" s="18"/>
      <c r="S29" s="18" t="n">
        <v>139</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4121</v>
      </c>
      <c r="AS29" s="18" t="s">
        <v>2165</v>
      </c>
      <c r="AT29" s="18" t="s">
        <v>2166</v>
      </c>
      <c r="AU29" s="18" t="s">
        <v>2167</v>
      </c>
      <c r="AV29" s="18" t="s">
        <v>2115</v>
      </c>
      <c r="AW29" s="32" t="s">
        <v>4152</v>
      </c>
      <c r="AX29" s="18" t="s">
        <v>1148</v>
      </c>
      <c r="AY29" s="18" t="s">
        <v>4128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4153</v>
      </c>
      <c r="Q1" s="27" t="s">
        <v>4154</v>
      </c>
      <c r="R1" s="27" t="s">
        <v>4155</v>
      </c>
      <c r="S1" s="27" t="s">
        <v>4156</v>
      </c>
      <c r="T1" s="27" t="s">
        <v>4157</v>
      </c>
      <c r="U1" s="27" t="s">
        <v>4158</v>
      </c>
      <c r="V1" s="27" t="s">
        <v>4159</v>
      </c>
      <c r="W1" s="27" t="s">
        <v>4160</v>
      </c>
      <c r="X1" s="30" t="s">
        <v>4161</v>
      </c>
      <c r="Y1" s="30" t="s">
        <v>4162</v>
      </c>
      <c r="Z1" s="30" t="s">
        <v>4163</v>
      </c>
      <c r="AA1" s="30" t="s">
        <v>4164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s">
        <v>955</v>
      </c>
      <c r="B2" s="18" t="s">
        <v>955</v>
      </c>
      <c r="C2" s="18" t="s">
        <v>956</v>
      </c>
      <c r="D2" s="18" t="n">
        <v>2019</v>
      </c>
      <c r="E2" s="18" t="s">
        <v>3303</v>
      </c>
      <c r="F2" s="18" t="s">
        <v>942</v>
      </c>
      <c r="G2" s="18" t="s">
        <v>943</v>
      </c>
      <c r="H2" s="18" t="n">
        <v>29.7</v>
      </c>
      <c r="I2" s="18" t="n">
        <v>76.96</v>
      </c>
      <c r="J2" s="18" t="s">
        <v>83</v>
      </c>
      <c r="K2" s="18" t="n">
        <v>2013</v>
      </c>
      <c r="L2" s="18" t="s">
        <v>84</v>
      </c>
      <c r="M2" s="18" t="s">
        <v>85</v>
      </c>
      <c r="N2" s="18" t="s">
        <v>86</v>
      </c>
      <c r="O2" s="18" t="s">
        <v>2043</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4165</v>
      </c>
      <c r="AS2" s="18" t="s">
        <v>2337</v>
      </c>
      <c r="AT2" s="18" t="s">
        <v>3305</v>
      </c>
      <c r="AU2" s="18" t="s">
        <v>2339</v>
      </c>
      <c r="AV2" s="18" t="s">
        <v>91</v>
      </c>
      <c r="AW2" s="32" t="s">
        <v>4122</v>
      </c>
      <c r="AX2" s="18" t="s">
        <v>962</v>
      </c>
      <c r="AY2" s="18" t="s">
        <v>4166</v>
      </c>
      <c r="BA2" s="33" t="s">
        <v>1437</v>
      </c>
    </row>
    <row r="3" customFormat="false" ht="15" hidden="false" customHeight="true" outlineLevel="0" collapsed="false">
      <c r="A3" s="18" t="s">
        <v>955</v>
      </c>
      <c r="B3" s="18" t="s">
        <v>955</v>
      </c>
      <c r="C3" s="18" t="s">
        <v>956</v>
      </c>
      <c r="D3" s="18" t="n">
        <v>2019</v>
      </c>
      <c r="E3" s="18" t="s">
        <v>3303</v>
      </c>
      <c r="F3" s="18" t="s">
        <v>942</v>
      </c>
      <c r="G3" s="18" t="s">
        <v>943</v>
      </c>
      <c r="H3" s="18" t="n">
        <v>29.7</v>
      </c>
      <c r="I3" s="18" t="n">
        <v>76.96</v>
      </c>
      <c r="J3" s="18" t="s">
        <v>83</v>
      </c>
      <c r="K3" s="18" t="n">
        <v>2013</v>
      </c>
      <c r="L3" s="18" t="s">
        <v>84</v>
      </c>
      <c r="M3" s="18" t="s">
        <v>85</v>
      </c>
      <c r="N3" s="18" t="s">
        <v>2050</v>
      </c>
      <c r="O3" s="18" t="s">
        <v>2051</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4165</v>
      </c>
      <c r="AS3" s="18" t="s">
        <v>2337</v>
      </c>
      <c r="AT3" s="18" t="s">
        <v>3305</v>
      </c>
      <c r="AU3" s="18" t="s">
        <v>2339</v>
      </c>
      <c r="AV3" s="18" t="s">
        <v>91</v>
      </c>
      <c r="AW3" s="32" t="s">
        <v>4122</v>
      </c>
      <c r="AX3" s="18" t="s">
        <v>962</v>
      </c>
      <c r="AY3" s="18" t="s">
        <v>4166</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4167</v>
      </c>
      <c r="Q1" s="27" t="s">
        <v>4168</v>
      </c>
      <c r="R1" s="27" t="s">
        <v>4169</v>
      </c>
      <c r="S1" s="27" t="s">
        <v>4170</v>
      </c>
      <c r="T1" s="27" t="s">
        <v>4171</v>
      </c>
      <c r="U1" s="27" t="s">
        <v>4172</v>
      </c>
      <c r="V1" s="27" t="s">
        <v>4173</v>
      </c>
      <c r="W1" s="27" t="s">
        <v>4174</v>
      </c>
      <c r="X1" s="30" t="s">
        <v>4175</v>
      </c>
      <c r="Y1" s="30" t="s">
        <v>4176</v>
      </c>
      <c r="Z1" s="30" t="s">
        <v>4177</v>
      </c>
      <c r="AA1" s="30" t="s">
        <v>4178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4179</v>
      </c>
      <c r="Q1" s="27" t="s">
        <v>4180</v>
      </c>
      <c r="R1" s="27" t="s">
        <v>4181</v>
      </c>
      <c r="S1" s="27" t="s">
        <v>4182</v>
      </c>
      <c r="T1" s="27" t="s">
        <v>4183</v>
      </c>
      <c r="U1" s="27" t="s">
        <v>4184</v>
      </c>
      <c r="V1" s="27" t="s">
        <v>4185</v>
      </c>
      <c r="W1" s="27" t="s">
        <v>4186</v>
      </c>
      <c r="X1" s="30" t="s">
        <v>4187</v>
      </c>
      <c r="Y1" s="30" t="s">
        <v>4188</v>
      </c>
      <c r="Z1" s="30" t="s">
        <v>4189</v>
      </c>
      <c r="AA1" s="30" t="s">
        <v>4190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1441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4191</v>
      </c>
      <c r="Q1" s="27" t="s">
        <v>4192</v>
      </c>
      <c r="R1" s="27" t="s">
        <v>4193</v>
      </c>
      <c r="S1" s="27" t="s">
        <v>4194</v>
      </c>
      <c r="T1" s="27" t="s">
        <v>4195</v>
      </c>
      <c r="U1" s="27" t="s">
        <v>4196</v>
      </c>
      <c r="V1" s="27" t="s">
        <v>4197</v>
      </c>
      <c r="W1" s="27" t="s">
        <v>4198</v>
      </c>
      <c r="X1" s="30" t="s">
        <v>4199</v>
      </c>
      <c r="Y1" s="30" t="s">
        <v>4200</v>
      </c>
      <c r="Z1" s="30" t="s">
        <v>4201</v>
      </c>
      <c r="AA1" s="30" t="s">
        <v>4202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2317</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1443</v>
      </c>
      <c r="AS2" s="18" t="s">
        <v>4203</v>
      </c>
      <c r="AT2" s="18" t="s">
        <v>2045</v>
      </c>
      <c r="AU2" s="18" t="s">
        <v>2046</v>
      </c>
      <c r="AV2" s="18" t="s">
        <v>4204</v>
      </c>
      <c r="AW2" s="32" t="s">
        <v>4205</v>
      </c>
      <c r="AX2" s="18" t="s">
        <v>928</v>
      </c>
      <c r="AY2" s="18" t="s">
        <v>4206</v>
      </c>
      <c r="BA2" s="33" t="s">
        <v>1443</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2052</v>
      </c>
      <c r="L3" s="5" t="s">
        <v>872</v>
      </c>
      <c r="M3" s="5" t="s">
        <v>85</v>
      </c>
      <c r="N3" s="5" t="s">
        <v>86</v>
      </c>
      <c r="O3" s="5" t="s">
        <v>2979</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4207</v>
      </c>
      <c r="AS3" s="5" t="s">
        <v>2053</v>
      </c>
      <c r="AT3" s="5" t="s">
        <v>3511</v>
      </c>
      <c r="AU3" s="5" t="s">
        <v>2055</v>
      </c>
      <c r="AV3" s="5" t="s">
        <v>3173</v>
      </c>
      <c r="AW3" s="23" t="s">
        <v>4208</v>
      </c>
      <c r="AX3" s="5" t="s">
        <v>880</v>
      </c>
      <c r="AY3" s="5" t="s">
        <v>4209</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t="s">
        <v>86</v>
      </c>
      <c r="O4" s="5" t="s">
        <v>2979</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4207</v>
      </c>
      <c r="AS4" s="5" t="s">
        <v>2059</v>
      </c>
      <c r="AT4" s="5" t="s">
        <v>3511</v>
      </c>
      <c r="AU4" s="5" t="s">
        <v>2055</v>
      </c>
      <c r="AV4" s="5" t="s">
        <v>3173</v>
      </c>
      <c r="AW4" s="23" t="s">
        <v>4210</v>
      </c>
      <c r="AX4" s="5" t="s">
        <v>880</v>
      </c>
      <c r="AY4" s="5" t="s">
        <v>4209</v>
      </c>
    </row>
    <row r="5" customFormat="false" ht="15" hidden="false" customHeight="true" outlineLevel="0" collapsed="false">
      <c r="A5" s="18" t="s">
        <v>955</v>
      </c>
      <c r="B5" s="18" t="s">
        <v>955</v>
      </c>
      <c r="C5" s="18" t="s">
        <v>956</v>
      </c>
      <c r="D5" s="18" t="n">
        <v>2019</v>
      </c>
      <c r="E5" s="18" t="s">
        <v>3303</v>
      </c>
      <c r="F5" s="18" t="s">
        <v>942</v>
      </c>
      <c r="G5" s="18" t="s">
        <v>943</v>
      </c>
      <c r="H5" s="18" t="n">
        <v>29.7</v>
      </c>
      <c r="I5" s="18" t="n">
        <v>76.96</v>
      </c>
      <c r="J5" s="18" t="s">
        <v>83</v>
      </c>
      <c r="K5" s="18" t="n">
        <v>2013</v>
      </c>
      <c r="L5" s="18" t="s">
        <v>84</v>
      </c>
      <c r="M5" s="18" t="s">
        <v>85</v>
      </c>
      <c r="N5" s="18" t="s">
        <v>86</v>
      </c>
      <c r="O5" s="18" t="s">
        <v>2043</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4207</v>
      </c>
      <c r="AS5" s="18" t="s">
        <v>2337</v>
      </c>
      <c r="AT5" s="18" t="s">
        <v>3305</v>
      </c>
      <c r="AU5" s="18" t="s">
        <v>2339</v>
      </c>
      <c r="AV5" s="18" t="s">
        <v>2422</v>
      </c>
      <c r="AW5" s="32" t="s">
        <v>4211</v>
      </c>
      <c r="AX5" s="18" t="s">
        <v>962</v>
      </c>
      <c r="AY5" s="18" t="s">
        <v>4212</v>
      </c>
    </row>
    <row r="6" customFormat="false" ht="15" hidden="false" customHeight="true" outlineLevel="0" collapsed="false">
      <c r="A6" s="18" t="s">
        <v>955</v>
      </c>
      <c r="B6" s="18" t="s">
        <v>955</v>
      </c>
      <c r="C6" s="18" t="s">
        <v>956</v>
      </c>
      <c r="D6" s="18" t="n">
        <v>2019</v>
      </c>
      <c r="E6" s="18" t="s">
        <v>3303</v>
      </c>
      <c r="F6" s="18" t="s">
        <v>942</v>
      </c>
      <c r="G6" s="18" t="s">
        <v>943</v>
      </c>
      <c r="H6" s="18" t="n">
        <v>29.7</v>
      </c>
      <c r="I6" s="18" t="n">
        <v>76.96</v>
      </c>
      <c r="J6" s="18" t="s">
        <v>83</v>
      </c>
      <c r="K6" s="18" t="n">
        <v>2013</v>
      </c>
      <c r="L6" s="18" t="s">
        <v>84</v>
      </c>
      <c r="M6" s="18" t="s">
        <v>85</v>
      </c>
      <c r="N6" s="18" t="s">
        <v>2050</v>
      </c>
      <c r="O6" s="18" t="s">
        <v>2051</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4207</v>
      </c>
      <c r="AS6" s="18" t="s">
        <v>2337</v>
      </c>
      <c r="AT6" s="18" t="s">
        <v>3305</v>
      </c>
      <c r="AU6" s="18" t="s">
        <v>2339</v>
      </c>
      <c r="AV6" s="18" t="s">
        <v>2422</v>
      </c>
      <c r="AW6" s="32" t="s">
        <v>4213</v>
      </c>
      <c r="AX6" s="18" t="s">
        <v>962</v>
      </c>
      <c r="AY6" s="18" t="s">
        <v>4212</v>
      </c>
    </row>
    <row r="7" customFormat="false" ht="15" hidden="false" customHeight="true" outlineLevel="0" collapsed="false">
      <c r="A7" s="5" t="s">
        <v>1064</v>
      </c>
      <c r="B7" s="5" t="s">
        <v>1064</v>
      </c>
      <c r="C7" s="5" t="s">
        <v>1065</v>
      </c>
      <c r="D7" s="5" t="n">
        <v>2022</v>
      </c>
      <c r="E7" s="5" t="s">
        <v>80</v>
      </c>
      <c r="F7" s="5" t="s">
        <v>942</v>
      </c>
      <c r="G7" s="5" t="s">
        <v>943</v>
      </c>
      <c r="H7" s="5" t="n">
        <v>29.706</v>
      </c>
      <c r="I7" s="5" t="n">
        <v>76.956</v>
      </c>
      <c r="J7" s="5" t="s">
        <v>83</v>
      </c>
      <c r="K7" s="5" t="n">
        <v>2019</v>
      </c>
      <c r="L7" s="5" t="s">
        <v>84</v>
      </c>
      <c r="M7" s="5" t="s">
        <v>85</v>
      </c>
      <c r="N7" s="5" t="s">
        <v>86</v>
      </c>
      <c r="O7" s="5" t="s">
        <v>2097</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4207</v>
      </c>
      <c r="AS7" s="5" t="s">
        <v>2119</v>
      </c>
      <c r="AT7" s="5" t="s">
        <v>2120</v>
      </c>
      <c r="AU7" s="5" t="s">
        <v>2121</v>
      </c>
      <c r="AV7" s="5" t="s">
        <v>3709</v>
      </c>
      <c r="AW7" s="23" t="s">
        <v>4214</v>
      </c>
      <c r="AX7" s="5" t="s">
        <v>1076</v>
      </c>
      <c r="AY7" s="5" t="s">
        <v>4215</v>
      </c>
    </row>
    <row r="8" customFormat="false" ht="14.25" hidden="false" customHeight="true" outlineLevel="0" collapsed="false">
      <c r="A8" s="5" t="s">
        <v>1064</v>
      </c>
      <c r="B8" s="5" t="s">
        <v>1064</v>
      </c>
      <c r="C8" s="5" t="s">
        <v>1065</v>
      </c>
      <c r="D8" s="5" t="n">
        <v>2022</v>
      </c>
      <c r="E8" s="5" t="s">
        <v>80</v>
      </c>
      <c r="F8" s="5" t="s">
        <v>942</v>
      </c>
      <c r="G8" s="5" t="s">
        <v>943</v>
      </c>
      <c r="H8" s="5" t="n">
        <v>29.706</v>
      </c>
      <c r="I8" s="5" t="n">
        <v>76.956</v>
      </c>
      <c r="J8" s="5" t="s">
        <v>83</v>
      </c>
      <c r="K8" s="5" t="n">
        <v>2019</v>
      </c>
      <c r="L8" s="5" t="s">
        <v>84</v>
      </c>
      <c r="M8" s="5" t="s">
        <v>85</v>
      </c>
      <c r="N8" s="5" t="s">
        <v>86</v>
      </c>
      <c r="O8" s="5" t="s">
        <v>2124</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4207</v>
      </c>
      <c r="AS8" s="5" t="s">
        <v>2119</v>
      </c>
      <c r="AT8" s="5" t="s">
        <v>2120</v>
      </c>
      <c r="AU8" s="5" t="s">
        <v>2121</v>
      </c>
      <c r="AV8" s="5" t="s">
        <v>3709</v>
      </c>
      <c r="AW8" s="23" t="s">
        <v>4216</v>
      </c>
      <c r="AX8" s="5" t="s">
        <v>1076</v>
      </c>
      <c r="AY8" s="5" t="s">
        <v>4215</v>
      </c>
    </row>
    <row r="9" customFormat="false" ht="14.25" hidden="false" customHeight="true" outlineLevel="0" collapsed="false">
      <c r="A9" s="5" t="s">
        <v>1064</v>
      </c>
      <c r="B9" s="5" t="s">
        <v>1064</v>
      </c>
      <c r="C9" s="5" t="s">
        <v>1065</v>
      </c>
      <c r="D9" s="5" t="n">
        <v>2022</v>
      </c>
      <c r="E9" s="5" t="s">
        <v>80</v>
      </c>
      <c r="F9" s="5" t="s">
        <v>942</v>
      </c>
      <c r="G9" s="5" t="s">
        <v>943</v>
      </c>
      <c r="H9" s="5" t="n">
        <v>29.706</v>
      </c>
      <c r="I9" s="5" t="n">
        <v>76.956</v>
      </c>
      <c r="J9" s="5" t="s">
        <v>83</v>
      </c>
      <c r="K9" s="5" t="n">
        <v>2019</v>
      </c>
      <c r="L9" s="5" t="s">
        <v>84</v>
      </c>
      <c r="M9" s="5" t="s">
        <v>85</v>
      </c>
      <c r="N9" s="5" t="s">
        <v>2050</v>
      </c>
      <c r="O9" s="5" t="s">
        <v>2051</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4207</v>
      </c>
      <c r="AS9" s="5" t="s">
        <v>2119</v>
      </c>
      <c r="AT9" s="5" t="s">
        <v>2120</v>
      </c>
      <c r="AU9" s="5" t="s">
        <v>2121</v>
      </c>
      <c r="AV9" s="5" t="s">
        <v>3709</v>
      </c>
      <c r="AW9" s="23" t="s">
        <v>4217</v>
      </c>
      <c r="AX9" s="5" t="s">
        <v>1076</v>
      </c>
      <c r="AY9" s="5" t="s">
        <v>4215</v>
      </c>
    </row>
    <row r="10" customFormat="false" ht="14.25" hidden="false" customHeight="true" outlineLevel="0" collapsed="false">
      <c r="A10" s="18" t="n">
        <v>173</v>
      </c>
      <c r="B10" s="18" t="n">
        <v>173</v>
      </c>
      <c r="C10" s="18" t="s">
        <v>1133</v>
      </c>
      <c r="D10" s="18" t="n">
        <v>2023</v>
      </c>
      <c r="E10" s="18" t="s">
        <v>1134</v>
      </c>
      <c r="F10" s="18" t="s">
        <v>866</v>
      </c>
      <c r="G10" s="18" t="s">
        <v>1137</v>
      </c>
      <c r="H10" s="18" t="n">
        <v>28.633</v>
      </c>
      <c r="I10" s="18" t="n">
        <v>77.15</v>
      </c>
      <c r="J10" s="18" t="s">
        <v>83</v>
      </c>
      <c r="K10" s="18" t="n">
        <v>2020</v>
      </c>
      <c r="L10" s="18" t="s">
        <v>84</v>
      </c>
      <c r="M10" s="18" t="s">
        <v>85</v>
      </c>
      <c r="N10" s="18" t="s">
        <v>86</v>
      </c>
      <c r="O10" s="18" t="s">
        <v>2043</v>
      </c>
      <c r="P10" s="18" t="n">
        <f aca="false">ROUND(25.4/24,3)</f>
        <v>1.058</v>
      </c>
      <c r="Q10" s="18" t="n">
        <f aca="false">ROUND(23.5/24,3)</f>
        <v>0.979</v>
      </c>
      <c r="R10" s="18"/>
      <c r="S10" s="18" t="n">
        <f aca="false">ROUND(21.7/24,3)</f>
        <v>0.904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4207</v>
      </c>
      <c r="AS10" s="18" t="s">
        <v>2165</v>
      </c>
      <c r="AT10" s="18" t="s">
        <v>2166</v>
      </c>
      <c r="AU10" s="18" t="s">
        <v>2167</v>
      </c>
      <c r="AV10" s="18" t="s">
        <v>3038</v>
      </c>
      <c r="AW10" s="32" t="s">
        <v>4218</v>
      </c>
      <c r="AX10" s="18" t="s">
        <v>1148</v>
      </c>
      <c r="AY10" s="18" t="s">
        <v>4219</v>
      </c>
    </row>
    <row r="11" customFormat="false" ht="14.25" hidden="false" customHeight="true" outlineLevel="0" collapsed="false">
      <c r="A11" s="18" t="n">
        <v>173</v>
      </c>
      <c r="B11" s="18" t="n">
        <v>173</v>
      </c>
      <c r="C11" s="18" t="s">
        <v>1133</v>
      </c>
      <c r="D11" s="18" t="n">
        <v>2023</v>
      </c>
      <c r="E11" s="18" t="s">
        <v>1134</v>
      </c>
      <c r="F11" s="18" t="s">
        <v>866</v>
      </c>
      <c r="G11" s="18" t="s">
        <v>1137</v>
      </c>
      <c r="H11" s="18" t="n">
        <v>28.633</v>
      </c>
      <c r="I11" s="18" t="n">
        <v>77.15</v>
      </c>
      <c r="J11" s="18" t="s">
        <v>83</v>
      </c>
      <c r="K11" s="18" t="n">
        <v>2020</v>
      </c>
      <c r="L11" s="18" t="s">
        <v>84</v>
      </c>
      <c r="M11" s="18" t="s">
        <v>85</v>
      </c>
      <c r="N11" s="18" t="s">
        <v>86</v>
      </c>
      <c r="O11" s="18" t="s">
        <v>2043</v>
      </c>
      <c r="P11" s="18" t="n">
        <f aca="false">ROUND(26.3/24,3)</f>
        <v>1.096</v>
      </c>
      <c r="Q11" s="18" t="n">
        <f aca="false">ROUND(23.9/24,3)</f>
        <v>0.996</v>
      </c>
      <c r="R11" s="18"/>
      <c r="S11" s="18" t="n">
        <f aca="false">ROUND(19.4/24,3)</f>
        <v>0.808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4207</v>
      </c>
      <c r="AS11" s="18" t="s">
        <v>2165</v>
      </c>
      <c r="AT11" s="18" t="s">
        <v>2166</v>
      </c>
      <c r="AU11" s="18" t="s">
        <v>2167</v>
      </c>
      <c r="AV11" s="18" t="s">
        <v>3038</v>
      </c>
      <c r="AW11" s="32" t="s">
        <v>4220</v>
      </c>
      <c r="AX11" s="18" t="s">
        <v>1148</v>
      </c>
      <c r="AY11" s="18" t="s">
        <v>4219</v>
      </c>
    </row>
    <row r="12" customFormat="false" ht="14.25" hidden="false" customHeight="true" outlineLevel="0" collapsed="false">
      <c r="A12" s="18" t="n">
        <v>173</v>
      </c>
      <c r="B12" s="18" t="n">
        <v>173</v>
      </c>
      <c r="C12" s="18" t="s">
        <v>1133</v>
      </c>
      <c r="D12" s="18" t="n">
        <v>2023</v>
      </c>
      <c r="E12" s="18" t="s">
        <v>1134</v>
      </c>
      <c r="F12" s="18" t="s">
        <v>866</v>
      </c>
      <c r="G12" s="18" t="s">
        <v>1137</v>
      </c>
      <c r="H12" s="18" t="n">
        <v>28.633</v>
      </c>
      <c r="I12" s="18" t="n">
        <v>77.15</v>
      </c>
      <c r="J12" s="18" t="s">
        <v>83</v>
      </c>
      <c r="K12" s="18" t="n">
        <v>2020</v>
      </c>
      <c r="L12" s="18" t="s">
        <v>84</v>
      </c>
      <c r="M12" s="18" t="s">
        <v>85</v>
      </c>
      <c r="N12" s="18" t="s">
        <v>86</v>
      </c>
      <c r="O12" s="18" t="s">
        <v>2043</v>
      </c>
      <c r="P12" s="18" t="n">
        <f aca="false">ROUND(32.5/24,3)</f>
        <v>1.354</v>
      </c>
      <c r="Q12" s="18" t="n">
        <f aca="false">ROUND(23.5/24,3)</f>
        <v>0.979</v>
      </c>
      <c r="R12" s="18"/>
      <c r="S12" s="18" t="n">
        <f aca="false">ROUND(21.7/24,3)</f>
        <v>0.904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4207</v>
      </c>
      <c r="AS12" s="18" t="s">
        <v>2165</v>
      </c>
      <c r="AT12" s="18" t="s">
        <v>2166</v>
      </c>
      <c r="AU12" s="18" t="s">
        <v>2167</v>
      </c>
      <c r="AV12" s="18" t="s">
        <v>3038</v>
      </c>
      <c r="AW12" s="32" t="s">
        <v>4221</v>
      </c>
      <c r="AX12" s="18" t="s">
        <v>1148</v>
      </c>
      <c r="AY12" s="18" t="s">
        <v>4219</v>
      </c>
    </row>
    <row r="13" customFormat="false" ht="14.25" hidden="false" customHeight="true" outlineLevel="0" collapsed="false">
      <c r="A13" s="18" t="n">
        <v>173</v>
      </c>
      <c r="B13" s="18" t="n">
        <v>173</v>
      </c>
      <c r="C13" s="18" t="s">
        <v>1133</v>
      </c>
      <c r="D13" s="18" t="n">
        <v>2023</v>
      </c>
      <c r="E13" s="18" t="s">
        <v>1134</v>
      </c>
      <c r="F13" s="18" t="s">
        <v>866</v>
      </c>
      <c r="G13" s="18" t="s">
        <v>1137</v>
      </c>
      <c r="H13" s="18" t="n">
        <v>28.633</v>
      </c>
      <c r="I13" s="18" t="n">
        <v>77.15</v>
      </c>
      <c r="J13" s="18" t="s">
        <v>83</v>
      </c>
      <c r="K13" s="18" t="n">
        <v>2020</v>
      </c>
      <c r="L13" s="18" t="s">
        <v>84</v>
      </c>
      <c r="M13" s="18" t="s">
        <v>85</v>
      </c>
      <c r="N13" s="18" t="s">
        <v>86</v>
      </c>
      <c r="O13" s="18" t="s">
        <v>2043</v>
      </c>
      <c r="P13" s="18" t="n">
        <f aca="false">ROUND(35.1/24,3)</f>
        <v>1.463</v>
      </c>
      <c r="Q13" s="18" t="n">
        <f aca="false">ROUND(23.9/24,3)</f>
        <v>0.996</v>
      </c>
      <c r="R13" s="18"/>
      <c r="S13" s="18" t="n">
        <f aca="false">ROUND(19.4/24,3)</f>
        <v>0.808</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4207</v>
      </c>
      <c r="AS13" s="18" t="s">
        <v>2165</v>
      </c>
      <c r="AT13" s="18" t="s">
        <v>2166</v>
      </c>
      <c r="AU13" s="18" t="s">
        <v>2167</v>
      </c>
      <c r="AV13" s="18" t="s">
        <v>3038</v>
      </c>
      <c r="AW13" s="32" t="s">
        <v>4222</v>
      </c>
      <c r="AX13" s="18" t="s">
        <v>1148</v>
      </c>
      <c r="AY13" s="18" t="s">
        <v>4219</v>
      </c>
    </row>
    <row r="14" customFormat="false" ht="14.25" hidden="false" customHeight="true" outlineLevel="0" collapsed="false">
      <c r="A14" s="18" t="n">
        <v>173</v>
      </c>
      <c r="B14" s="18" t="n">
        <v>173</v>
      </c>
      <c r="C14" s="18" t="s">
        <v>1133</v>
      </c>
      <c r="D14" s="18" t="n">
        <v>2023</v>
      </c>
      <c r="E14" s="18" t="s">
        <v>1134</v>
      </c>
      <c r="F14" s="18" t="s">
        <v>866</v>
      </c>
      <c r="G14" s="18" t="s">
        <v>1137</v>
      </c>
      <c r="H14" s="18" t="n">
        <v>28.633</v>
      </c>
      <c r="I14" s="18" t="n">
        <v>77.15</v>
      </c>
      <c r="J14" s="18" t="s">
        <v>83</v>
      </c>
      <c r="K14" s="18" t="n">
        <v>2020</v>
      </c>
      <c r="L14" s="18" t="s">
        <v>84</v>
      </c>
      <c r="M14" s="18" t="s">
        <v>85</v>
      </c>
      <c r="N14" s="18" t="s">
        <v>2050</v>
      </c>
      <c r="O14" s="18" t="s">
        <v>2051</v>
      </c>
      <c r="P14" s="18" t="n">
        <f aca="false">ROUND(21.4/24,3)</f>
        <v>0.892</v>
      </c>
      <c r="Q14" s="18" t="n">
        <f aca="false">ROUND(16.8/24,3)</f>
        <v>0.7</v>
      </c>
      <c r="R14" s="18"/>
      <c r="S14" s="18" t="n">
        <f aca="false">ROUND(17.7/24,3)</f>
        <v>0.738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4207</v>
      </c>
      <c r="AS14" s="18" t="s">
        <v>2165</v>
      </c>
      <c r="AT14" s="18" t="s">
        <v>2166</v>
      </c>
      <c r="AU14" s="18" t="s">
        <v>2167</v>
      </c>
      <c r="AV14" s="18" t="s">
        <v>3038</v>
      </c>
      <c r="AW14" s="32" t="s">
        <v>4223</v>
      </c>
      <c r="AX14" s="18" t="s">
        <v>1148</v>
      </c>
      <c r="AY14" s="18" t="s">
        <v>4219</v>
      </c>
    </row>
    <row r="15" customFormat="false" ht="14.25" hidden="false" customHeight="true" outlineLevel="0" collapsed="false">
      <c r="A15" s="18" t="n">
        <v>173</v>
      </c>
      <c r="B15" s="18" t="n">
        <v>173</v>
      </c>
      <c r="C15" s="18" t="s">
        <v>1133</v>
      </c>
      <c r="D15" s="18" t="n">
        <v>2023</v>
      </c>
      <c r="E15" s="18" t="s">
        <v>1134</v>
      </c>
      <c r="F15" s="18" t="s">
        <v>866</v>
      </c>
      <c r="G15" s="18" t="s">
        <v>1137</v>
      </c>
      <c r="H15" s="18" t="n">
        <v>28.633</v>
      </c>
      <c r="I15" s="18" t="n">
        <v>77.15</v>
      </c>
      <c r="J15" s="18" t="s">
        <v>83</v>
      </c>
      <c r="K15" s="18" t="n">
        <v>2020</v>
      </c>
      <c r="L15" s="18" t="s">
        <v>84</v>
      </c>
      <c r="M15" s="18" t="s">
        <v>85</v>
      </c>
      <c r="N15" s="18" t="s">
        <v>2050</v>
      </c>
      <c r="O15" s="18" t="s">
        <v>2051</v>
      </c>
      <c r="P15" s="18" t="n">
        <f aca="false">ROUND(21/24,3)</f>
        <v>0.875</v>
      </c>
      <c r="Q15" s="18" t="n">
        <f aca="false">ROUND(17.7/24,3)</f>
        <v>0.738</v>
      </c>
      <c r="R15" s="18"/>
      <c r="S15" s="18" t="n">
        <f aca="false">ROUND(17.1/24,3)</f>
        <v>0.713</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4207</v>
      </c>
      <c r="AS15" s="18" t="s">
        <v>2165</v>
      </c>
      <c r="AT15" s="18" t="s">
        <v>2166</v>
      </c>
      <c r="AU15" s="18" t="s">
        <v>2167</v>
      </c>
      <c r="AV15" s="18" t="s">
        <v>3038</v>
      </c>
      <c r="AW15" s="32" t="s">
        <v>4224</v>
      </c>
      <c r="AX15" s="18" t="s">
        <v>1148</v>
      </c>
      <c r="AY15" s="18" t="s">
        <v>4219</v>
      </c>
    </row>
    <row r="16" customFormat="false" ht="14.25" hidden="false" customHeight="true" outlineLevel="0" collapsed="false">
      <c r="A16" s="18" t="n">
        <v>173</v>
      </c>
      <c r="B16" s="18" t="n">
        <v>173</v>
      </c>
      <c r="C16" s="18" t="s">
        <v>1133</v>
      </c>
      <c r="D16" s="18" t="n">
        <v>2023</v>
      </c>
      <c r="E16" s="18" t="s">
        <v>1134</v>
      </c>
      <c r="F16" s="18" t="s">
        <v>866</v>
      </c>
      <c r="G16" s="18" t="s">
        <v>1137</v>
      </c>
      <c r="H16" s="18" t="n">
        <v>28.633</v>
      </c>
      <c r="I16" s="18" t="n">
        <v>77.15</v>
      </c>
      <c r="J16" s="18" t="s">
        <v>83</v>
      </c>
      <c r="K16" s="18" t="n">
        <v>2020</v>
      </c>
      <c r="L16" s="18" t="s">
        <v>84</v>
      </c>
      <c r="M16" s="18" t="s">
        <v>85</v>
      </c>
      <c r="N16" s="18" t="s">
        <v>2050</v>
      </c>
      <c r="O16" s="18" t="s">
        <v>2051</v>
      </c>
      <c r="P16" s="18" t="n">
        <f aca="false">ROUND(27.3/24,3)</f>
        <v>1.138</v>
      </c>
      <c r="Q16" s="18" t="n">
        <f aca="false">ROUND(16.8/24,3)</f>
        <v>0.7</v>
      </c>
      <c r="R16" s="18"/>
      <c r="S16" s="18" t="n">
        <f aca="false">ROUND(17.7/24,3)</f>
        <v>0.738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4207</v>
      </c>
      <c r="AS16" s="18" t="s">
        <v>2165</v>
      </c>
      <c r="AT16" s="18" t="s">
        <v>2166</v>
      </c>
      <c r="AU16" s="18" t="s">
        <v>2167</v>
      </c>
      <c r="AV16" s="18" t="s">
        <v>3038</v>
      </c>
      <c r="AW16" s="32" t="s">
        <v>4225</v>
      </c>
      <c r="AX16" s="18" t="s">
        <v>1148</v>
      </c>
      <c r="AY16" s="18" t="s">
        <v>4219</v>
      </c>
    </row>
    <row r="17" customFormat="false" ht="14.25" hidden="false" customHeight="true" outlineLevel="0" collapsed="false">
      <c r="A17" s="18" t="n">
        <v>173</v>
      </c>
      <c r="B17" s="18" t="n">
        <v>173</v>
      </c>
      <c r="C17" s="18" t="s">
        <v>1133</v>
      </c>
      <c r="D17" s="18" t="n">
        <v>2023</v>
      </c>
      <c r="E17" s="18" t="s">
        <v>1134</v>
      </c>
      <c r="F17" s="18" t="s">
        <v>866</v>
      </c>
      <c r="G17" s="18" t="s">
        <v>1137</v>
      </c>
      <c r="H17" s="18" t="n">
        <v>28.633</v>
      </c>
      <c r="I17" s="18" t="n">
        <v>77.15</v>
      </c>
      <c r="J17" s="18" t="s">
        <v>83</v>
      </c>
      <c r="K17" s="18" t="n">
        <v>2020</v>
      </c>
      <c r="L17" s="18" t="s">
        <v>84</v>
      </c>
      <c r="M17" s="18" t="s">
        <v>85</v>
      </c>
      <c r="N17" s="18" t="s">
        <v>2050</v>
      </c>
      <c r="O17" s="18" t="s">
        <v>2051</v>
      </c>
      <c r="P17" s="18" t="n">
        <f aca="false">ROUND(30.2/24,3)</f>
        <v>1.258</v>
      </c>
      <c r="Q17" s="18" t="n">
        <f aca="false">ROUND(17.7/24,3)</f>
        <v>0.738</v>
      </c>
      <c r="R17" s="18"/>
      <c r="S17" s="18" t="n">
        <f aca="false">ROUND(17.1/24,3)</f>
        <v>0.713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4207</v>
      </c>
      <c r="AS17" s="18" t="s">
        <v>2165</v>
      </c>
      <c r="AT17" s="18" t="s">
        <v>2166</v>
      </c>
      <c r="AU17" s="18" t="s">
        <v>2167</v>
      </c>
      <c r="AV17" s="18" t="s">
        <v>3038</v>
      </c>
      <c r="AW17" s="32" t="s">
        <v>4226</v>
      </c>
      <c r="AX17" s="18" t="s">
        <v>1148</v>
      </c>
      <c r="AY17" s="18" t="s">
        <v>4219</v>
      </c>
    </row>
    <row r="18" customFormat="false" ht="14.25" hidden="false" customHeight="true" outlineLevel="0" collapsed="false">
      <c r="A18" s="18" t="n">
        <v>173</v>
      </c>
      <c r="B18" s="18" t="n">
        <v>173</v>
      </c>
      <c r="C18" s="18" t="s">
        <v>1133</v>
      </c>
      <c r="D18" s="18" t="n">
        <v>2023</v>
      </c>
      <c r="E18" s="18" t="s">
        <v>1134</v>
      </c>
      <c r="F18" s="18" t="s">
        <v>866</v>
      </c>
      <c r="G18" s="18" t="s">
        <v>1137</v>
      </c>
      <c r="H18" s="18" t="n">
        <v>28.633</v>
      </c>
      <c r="I18" s="18" t="n">
        <v>77.15</v>
      </c>
      <c r="J18" s="18" t="s">
        <v>83</v>
      </c>
      <c r="K18" s="18" t="n">
        <v>2020</v>
      </c>
      <c r="L18" s="18" t="s">
        <v>84</v>
      </c>
      <c r="M18" s="18" t="s">
        <v>85</v>
      </c>
      <c r="N18" s="18" t="s">
        <v>2177</v>
      </c>
      <c r="O18" s="18" t="s">
        <v>2178</v>
      </c>
      <c r="P18" s="18" t="n">
        <f aca="false">ROUND(14.4/24,3)</f>
        <v>0.6</v>
      </c>
      <c r="Q18" s="18" t="n">
        <f aca="false">ROUND(12.3/24,3)</f>
        <v>0.513</v>
      </c>
      <c r="R18" s="18"/>
      <c r="S18" s="18" t="n">
        <f aca="false">ROUND(16.5/24,3)</f>
        <v>0.688</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4207</v>
      </c>
      <c r="AS18" s="18" t="s">
        <v>2165</v>
      </c>
      <c r="AT18" s="18" t="s">
        <v>2166</v>
      </c>
      <c r="AU18" s="18" t="s">
        <v>2167</v>
      </c>
      <c r="AV18" s="18" t="s">
        <v>3038</v>
      </c>
      <c r="AW18" s="32" t="s">
        <v>4227</v>
      </c>
      <c r="AX18" s="18" t="s">
        <v>1148</v>
      </c>
      <c r="AY18" s="18" t="s">
        <v>4219</v>
      </c>
    </row>
    <row r="19" customFormat="false" ht="14.25" hidden="false" customHeight="true" outlineLevel="0" collapsed="false">
      <c r="A19" s="18" t="n">
        <v>173</v>
      </c>
      <c r="B19" s="18" t="n">
        <v>173</v>
      </c>
      <c r="C19" s="18" t="s">
        <v>1133</v>
      </c>
      <c r="D19" s="18" t="n">
        <v>2023</v>
      </c>
      <c r="E19" s="18" t="s">
        <v>1134</v>
      </c>
      <c r="F19" s="18" t="s">
        <v>866</v>
      </c>
      <c r="G19" s="18" t="s">
        <v>1137</v>
      </c>
      <c r="H19" s="18" t="n">
        <v>28.633</v>
      </c>
      <c r="I19" s="18" t="n">
        <v>77.15</v>
      </c>
      <c r="J19" s="18" t="s">
        <v>83</v>
      </c>
      <c r="K19" s="18" t="n">
        <v>2020</v>
      </c>
      <c r="L19" s="18" t="s">
        <v>84</v>
      </c>
      <c r="M19" s="18" t="s">
        <v>85</v>
      </c>
      <c r="N19" s="18" t="s">
        <v>2177</v>
      </c>
      <c r="O19" s="18" t="s">
        <v>2178</v>
      </c>
      <c r="P19" s="18" t="n">
        <f aca="false">ROUND(11.1/24,3)</f>
        <v>0.463</v>
      </c>
      <c r="Q19" s="18" t="n">
        <f aca="false">ROUND(12.5/24,3)</f>
        <v>0.521</v>
      </c>
      <c r="R19" s="18"/>
      <c r="S19" s="18" t="n">
        <f aca="false">ROUND(12.3/24,3)</f>
        <v>0.513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4207</v>
      </c>
      <c r="AS19" s="18" t="s">
        <v>2165</v>
      </c>
      <c r="AT19" s="18" t="s">
        <v>2166</v>
      </c>
      <c r="AU19" s="18" t="s">
        <v>2167</v>
      </c>
      <c r="AV19" s="18" t="s">
        <v>3038</v>
      </c>
      <c r="AW19" s="32" t="s">
        <v>4228</v>
      </c>
      <c r="AX19" s="18" t="s">
        <v>1148</v>
      </c>
      <c r="AY19" s="18" t="s">
        <v>4219</v>
      </c>
    </row>
    <row r="20" customFormat="false" ht="14.25" hidden="false" customHeight="true" outlineLevel="0" collapsed="false">
      <c r="A20" s="18" t="n">
        <v>173</v>
      </c>
      <c r="B20" s="18" t="n">
        <v>173</v>
      </c>
      <c r="C20" s="18" t="s">
        <v>1133</v>
      </c>
      <c r="D20" s="18" t="n">
        <v>2023</v>
      </c>
      <c r="E20" s="18" t="s">
        <v>1134</v>
      </c>
      <c r="F20" s="18" t="s">
        <v>866</v>
      </c>
      <c r="G20" s="18" t="s">
        <v>1137</v>
      </c>
      <c r="H20" s="18" t="n">
        <v>28.633</v>
      </c>
      <c r="I20" s="18" t="n">
        <v>77.15</v>
      </c>
      <c r="J20" s="18" t="s">
        <v>83</v>
      </c>
      <c r="K20" s="18" t="n">
        <v>2020</v>
      </c>
      <c r="L20" s="18" t="s">
        <v>84</v>
      </c>
      <c r="M20" s="18" t="s">
        <v>85</v>
      </c>
      <c r="N20" s="18" t="s">
        <v>2177</v>
      </c>
      <c r="O20" s="18" t="s">
        <v>2178</v>
      </c>
      <c r="P20" s="18" t="n">
        <f aca="false">ROUND(14.9/24,3)</f>
        <v>0.621</v>
      </c>
      <c r="Q20" s="18" t="n">
        <f aca="false">ROUND(12.3/24,3)</f>
        <v>0.513</v>
      </c>
      <c r="R20" s="18"/>
      <c r="S20" s="18" t="n">
        <f aca="false">ROUND(16.5/24,3)</f>
        <v>0.688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4207</v>
      </c>
      <c r="AS20" s="18" t="s">
        <v>2165</v>
      </c>
      <c r="AT20" s="18" t="s">
        <v>2166</v>
      </c>
      <c r="AU20" s="18" t="s">
        <v>2167</v>
      </c>
      <c r="AV20" s="18" t="s">
        <v>3038</v>
      </c>
      <c r="AW20" s="32" t="s">
        <v>4229</v>
      </c>
      <c r="AX20" s="18" t="s">
        <v>1148</v>
      </c>
      <c r="AY20" s="18" t="s">
        <v>4219</v>
      </c>
    </row>
    <row r="21" customFormat="false" ht="14.25" hidden="false" customHeight="true" outlineLevel="0" collapsed="false">
      <c r="A21" s="18" t="n">
        <v>173</v>
      </c>
      <c r="B21" s="18" t="n">
        <v>173</v>
      </c>
      <c r="C21" s="18" t="s">
        <v>1133</v>
      </c>
      <c r="D21" s="18" t="n">
        <v>2023</v>
      </c>
      <c r="E21" s="18" t="s">
        <v>1134</v>
      </c>
      <c r="F21" s="18" t="s">
        <v>866</v>
      </c>
      <c r="G21" s="18" t="s">
        <v>1137</v>
      </c>
      <c r="H21" s="18" t="n">
        <v>28.633</v>
      </c>
      <c r="I21" s="18" t="n">
        <v>77.15</v>
      </c>
      <c r="J21" s="18" t="s">
        <v>83</v>
      </c>
      <c r="K21" s="18" t="n">
        <v>2020</v>
      </c>
      <c r="L21" s="18" t="s">
        <v>84</v>
      </c>
      <c r="M21" s="18" t="s">
        <v>85</v>
      </c>
      <c r="N21" s="18" t="s">
        <v>2177</v>
      </c>
      <c r="O21" s="18" t="s">
        <v>2178</v>
      </c>
      <c r="P21" s="18" t="n">
        <f aca="false">ROUND(19.5/24,3)</f>
        <v>0.813</v>
      </c>
      <c r="Q21" s="18" t="n">
        <f aca="false">ROUND(12.5/24,3)</f>
        <v>0.521</v>
      </c>
      <c r="R21" s="18"/>
      <c r="S21" s="18" t="n">
        <f aca="false">ROUND(12.3/24,3)</f>
        <v>0.513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4207</v>
      </c>
      <c r="AS21" s="18" t="s">
        <v>2165</v>
      </c>
      <c r="AT21" s="18" t="s">
        <v>2166</v>
      </c>
      <c r="AU21" s="18" t="s">
        <v>2167</v>
      </c>
      <c r="AV21" s="18" t="s">
        <v>3038</v>
      </c>
      <c r="AW21" s="32" t="s">
        <v>4230</v>
      </c>
      <c r="AX21" s="18" t="s">
        <v>1148</v>
      </c>
      <c r="AY21" s="18" t="s">
        <v>4219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4231</v>
      </c>
      <c r="Q1" s="27" t="s">
        <v>4232</v>
      </c>
      <c r="R1" s="27" t="s">
        <v>4233</v>
      </c>
      <c r="S1" s="27" t="s">
        <v>4234</v>
      </c>
      <c r="T1" s="27" t="s">
        <v>4235</v>
      </c>
      <c r="U1" s="27" t="s">
        <v>4236</v>
      </c>
      <c r="V1" s="27" t="s">
        <v>4237</v>
      </c>
      <c r="W1" s="27" t="s">
        <v>4238</v>
      </c>
      <c r="X1" s="30" t="s">
        <v>4239</v>
      </c>
      <c r="Y1" s="30" t="s">
        <v>4240</v>
      </c>
      <c r="Z1" s="30" t="s">
        <v>4241</v>
      </c>
      <c r="AA1" s="30" t="s">
        <v>4242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1064</v>
      </c>
      <c r="B2" s="5" t="s">
        <v>1064</v>
      </c>
      <c r="C2" s="5" t="s">
        <v>1065</v>
      </c>
      <c r="D2" s="5" t="n">
        <v>2022</v>
      </c>
      <c r="E2" s="5" t="s">
        <v>80</v>
      </c>
      <c r="F2" s="5" t="s">
        <v>942</v>
      </c>
      <c r="G2" s="5" t="s">
        <v>943</v>
      </c>
      <c r="H2" s="5" t="n">
        <v>29.706</v>
      </c>
      <c r="I2" s="5" t="n">
        <v>76.956</v>
      </c>
      <c r="J2" s="5" t="s">
        <v>83</v>
      </c>
      <c r="K2" s="5" t="n">
        <v>2019</v>
      </c>
      <c r="L2" s="5" t="s">
        <v>84</v>
      </c>
      <c r="M2" s="5" t="s">
        <v>85</v>
      </c>
      <c r="N2" s="5" t="s">
        <v>86</v>
      </c>
      <c r="O2" s="5" t="s">
        <v>2097</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1446</v>
      </c>
      <c r="AS2" s="5" t="s">
        <v>2119</v>
      </c>
      <c r="AT2" s="5" t="s">
        <v>2120</v>
      </c>
      <c r="AU2" s="5" t="s">
        <v>2121</v>
      </c>
      <c r="AV2" s="5" t="s">
        <v>2047</v>
      </c>
      <c r="AW2" s="23" t="s">
        <v>4243</v>
      </c>
      <c r="AX2" s="5" t="s">
        <v>1076</v>
      </c>
      <c r="AY2" s="5" t="s">
        <v>4244</v>
      </c>
      <c r="BA2" s="33" t="s">
        <v>1446</v>
      </c>
    </row>
    <row r="3" customFormat="false" ht="14.25" hidden="false" customHeight="true" outlineLevel="0" collapsed="false">
      <c r="A3" s="5" t="s">
        <v>1064</v>
      </c>
      <c r="B3" s="5" t="s">
        <v>1064</v>
      </c>
      <c r="C3" s="5" t="s">
        <v>1065</v>
      </c>
      <c r="D3" s="5" t="n">
        <v>2022</v>
      </c>
      <c r="E3" s="5" t="s">
        <v>80</v>
      </c>
      <c r="F3" s="5" t="s">
        <v>942</v>
      </c>
      <c r="G3" s="5" t="s">
        <v>943</v>
      </c>
      <c r="H3" s="5" t="n">
        <v>29.706</v>
      </c>
      <c r="I3" s="5" t="n">
        <v>76.956</v>
      </c>
      <c r="J3" s="5" t="s">
        <v>83</v>
      </c>
      <c r="K3" s="5" t="n">
        <v>2019</v>
      </c>
      <c r="L3" s="5" t="s">
        <v>84</v>
      </c>
      <c r="M3" s="5" t="s">
        <v>85</v>
      </c>
      <c r="N3" s="5" t="s">
        <v>86</v>
      </c>
      <c r="O3" s="5" t="s">
        <v>2124</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1446</v>
      </c>
      <c r="AS3" s="5" t="s">
        <v>2119</v>
      </c>
      <c r="AT3" s="5" t="s">
        <v>2120</v>
      </c>
      <c r="AU3" s="5" t="s">
        <v>2121</v>
      </c>
      <c r="AV3" s="5" t="s">
        <v>2047</v>
      </c>
      <c r="AW3" s="23" t="s">
        <v>4245</v>
      </c>
      <c r="AX3" s="5" t="s">
        <v>1076</v>
      </c>
      <c r="AY3" s="5" t="s">
        <v>4244</v>
      </c>
    </row>
    <row r="4" customFormat="false" ht="14.25" hidden="false" customHeight="true" outlineLevel="0" collapsed="false">
      <c r="A4" s="5" t="s">
        <v>1064</v>
      </c>
      <c r="B4" s="5" t="s">
        <v>1064</v>
      </c>
      <c r="C4" s="5" t="s">
        <v>1065</v>
      </c>
      <c r="D4" s="5" t="n">
        <v>2022</v>
      </c>
      <c r="E4" s="5" t="s">
        <v>80</v>
      </c>
      <c r="F4" s="5" t="s">
        <v>942</v>
      </c>
      <c r="G4" s="5" t="s">
        <v>943</v>
      </c>
      <c r="H4" s="5" t="n">
        <v>29.706</v>
      </c>
      <c r="I4" s="5" t="n">
        <v>76.956</v>
      </c>
      <c r="J4" s="5" t="s">
        <v>83</v>
      </c>
      <c r="K4" s="5" t="n">
        <v>2019</v>
      </c>
      <c r="L4" s="5" t="s">
        <v>84</v>
      </c>
      <c r="M4" s="5" t="s">
        <v>85</v>
      </c>
      <c r="N4" s="5" t="s">
        <v>2050</v>
      </c>
      <c r="O4" s="5" t="s">
        <v>2051</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1446</v>
      </c>
      <c r="AS4" s="5" t="s">
        <v>2119</v>
      </c>
      <c r="AT4" s="5" t="s">
        <v>2120</v>
      </c>
      <c r="AU4" s="5" t="s">
        <v>2121</v>
      </c>
      <c r="AV4" s="5" t="s">
        <v>2047</v>
      </c>
      <c r="AW4" s="23" t="s">
        <v>4246</v>
      </c>
      <c r="AX4" s="5" t="s">
        <v>1076</v>
      </c>
      <c r="AY4" s="5" t="s">
        <v>4244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4247</v>
      </c>
      <c r="Q1" s="27" t="s">
        <v>4248</v>
      </c>
      <c r="R1" s="27" t="s">
        <v>4249</v>
      </c>
      <c r="S1" s="27" t="s">
        <v>4250</v>
      </c>
      <c r="T1" s="27" t="s">
        <v>4251</v>
      </c>
      <c r="U1" s="27" t="s">
        <v>4252</v>
      </c>
      <c r="V1" s="27" t="s">
        <v>4253</v>
      </c>
      <c r="W1" s="27" t="s">
        <v>4254</v>
      </c>
      <c r="X1" s="30" t="s">
        <v>4255</v>
      </c>
      <c r="Y1" s="30" t="s">
        <v>4256</v>
      </c>
      <c r="Z1" s="30" t="s">
        <v>4257</v>
      </c>
      <c r="AA1" s="30" t="s">
        <v>4258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2317</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1446</v>
      </c>
      <c r="AS2" s="18" t="s">
        <v>4203</v>
      </c>
      <c r="AT2" s="18" t="s">
        <v>2045</v>
      </c>
      <c r="AU2" s="18" t="s">
        <v>2046</v>
      </c>
      <c r="AV2" s="18" t="s">
        <v>2326</v>
      </c>
      <c r="AW2" s="32" t="s">
        <v>4259</v>
      </c>
      <c r="AX2" s="18" t="s">
        <v>928</v>
      </c>
      <c r="AY2" s="18" t="s">
        <v>4260</v>
      </c>
      <c r="BA2" s="33" t="s">
        <v>1449</v>
      </c>
    </row>
    <row r="3" customFormat="false" ht="14.25" hidden="false" customHeight="true" outlineLevel="0" collapsed="false">
      <c r="A3" s="5" t="s">
        <v>1064</v>
      </c>
      <c r="B3" s="5" t="s">
        <v>1064</v>
      </c>
      <c r="C3" s="5" t="s">
        <v>1065</v>
      </c>
      <c r="D3" s="5" t="n">
        <v>2022</v>
      </c>
      <c r="E3" s="5" t="s">
        <v>80</v>
      </c>
      <c r="F3" s="5" t="s">
        <v>942</v>
      </c>
      <c r="G3" s="5" t="s">
        <v>943</v>
      </c>
      <c r="H3" s="5" t="n">
        <v>29.706</v>
      </c>
      <c r="I3" s="5" t="n">
        <v>76.956</v>
      </c>
      <c r="J3" s="5" t="s">
        <v>83</v>
      </c>
      <c r="K3" s="5" t="n">
        <v>2019</v>
      </c>
      <c r="L3" s="5" t="s">
        <v>84</v>
      </c>
      <c r="M3" s="5" t="s">
        <v>85</v>
      </c>
      <c r="N3" s="5" t="s">
        <v>86</v>
      </c>
      <c r="O3" s="5" t="s">
        <v>2097</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1446</v>
      </c>
      <c r="AS3" s="5" t="s">
        <v>2119</v>
      </c>
      <c r="AT3" s="5" t="s">
        <v>2120</v>
      </c>
      <c r="AU3" s="5" t="s">
        <v>2121</v>
      </c>
      <c r="AV3" s="5" t="s">
        <v>2047</v>
      </c>
      <c r="AW3" s="23" t="s">
        <v>4261</v>
      </c>
      <c r="AX3" s="5" t="s">
        <v>1076</v>
      </c>
      <c r="AY3" s="5" t="s">
        <v>4262</v>
      </c>
    </row>
    <row r="4" customFormat="false" ht="14.25" hidden="false" customHeight="true" outlineLevel="0" collapsed="false">
      <c r="A4" s="5" t="s">
        <v>1064</v>
      </c>
      <c r="B4" s="5" t="s">
        <v>1064</v>
      </c>
      <c r="C4" s="5" t="s">
        <v>1065</v>
      </c>
      <c r="D4" s="5" t="n">
        <v>2022</v>
      </c>
      <c r="E4" s="5" t="s">
        <v>80</v>
      </c>
      <c r="F4" s="5" t="s">
        <v>942</v>
      </c>
      <c r="G4" s="5" t="s">
        <v>943</v>
      </c>
      <c r="H4" s="5" t="n">
        <v>29.706</v>
      </c>
      <c r="I4" s="5" t="n">
        <v>76.956</v>
      </c>
      <c r="J4" s="5" t="s">
        <v>83</v>
      </c>
      <c r="K4" s="5" t="n">
        <v>2019</v>
      </c>
      <c r="L4" s="5" t="s">
        <v>84</v>
      </c>
      <c r="M4" s="5" t="s">
        <v>85</v>
      </c>
      <c r="N4" s="5" t="s">
        <v>86</v>
      </c>
      <c r="O4" s="5" t="s">
        <v>2124</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1446</v>
      </c>
      <c r="AS4" s="5" t="s">
        <v>2119</v>
      </c>
      <c r="AT4" s="5" t="s">
        <v>2120</v>
      </c>
      <c r="AU4" s="5" t="s">
        <v>2121</v>
      </c>
      <c r="AV4" s="5" t="s">
        <v>2047</v>
      </c>
      <c r="AW4" s="23" t="s">
        <v>4263</v>
      </c>
      <c r="AX4" s="5" t="s">
        <v>1076</v>
      </c>
      <c r="AY4" s="5" t="s">
        <v>4262</v>
      </c>
    </row>
    <row r="5" customFormat="false" ht="14.25" hidden="false" customHeight="true" outlineLevel="0" collapsed="false">
      <c r="A5" s="5" t="s">
        <v>1064</v>
      </c>
      <c r="B5" s="5" t="s">
        <v>1064</v>
      </c>
      <c r="C5" s="5" t="s">
        <v>1065</v>
      </c>
      <c r="D5" s="5" t="n">
        <v>2022</v>
      </c>
      <c r="E5" s="5" t="s">
        <v>80</v>
      </c>
      <c r="F5" s="5" t="s">
        <v>942</v>
      </c>
      <c r="G5" s="5" t="s">
        <v>943</v>
      </c>
      <c r="H5" s="5" t="n">
        <v>29.706</v>
      </c>
      <c r="I5" s="5" t="n">
        <v>76.956</v>
      </c>
      <c r="J5" s="5" t="s">
        <v>83</v>
      </c>
      <c r="K5" s="5" t="n">
        <v>2019</v>
      </c>
      <c r="L5" s="5" t="s">
        <v>84</v>
      </c>
      <c r="M5" s="5" t="s">
        <v>85</v>
      </c>
      <c r="N5" s="5" t="s">
        <v>2050</v>
      </c>
      <c r="O5" s="5" t="s">
        <v>2051</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1446</v>
      </c>
      <c r="AS5" s="5" t="s">
        <v>2119</v>
      </c>
      <c r="AT5" s="5" t="s">
        <v>2120</v>
      </c>
      <c r="AU5" s="5" t="s">
        <v>2121</v>
      </c>
      <c r="AV5" s="5" t="s">
        <v>2047</v>
      </c>
      <c r="AW5" s="23" t="s">
        <v>4264</v>
      </c>
      <c r="AX5" s="5" t="s">
        <v>1076</v>
      </c>
      <c r="AY5" s="5" t="s">
        <v>4262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4265</v>
      </c>
      <c r="Q1" s="27" t="s">
        <v>4266</v>
      </c>
      <c r="R1" s="27" t="s">
        <v>4267</v>
      </c>
      <c r="S1" s="27" t="s">
        <v>4268</v>
      </c>
      <c r="T1" s="27" t="s">
        <v>4269</v>
      </c>
      <c r="U1" s="27" t="s">
        <v>4270</v>
      </c>
      <c r="V1" s="27" t="s">
        <v>4271</v>
      </c>
      <c r="W1" s="27" t="s">
        <v>4272</v>
      </c>
      <c r="X1" s="30" t="s">
        <v>4273</v>
      </c>
      <c r="Y1" s="30" t="s">
        <v>4274</v>
      </c>
      <c r="Z1" s="30" t="s">
        <v>4275</v>
      </c>
      <c r="AA1" s="30" t="s">
        <v>4276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2317</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1446</v>
      </c>
      <c r="AS2" s="18" t="s">
        <v>4203</v>
      </c>
      <c r="AT2" s="18" t="s">
        <v>2045</v>
      </c>
      <c r="AU2" s="18" t="s">
        <v>2046</v>
      </c>
      <c r="AV2" s="18" t="s">
        <v>2322</v>
      </c>
      <c r="AW2" s="32" t="s">
        <v>4277</v>
      </c>
      <c r="AX2" s="18" t="s">
        <v>928</v>
      </c>
      <c r="AY2" s="18" t="s">
        <v>4278</v>
      </c>
      <c r="BA2" s="34" t="s">
        <v>1452</v>
      </c>
    </row>
    <row r="3" customFormat="false" ht="15" hidden="false" customHeight="true" outlineLevel="0" collapsed="false">
      <c r="A3" s="18" t="s">
        <v>955</v>
      </c>
      <c r="B3" s="18" t="s">
        <v>955</v>
      </c>
      <c r="C3" s="18" t="s">
        <v>956</v>
      </c>
      <c r="D3" s="18" t="n">
        <v>2019</v>
      </c>
      <c r="E3" s="18" t="s">
        <v>3303</v>
      </c>
      <c r="F3" s="18" t="s">
        <v>942</v>
      </c>
      <c r="G3" s="18" t="s">
        <v>943</v>
      </c>
      <c r="H3" s="18" t="n">
        <v>29.7</v>
      </c>
      <c r="I3" s="18" t="n">
        <v>76.96</v>
      </c>
      <c r="J3" s="18" t="s">
        <v>83</v>
      </c>
      <c r="K3" s="18" t="n">
        <v>2013</v>
      </c>
      <c r="L3" s="18" t="s">
        <v>84</v>
      </c>
      <c r="M3" s="18" t="s">
        <v>85</v>
      </c>
      <c r="N3" s="18" t="s">
        <v>86</v>
      </c>
      <c r="O3" s="18" t="s">
        <v>2043</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1446</v>
      </c>
      <c r="AS3" s="18" t="s">
        <v>2337</v>
      </c>
      <c r="AT3" s="18" t="s">
        <v>3305</v>
      </c>
      <c r="AU3" s="18" t="s">
        <v>2339</v>
      </c>
      <c r="AV3" s="18" t="s">
        <v>91</v>
      </c>
      <c r="AW3" s="32" t="s">
        <v>4122</v>
      </c>
      <c r="AX3" s="18" t="s">
        <v>962</v>
      </c>
      <c r="AY3" s="18" t="s">
        <v>4279</v>
      </c>
    </row>
    <row r="4" customFormat="false" ht="15" hidden="false" customHeight="true" outlineLevel="0" collapsed="false">
      <c r="A4" s="18" t="s">
        <v>955</v>
      </c>
      <c r="B4" s="18" t="s">
        <v>955</v>
      </c>
      <c r="C4" s="18" t="s">
        <v>956</v>
      </c>
      <c r="D4" s="18" t="n">
        <v>2019</v>
      </c>
      <c r="E4" s="18" t="s">
        <v>3303</v>
      </c>
      <c r="F4" s="18" t="s">
        <v>942</v>
      </c>
      <c r="G4" s="18" t="s">
        <v>943</v>
      </c>
      <c r="H4" s="18" t="n">
        <v>29.7</v>
      </c>
      <c r="I4" s="18" t="n">
        <v>76.96</v>
      </c>
      <c r="J4" s="18" t="s">
        <v>83</v>
      </c>
      <c r="K4" s="18" t="n">
        <v>2013</v>
      </c>
      <c r="L4" s="18" t="s">
        <v>84</v>
      </c>
      <c r="M4" s="18" t="s">
        <v>85</v>
      </c>
      <c r="N4" s="18" t="s">
        <v>2050</v>
      </c>
      <c r="O4" s="18" t="s">
        <v>2051</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1446</v>
      </c>
      <c r="AS4" s="18" t="s">
        <v>2337</v>
      </c>
      <c r="AT4" s="18" t="s">
        <v>3305</v>
      </c>
      <c r="AU4" s="18" t="s">
        <v>2339</v>
      </c>
      <c r="AV4" s="18" t="s">
        <v>91</v>
      </c>
      <c r="AW4" s="32" t="s">
        <v>4122</v>
      </c>
      <c r="AX4" s="18" t="s">
        <v>962</v>
      </c>
      <c r="AY4" s="18" t="s">
        <v>4279</v>
      </c>
    </row>
    <row r="5" customFormat="false" ht="15" hidden="false" customHeight="true" outlineLevel="0" collapsed="false">
      <c r="A5" s="5" t="s">
        <v>1064</v>
      </c>
      <c r="B5" s="5" t="s">
        <v>1064</v>
      </c>
      <c r="C5" s="5" t="s">
        <v>1065</v>
      </c>
      <c r="D5" s="5" t="n">
        <v>2022</v>
      </c>
      <c r="E5" s="5" t="s">
        <v>80</v>
      </c>
      <c r="F5" s="5" t="s">
        <v>942</v>
      </c>
      <c r="G5" s="5" t="s">
        <v>943</v>
      </c>
      <c r="H5" s="5" t="n">
        <v>29.706</v>
      </c>
      <c r="I5" s="5" t="n">
        <v>76.956</v>
      </c>
      <c r="J5" s="5" t="s">
        <v>83</v>
      </c>
      <c r="K5" s="5" t="n">
        <v>2019</v>
      </c>
      <c r="L5" s="5" t="s">
        <v>84</v>
      </c>
      <c r="M5" s="5" t="s">
        <v>85</v>
      </c>
      <c r="N5" s="5" t="s">
        <v>86</v>
      </c>
      <c r="O5" s="5" t="s">
        <v>2097</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1446</v>
      </c>
      <c r="AS5" s="5" t="s">
        <v>2119</v>
      </c>
      <c r="AT5" s="5" t="s">
        <v>2120</v>
      </c>
      <c r="AU5" s="5" t="s">
        <v>2121</v>
      </c>
      <c r="AV5" s="5" t="s">
        <v>2047</v>
      </c>
      <c r="AW5" s="23" t="s">
        <v>4280</v>
      </c>
      <c r="AX5" s="5" t="s">
        <v>1076</v>
      </c>
      <c r="AY5" s="5" t="s">
        <v>4262</v>
      </c>
    </row>
    <row r="6" customFormat="false" ht="15" hidden="false" customHeight="true" outlineLevel="0" collapsed="false">
      <c r="A6" s="5" t="s">
        <v>1064</v>
      </c>
      <c r="B6" s="5" t="s">
        <v>1064</v>
      </c>
      <c r="C6" s="5" t="s">
        <v>1065</v>
      </c>
      <c r="D6" s="5" t="n">
        <v>2022</v>
      </c>
      <c r="E6" s="5" t="s">
        <v>80</v>
      </c>
      <c r="F6" s="5" t="s">
        <v>942</v>
      </c>
      <c r="G6" s="5" t="s">
        <v>943</v>
      </c>
      <c r="H6" s="5" t="n">
        <v>29.706</v>
      </c>
      <c r="I6" s="5" t="n">
        <v>76.956</v>
      </c>
      <c r="J6" s="5" t="s">
        <v>83</v>
      </c>
      <c r="K6" s="5" t="n">
        <v>2019</v>
      </c>
      <c r="L6" s="5" t="s">
        <v>84</v>
      </c>
      <c r="M6" s="5" t="s">
        <v>85</v>
      </c>
      <c r="N6" s="5" t="s">
        <v>86</v>
      </c>
      <c r="O6" s="5" t="s">
        <v>2124</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1446</v>
      </c>
      <c r="AS6" s="5" t="s">
        <v>2119</v>
      </c>
      <c r="AT6" s="5" t="s">
        <v>2120</v>
      </c>
      <c r="AU6" s="5" t="s">
        <v>2121</v>
      </c>
      <c r="AV6" s="5" t="s">
        <v>2047</v>
      </c>
      <c r="AW6" s="23" t="s">
        <v>4281</v>
      </c>
      <c r="AX6" s="5" t="s">
        <v>1076</v>
      </c>
      <c r="AY6" s="5" t="s">
        <v>4262</v>
      </c>
    </row>
    <row r="7" customFormat="false" ht="14.25" hidden="false" customHeight="true" outlineLevel="0" collapsed="false">
      <c r="A7" s="5" t="s">
        <v>1064</v>
      </c>
      <c r="B7" s="5" t="s">
        <v>1064</v>
      </c>
      <c r="C7" s="5" t="s">
        <v>1065</v>
      </c>
      <c r="D7" s="5" t="n">
        <v>2022</v>
      </c>
      <c r="E7" s="5" t="s">
        <v>80</v>
      </c>
      <c r="F7" s="5" t="s">
        <v>942</v>
      </c>
      <c r="G7" s="5" t="s">
        <v>943</v>
      </c>
      <c r="H7" s="5" t="n">
        <v>29.706</v>
      </c>
      <c r="I7" s="5" t="n">
        <v>76.956</v>
      </c>
      <c r="J7" s="5" t="s">
        <v>83</v>
      </c>
      <c r="K7" s="5" t="n">
        <v>2019</v>
      </c>
      <c r="L7" s="5" t="s">
        <v>84</v>
      </c>
      <c r="M7" s="5" t="s">
        <v>85</v>
      </c>
      <c r="N7" s="5" t="s">
        <v>2050</v>
      </c>
      <c r="O7" s="5" t="s">
        <v>2051</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1446</v>
      </c>
      <c r="AS7" s="5" t="s">
        <v>2119</v>
      </c>
      <c r="AT7" s="5" t="s">
        <v>2120</v>
      </c>
      <c r="AU7" s="5" t="s">
        <v>2121</v>
      </c>
      <c r="AV7" s="5" t="s">
        <v>2047</v>
      </c>
      <c r="AW7" s="23" t="s">
        <v>4282</v>
      </c>
      <c r="AX7" s="5" t="s">
        <v>1076</v>
      </c>
      <c r="AY7" s="5" t="s">
        <v>4262</v>
      </c>
    </row>
    <row r="8" customFormat="false" ht="14.25" hidden="false" customHeight="true" outlineLevel="0" collapsed="false">
      <c r="A8" s="18" t="n">
        <v>173</v>
      </c>
      <c r="B8" s="18" t="n">
        <v>173</v>
      </c>
      <c r="C8" s="18" t="s">
        <v>1133</v>
      </c>
      <c r="D8" s="18" t="n">
        <v>2023</v>
      </c>
      <c r="E8" s="18" t="s">
        <v>1134</v>
      </c>
      <c r="F8" s="18" t="s">
        <v>866</v>
      </c>
      <c r="G8" s="18" t="s">
        <v>1137</v>
      </c>
      <c r="H8" s="18" t="n">
        <v>28.633</v>
      </c>
      <c r="I8" s="18" t="n">
        <v>77.15</v>
      </c>
      <c r="J8" s="18" t="s">
        <v>83</v>
      </c>
      <c r="K8" s="18" t="n">
        <v>2020</v>
      </c>
      <c r="L8" s="18" t="s">
        <v>84</v>
      </c>
      <c r="M8" s="18" t="s">
        <v>85</v>
      </c>
      <c r="N8" s="18" t="s">
        <v>86</v>
      </c>
      <c r="O8" s="18" t="s">
        <v>2043</v>
      </c>
      <c r="P8" s="18" t="n">
        <v>72.4</v>
      </c>
      <c r="Q8" s="18" t="n">
        <v>58.9</v>
      </c>
      <c r="R8" s="18"/>
      <c r="S8" s="18" t="n">
        <v>61.9</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4283</v>
      </c>
      <c r="AS8" s="18" t="s">
        <v>2165</v>
      </c>
      <c r="AT8" s="18" t="s">
        <v>2166</v>
      </c>
      <c r="AU8" s="18" t="s">
        <v>2167</v>
      </c>
      <c r="AV8" s="18" t="s">
        <v>2115</v>
      </c>
      <c r="AW8" s="32" t="s">
        <v>4284</v>
      </c>
      <c r="AX8" s="18" t="s">
        <v>1148</v>
      </c>
      <c r="AY8" s="18" t="s">
        <v>4285</v>
      </c>
    </row>
    <row r="9" customFormat="false" ht="14.25" hidden="false" customHeight="true" outlineLevel="0" collapsed="false">
      <c r="A9" s="18" t="n">
        <v>173</v>
      </c>
      <c r="B9" s="18" t="n">
        <v>173</v>
      </c>
      <c r="C9" s="18" t="s">
        <v>1133</v>
      </c>
      <c r="D9" s="18" t="n">
        <v>2023</v>
      </c>
      <c r="E9" s="18" t="s">
        <v>1134</v>
      </c>
      <c r="F9" s="18" t="s">
        <v>866</v>
      </c>
      <c r="G9" s="18" t="s">
        <v>1137</v>
      </c>
      <c r="H9" s="18" t="n">
        <v>28.633</v>
      </c>
      <c r="I9" s="18" t="n">
        <v>77.15</v>
      </c>
      <c r="J9" s="18" t="s">
        <v>83</v>
      </c>
      <c r="K9" s="18" t="n">
        <v>2020</v>
      </c>
      <c r="L9" s="18" t="s">
        <v>84</v>
      </c>
      <c r="M9" s="18" t="s">
        <v>85</v>
      </c>
      <c r="N9" s="18" t="s">
        <v>86</v>
      </c>
      <c r="O9" s="18" t="s">
        <v>2043</v>
      </c>
      <c r="P9" s="18" t="n">
        <v>79.7</v>
      </c>
      <c r="Q9" s="18" t="n">
        <v>62.9</v>
      </c>
      <c r="R9" s="18"/>
      <c r="S9" s="18" t="n">
        <v>64.5</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4283</v>
      </c>
      <c r="AS9" s="18" t="s">
        <v>2165</v>
      </c>
      <c r="AT9" s="18" t="s">
        <v>2166</v>
      </c>
      <c r="AU9" s="18" t="s">
        <v>2167</v>
      </c>
      <c r="AV9" s="18" t="s">
        <v>2115</v>
      </c>
      <c r="AW9" s="32" t="s">
        <v>4286</v>
      </c>
      <c r="AX9" s="18" t="s">
        <v>1148</v>
      </c>
      <c r="AY9" s="18" t="s">
        <v>4285</v>
      </c>
    </row>
    <row r="10" customFormat="false" ht="14.25" hidden="false" customHeight="true" outlineLevel="0" collapsed="false">
      <c r="A10" s="18" t="n">
        <v>173</v>
      </c>
      <c r="B10" s="18" t="n">
        <v>173</v>
      </c>
      <c r="C10" s="18" t="s">
        <v>1133</v>
      </c>
      <c r="D10" s="18" t="n">
        <v>2023</v>
      </c>
      <c r="E10" s="18" t="s">
        <v>1134</v>
      </c>
      <c r="F10" s="18" t="s">
        <v>866</v>
      </c>
      <c r="G10" s="18" t="s">
        <v>1137</v>
      </c>
      <c r="H10" s="18" t="n">
        <v>28.633</v>
      </c>
      <c r="I10" s="18" t="n">
        <v>77.15</v>
      </c>
      <c r="J10" s="18" t="s">
        <v>83</v>
      </c>
      <c r="K10" s="18" t="n">
        <v>2020</v>
      </c>
      <c r="L10" s="18" t="s">
        <v>84</v>
      </c>
      <c r="M10" s="18" t="s">
        <v>85</v>
      </c>
      <c r="N10" s="18" t="s">
        <v>86</v>
      </c>
      <c r="O10" s="18" t="s">
        <v>2043</v>
      </c>
      <c r="P10" s="18" t="n">
        <v>88.9</v>
      </c>
      <c r="Q10" s="18" t="n">
        <v>58.9</v>
      </c>
      <c r="R10" s="18"/>
      <c r="S10" s="18" t="n">
        <v>61.9</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4283</v>
      </c>
      <c r="AS10" s="18" t="s">
        <v>2165</v>
      </c>
      <c r="AT10" s="18" t="s">
        <v>2166</v>
      </c>
      <c r="AU10" s="18" t="s">
        <v>2167</v>
      </c>
      <c r="AV10" s="18" t="s">
        <v>2115</v>
      </c>
      <c r="AW10" s="32" t="s">
        <v>4287</v>
      </c>
      <c r="AX10" s="18" t="s">
        <v>1148</v>
      </c>
      <c r="AY10" s="18" t="s">
        <v>4285</v>
      </c>
    </row>
    <row r="11" customFormat="false" ht="14.25" hidden="false" customHeight="true" outlineLevel="0" collapsed="false">
      <c r="A11" s="18" t="n">
        <v>173</v>
      </c>
      <c r="B11" s="18" t="n">
        <v>173</v>
      </c>
      <c r="C11" s="18" t="s">
        <v>1133</v>
      </c>
      <c r="D11" s="18" t="n">
        <v>2023</v>
      </c>
      <c r="E11" s="18" t="s">
        <v>1134</v>
      </c>
      <c r="F11" s="18" t="s">
        <v>866</v>
      </c>
      <c r="G11" s="18" t="s">
        <v>1137</v>
      </c>
      <c r="H11" s="18" t="n">
        <v>28.633</v>
      </c>
      <c r="I11" s="18" t="n">
        <v>77.15</v>
      </c>
      <c r="J11" s="18" t="s">
        <v>83</v>
      </c>
      <c r="K11" s="18" t="n">
        <v>2020</v>
      </c>
      <c r="L11" s="18" t="s">
        <v>84</v>
      </c>
      <c r="M11" s="18" t="s">
        <v>85</v>
      </c>
      <c r="N11" s="18" t="s">
        <v>86</v>
      </c>
      <c r="O11" s="18" t="s">
        <v>2043</v>
      </c>
      <c r="P11" s="18" t="n">
        <v>87.6</v>
      </c>
      <c r="Q11" s="18" t="n">
        <v>62.9</v>
      </c>
      <c r="R11" s="18"/>
      <c r="S11" s="18" t="n">
        <v>64.5</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4283</v>
      </c>
      <c r="AS11" s="18" t="s">
        <v>2165</v>
      </c>
      <c r="AT11" s="18" t="s">
        <v>2166</v>
      </c>
      <c r="AU11" s="18" t="s">
        <v>2167</v>
      </c>
      <c r="AV11" s="18" t="s">
        <v>2115</v>
      </c>
      <c r="AW11" s="32" t="s">
        <v>4288</v>
      </c>
      <c r="AX11" s="18" t="s">
        <v>1148</v>
      </c>
      <c r="AY11" s="18" t="s">
        <v>4285</v>
      </c>
    </row>
    <row r="12" customFormat="false" ht="14.25" hidden="false" customHeight="true" outlineLevel="0" collapsed="false">
      <c r="A12" s="18" t="n">
        <v>173</v>
      </c>
      <c r="B12" s="18" t="n">
        <v>173</v>
      </c>
      <c r="C12" s="18" t="s">
        <v>1133</v>
      </c>
      <c r="D12" s="18" t="n">
        <v>2023</v>
      </c>
      <c r="E12" s="18" t="s">
        <v>1134</v>
      </c>
      <c r="F12" s="18" t="s">
        <v>866</v>
      </c>
      <c r="G12" s="18" t="s">
        <v>1137</v>
      </c>
      <c r="H12" s="18" t="n">
        <v>28.633</v>
      </c>
      <c r="I12" s="18" t="n">
        <v>77.15</v>
      </c>
      <c r="J12" s="18" t="s">
        <v>83</v>
      </c>
      <c r="K12" s="18" t="n">
        <v>2020</v>
      </c>
      <c r="L12" s="18" t="s">
        <v>84</v>
      </c>
      <c r="M12" s="18" t="s">
        <v>85</v>
      </c>
      <c r="N12" s="18" t="s">
        <v>2050</v>
      </c>
      <c r="O12" s="18" t="s">
        <v>2051</v>
      </c>
      <c r="P12" s="18" t="n">
        <v>64</v>
      </c>
      <c r="Q12" s="18" t="n">
        <v>50.5</v>
      </c>
      <c r="R12" s="18"/>
      <c r="S12" s="18" t="n">
        <v>55.5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4283</v>
      </c>
      <c r="AS12" s="18" t="s">
        <v>2165</v>
      </c>
      <c r="AT12" s="18" t="s">
        <v>2166</v>
      </c>
      <c r="AU12" s="18" t="s">
        <v>2167</v>
      </c>
      <c r="AV12" s="18" t="s">
        <v>2115</v>
      </c>
      <c r="AW12" s="32" t="s">
        <v>4289</v>
      </c>
      <c r="AX12" s="18" t="s">
        <v>1148</v>
      </c>
      <c r="AY12" s="18" t="s">
        <v>4285</v>
      </c>
    </row>
    <row r="13" customFormat="false" ht="14.25" hidden="false" customHeight="true" outlineLevel="0" collapsed="false">
      <c r="A13" s="18" t="n">
        <v>173</v>
      </c>
      <c r="B13" s="18" t="n">
        <v>173</v>
      </c>
      <c r="C13" s="18" t="s">
        <v>1133</v>
      </c>
      <c r="D13" s="18" t="n">
        <v>2023</v>
      </c>
      <c r="E13" s="18" t="s">
        <v>1134</v>
      </c>
      <c r="F13" s="18" t="s">
        <v>866</v>
      </c>
      <c r="G13" s="18" t="s">
        <v>1137</v>
      </c>
      <c r="H13" s="18" t="n">
        <v>28.633</v>
      </c>
      <c r="I13" s="18" t="n">
        <v>77.15</v>
      </c>
      <c r="J13" s="18" t="s">
        <v>83</v>
      </c>
      <c r="K13" s="18" t="n">
        <v>2020</v>
      </c>
      <c r="L13" s="18" t="s">
        <v>84</v>
      </c>
      <c r="M13" s="18" t="s">
        <v>85</v>
      </c>
      <c r="N13" s="18" t="s">
        <v>2050</v>
      </c>
      <c r="O13" s="18" t="s">
        <v>2051</v>
      </c>
      <c r="P13" s="18" t="n">
        <v>68.2</v>
      </c>
      <c r="Q13" s="18" t="n">
        <v>55</v>
      </c>
      <c r="R13" s="18"/>
      <c r="S13" s="18" t="n">
        <v>52.9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4283</v>
      </c>
      <c r="AS13" s="18" t="s">
        <v>2165</v>
      </c>
      <c r="AT13" s="18" t="s">
        <v>2166</v>
      </c>
      <c r="AU13" s="18" t="s">
        <v>2167</v>
      </c>
      <c r="AV13" s="18" t="s">
        <v>2115</v>
      </c>
      <c r="AW13" s="32" t="s">
        <v>4290</v>
      </c>
      <c r="AX13" s="18" t="s">
        <v>1148</v>
      </c>
      <c r="AY13" s="18" t="s">
        <v>4285</v>
      </c>
    </row>
    <row r="14" customFormat="false" ht="14.25" hidden="false" customHeight="true" outlineLevel="0" collapsed="false">
      <c r="A14" s="18" t="n">
        <v>173</v>
      </c>
      <c r="B14" s="18" t="n">
        <v>173</v>
      </c>
      <c r="C14" s="18" t="s">
        <v>1133</v>
      </c>
      <c r="D14" s="18" t="n">
        <v>2023</v>
      </c>
      <c r="E14" s="18" t="s">
        <v>1134</v>
      </c>
      <c r="F14" s="18" t="s">
        <v>866</v>
      </c>
      <c r="G14" s="18" t="s">
        <v>1137</v>
      </c>
      <c r="H14" s="18" t="n">
        <v>28.633</v>
      </c>
      <c r="I14" s="18" t="n">
        <v>77.15</v>
      </c>
      <c r="J14" s="18" t="s">
        <v>83</v>
      </c>
      <c r="K14" s="18" t="n">
        <v>2020</v>
      </c>
      <c r="L14" s="18" t="s">
        <v>84</v>
      </c>
      <c r="M14" s="18" t="s">
        <v>85</v>
      </c>
      <c r="N14" s="18" t="s">
        <v>2050</v>
      </c>
      <c r="O14" s="18" t="s">
        <v>2051</v>
      </c>
      <c r="P14" s="18" t="n">
        <v>78.2</v>
      </c>
      <c r="Q14" s="18" t="n">
        <v>50.5</v>
      </c>
      <c r="R14" s="18"/>
      <c r="S14" s="18" t="n">
        <v>55.5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4283</v>
      </c>
      <c r="AS14" s="18" t="s">
        <v>2165</v>
      </c>
      <c r="AT14" s="18" t="s">
        <v>2166</v>
      </c>
      <c r="AU14" s="18" t="s">
        <v>2167</v>
      </c>
      <c r="AV14" s="18" t="s">
        <v>2115</v>
      </c>
      <c r="AW14" s="32" t="s">
        <v>4291</v>
      </c>
      <c r="AX14" s="18" t="s">
        <v>1148</v>
      </c>
      <c r="AY14" s="18" t="s">
        <v>4285</v>
      </c>
    </row>
    <row r="15" customFormat="false" ht="14.25" hidden="false" customHeight="true" outlineLevel="0" collapsed="false">
      <c r="A15" s="18" t="n">
        <v>173</v>
      </c>
      <c r="B15" s="18" t="n">
        <v>173</v>
      </c>
      <c r="C15" s="18" t="s">
        <v>1133</v>
      </c>
      <c r="D15" s="18" t="n">
        <v>2023</v>
      </c>
      <c r="E15" s="18" t="s">
        <v>1134</v>
      </c>
      <c r="F15" s="18" t="s">
        <v>866</v>
      </c>
      <c r="G15" s="18" t="s">
        <v>1137</v>
      </c>
      <c r="H15" s="18" t="n">
        <v>28.633</v>
      </c>
      <c r="I15" s="18" t="n">
        <v>77.15</v>
      </c>
      <c r="J15" s="18" t="s">
        <v>83</v>
      </c>
      <c r="K15" s="18" t="n">
        <v>2020</v>
      </c>
      <c r="L15" s="18" t="s">
        <v>84</v>
      </c>
      <c r="M15" s="18" t="s">
        <v>85</v>
      </c>
      <c r="N15" s="18" t="s">
        <v>2050</v>
      </c>
      <c r="O15" s="18" t="s">
        <v>2051</v>
      </c>
      <c r="P15" s="18" t="n">
        <v>81.1</v>
      </c>
      <c r="Q15" s="18" t="n">
        <v>55</v>
      </c>
      <c r="R15" s="18"/>
      <c r="S15" s="18" t="n">
        <v>52.9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4283</v>
      </c>
      <c r="AS15" s="18" t="s">
        <v>2165</v>
      </c>
      <c r="AT15" s="18" t="s">
        <v>2166</v>
      </c>
      <c r="AU15" s="18" t="s">
        <v>2167</v>
      </c>
      <c r="AV15" s="18" t="s">
        <v>2115</v>
      </c>
      <c r="AW15" s="32" t="s">
        <v>4292</v>
      </c>
      <c r="AX15" s="18" t="s">
        <v>1148</v>
      </c>
      <c r="AY15" s="18" t="s">
        <v>4285</v>
      </c>
    </row>
    <row r="16" customFormat="false" ht="14.25" hidden="false" customHeight="true" outlineLevel="0" collapsed="false">
      <c r="A16" s="18" t="n">
        <v>173</v>
      </c>
      <c r="B16" s="18" t="n">
        <v>173</v>
      </c>
      <c r="C16" s="18" t="s">
        <v>1133</v>
      </c>
      <c r="D16" s="18" t="n">
        <v>2023</v>
      </c>
      <c r="E16" s="18" t="s">
        <v>1134</v>
      </c>
      <c r="F16" s="18" t="s">
        <v>866</v>
      </c>
      <c r="G16" s="18" t="s">
        <v>1137</v>
      </c>
      <c r="H16" s="18" t="n">
        <v>28.633</v>
      </c>
      <c r="I16" s="18" t="n">
        <v>77.15</v>
      </c>
      <c r="J16" s="18" t="s">
        <v>83</v>
      </c>
      <c r="K16" s="18" t="n">
        <v>2020</v>
      </c>
      <c r="L16" s="18" t="s">
        <v>84</v>
      </c>
      <c r="M16" s="18" t="s">
        <v>85</v>
      </c>
      <c r="N16" s="18" t="s">
        <v>2177</v>
      </c>
      <c r="O16" s="18" t="s">
        <v>2178</v>
      </c>
      <c r="P16" s="18" t="n">
        <v>51.5</v>
      </c>
      <c r="Q16" s="18" t="n">
        <v>43</v>
      </c>
      <c r="R16" s="18"/>
      <c r="S16" s="18" t="n">
        <v>51.4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4283</v>
      </c>
      <c r="AS16" s="18" t="s">
        <v>2165</v>
      </c>
      <c r="AT16" s="18" t="s">
        <v>2166</v>
      </c>
      <c r="AU16" s="18" t="s">
        <v>2167</v>
      </c>
      <c r="AV16" s="18" t="s">
        <v>2115</v>
      </c>
      <c r="AW16" s="32" t="s">
        <v>4293</v>
      </c>
      <c r="AX16" s="18" t="s">
        <v>1148</v>
      </c>
      <c r="AY16" s="18" t="s">
        <v>4285</v>
      </c>
    </row>
    <row r="17" customFormat="false" ht="14.25" hidden="false" customHeight="true" outlineLevel="0" collapsed="false">
      <c r="A17" s="18" t="n">
        <v>173</v>
      </c>
      <c r="B17" s="18" t="n">
        <v>173</v>
      </c>
      <c r="C17" s="18" t="s">
        <v>1133</v>
      </c>
      <c r="D17" s="18" t="n">
        <v>2023</v>
      </c>
      <c r="E17" s="18" t="s">
        <v>1134</v>
      </c>
      <c r="F17" s="18" t="s">
        <v>866</v>
      </c>
      <c r="G17" s="18" t="s">
        <v>1137</v>
      </c>
      <c r="H17" s="18" t="n">
        <v>28.633</v>
      </c>
      <c r="I17" s="18" t="n">
        <v>77.15</v>
      </c>
      <c r="J17" s="18" t="s">
        <v>83</v>
      </c>
      <c r="K17" s="18" t="n">
        <v>2020</v>
      </c>
      <c r="L17" s="18" t="s">
        <v>84</v>
      </c>
      <c r="M17" s="18" t="s">
        <v>85</v>
      </c>
      <c r="N17" s="18" t="s">
        <v>2177</v>
      </c>
      <c r="O17" s="18" t="s">
        <v>2178</v>
      </c>
      <c r="P17" s="18" t="n">
        <v>48.6</v>
      </c>
      <c r="Q17" s="18" t="n">
        <v>42.5</v>
      </c>
      <c r="R17" s="18"/>
      <c r="S17" s="18" t="n">
        <v>44.8</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4283</v>
      </c>
      <c r="AS17" s="18" t="s">
        <v>2165</v>
      </c>
      <c r="AT17" s="18" t="s">
        <v>2166</v>
      </c>
      <c r="AU17" s="18" t="s">
        <v>2167</v>
      </c>
      <c r="AV17" s="18" t="s">
        <v>2115</v>
      </c>
      <c r="AW17" s="32" t="s">
        <v>4294</v>
      </c>
      <c r="AX17" s="18" t="s">
        <v>1148</v>
      </c>
      <c r="AY17" s="18" t="s">
        <v>4285</v>
      </c>
    </row>
    <row r="18" customFormat="false" ht="14.25" hidden="false" customHeight="true" outlineLevel="0" collapsed="false">
      <c r="A18" s="18" t="n">
        <v>173</v>
      </c>
      <c r="B18" s="18" t="n">
        <v>173</v>
      </c>
      <c r="C18" s="18" t="s">
        <v>1133</v>
      </c>
      <c r="D18" s="18" t="n">
        <v>2023</v>
      </c>
      <c r="E18" s="18" t="s">
        <v>1134</v>
      </c>
      <c r="F18" s="18" t="s">
        <v>866</v>
      </c>
      <c r="G18" s="18" t="s">
        <v>1137</v>
      </c>
      <c r="H18" s="18" t="n">
        <v>28.633</v>
      </c>
      <c r="I18" s="18" t="n">
        <v>77.15</v>
      </c>
      <c r="J18" s="18" t="s">
        <v>83</v>
      </c>
      <c r="K18" s="18" t="n">
        <v>2020</v>
      </c>
      <c r="L18" s="18" t="s">
        <v>84</v>
      </c>
      <c r="M18" s="18" t="s">
        <v>85</v>
      </c>
      <c r="N18" s="18" t="s">
        <v>2177</v>
      </c>
      <c r="O18" s="18" t="s">
        <v>2178</v>
      </c>
      <c r="P18" s="18" t="n">
        <v>55.8</v>
      </c>
      <c r="Q18" s="18" t="n">
        <v>43</v>
      </c>
      <c r="R18" s="18"/>
      <c r="S18" s="18" t="n">
        <v>51.4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4283</v>
      </c>
      <c r="AS18" s="18" t="s">
        <v>2165</v>
      </c>
      <c r="AT18" s="18" t="s">
        <v>2166</v>
      </c>
      <c r="AU18" s="18" t="s">
        <v>2167</v>
      </c>
      <c r="AV18" s="18" t="s">
        <v>2115</v>
      </c>
      <c r="AW18" s="32" t="s">
        <v>4295</v>
      </c>
      <c r="AX18" s="18" t="s">
        <v>1148</v>
      </c>
      <c r="AY18" s="18" t="s">
        <v>4285</v>
      </c>
    </row>
    <row r="19" customFormat="false" ht="14.25" hidden="false" customHeight="true" outlineLevel="0" collapsed="false">
      <c r="A19" s="18" t="n">
        <v>173</v>
      </c>
      <c r="B19" s="18" t="n">
        <v>173</v>
      </c>
      <c r="C19" s="18" t="s">
        <v>1133</v>
      </c>
      <c r="D19" s="18" t="n">
        <v>2023</v>
      </c>
      <c r="E19" s="18" t="s">
        <v>1134</v>
      </c>
      <c r="F19" s="18" t="s">
        <v>866</v>
      </c>
      <c r="G19" s="18" t="s">
        <v>1137</v>
      </c>
      <c r="H19" s="18" t="n">
        <v>28.633</v>
      </c>
      <c r="I19" s="18" t="n">
        <v>77.15</v>
      </c>
      <c r="J19" s="18" t="s">
        <v>83</v>
      </c>
      <c r="K19" s="18" t="n">
        <v>2020</v>
      </c>
      <c r="L19" s="18" t="s">
        <v>84</v>
      </c>
      <c r="M19" s="18" t="s">
        <v>85</v>
      </c>
      <c r="N19" s="18" t="s">
        <v>2177</v>
      </c>
      <c r="O19" s="18" t="s">
        <v>2178</v>
      </c>
      <c r="P19" s="18" t="n">
        <v>53.3</v>
      </c>
      <c r="Q19" s="18" t="n">
        <v>42.5</v>
      </c>
      <c r="R19" s="18"/>
      <c r="S19" s="18" t="n">
        <v>44.8</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4283</v>
      </c>
      <c r="AS19" s="18" t="s">
        <v>2165</v>
      </c>
      <c r="AT19" s="18" t="s">
        <v>2166</v>
      </c>
      <c r="AU19" s="18" t="s">
        <v>2167</v>
      </c>
      <c r="AV19" s="18" t="s">
        <v>2115</v>
      </c>
      <c r="AW19" s="32" t="s">
        <v>4296</v>
      </c>
      <c r="AX19" s="18" t="s">
        <v>1148</v>
      </c>
      <c r="AY19" s="18" t="s">
        <v>4285</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4297</v>
      </c>
      <c r="Q1" s="27" t="s">
        <v>4298</v>
      </c>
      <c r="R1" s="27" t="s">
        <v>4299</v>
      </c>
      <c r="S1" s="27" t="s">
        <v>4300</v>
      </c>
      <c r="T1" s="27" t="s">
        <v>4301</v>
      </c>
      <c r="U1" s="27" t="s">
        <v>4302</v>
      </c>
      <c r="V1" s="27" t="s">
        <v>4303</v>
      </c>
      <c r="W1" s="27" t="s">
        <v>4304</v>
      </c>
      <c r="X1" s="30" t="s">
        <v>4305</v>
      </c>
      <c r="Y1" s="30" t="s">
        <v>4306</v>
      </c>
      <c r="Z1" s="30" t="s">
        <v>4307</v>
      </c>
      <c r="AA1" s="30" t="s">
        <v>4308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1" t="s">
        <v>1455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4309</v>
      </c>
      <c r="Q1" s="27" t="s">
        <v>4310</v>
      </c>
      <c r="R1" s="27" t="s">
        <v>4311</v>
      </c>
      <c r="S1" s="27" t="s">
        <v>4312</v>
      </c>
      <c r="T1" s="27" t="s">
        <v>4313</v>
      </c>
      <c r="U1" s="27" t="s">
        <v>4314</v>
      </c>
      <c r="V1" s="27" t="s">
        <v>4315</v>
      </c>
      <c r="W1" s="27" t="s">
        <v>4316</v>
      </c>
      <c r="X1" s="30" t="s">
        <v>4317</v>
      </c>
      <c r="Y1" s="30" t="s">
        <v>4318</v>
      </c>
      <c r="Z1" s="30" t="s">
        <v>4319</v>
      </c>
      <c r="AA1" s="30" t="s">
        <v>4320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4321</v>
      </c>
      <c r="Q1" s="27" t="s">
        <v>4322</v>
      </c>
      <c r="R1" s="27" t="s">
        <v>4323</v>
      </c>
      <c r="S1" s="27" t="s">
        <v>4324</v>
      </c>
      <c r="T1" s="27" t="s">
        <v>4325</v>
      </c>
      <c r="U1" s="27" t="s">
        <v>4326</v>
      </c>
      <c r="V1" s="27" t="s">
        <v>4327</v>
      </c>
      <c r="W1" s="27" t="s">
        <v>4328</v>
      </c>
      <c r="X1" s="30" t="s">
        <v>4329</v>
      </c>
      <c r="Y1" s="30" t="s">
        <v>4330</v>
      </c>
      <c r="Z1" s="30" t="s">
        <v>4331</v>
      </c>
      <c r="AA1" s="30" t="s">
        <v>4332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4333</v>
      </c>
      <c r="Q1" s="27" t="s">
        <v>4334</v>
      </c>
      <c r="R1" s="27" t="s">
        <v>4335</v>
      </c>
      <c r="S1" s="27" t="s">
        <v>4336</v>
      </c>
      <c r="T1" s="27" t="s">
        <v>4337</v>
      </c>
      <c r="U1" s="27" t="s">
        <v>4338</v>
      </c>
      <c r="V1" s="27" t="s">
        <v>4339</v>
      </c>
      <c r="W1" s="27" t="s">
        <v>4340</v>
      </c>
      <c r="X1" s="30" t="s">
        <v>4341</v>
      </c>
      <c r="Y1" s="30" t="s">
        <v>4342</v>
      </c>
      <c r="Z1" s="30" t="s">
        <v>4343</v>
      </c>
      <c r="AA1" s="30" t="s">
        <v>4344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4345</v>
      </c>
      <c r="Q1" s="27" t="s">
        <v>4346</v>
      </c>
      <c r="R1" s="27" t="s">
        <v>4347</v>
      </c>
      <c r="S1" s="27" t="s">
        <v>4348</v>
      </c>
      <c r="T1" s="27" t="s">
        <v>4349</v>
      </c>
      <c r="U1" s="27" t="s">
        <v>4350</v>
      </c>
      <c r="V1" s="27" t="s">
        <v>4351</v>
      </c>
      <c r="W1" s="27" t="s">
        <v>4352</v>
      </c>
      <c r="X1" s="30" t="s">
        <v>4353</v>
      </c>
      <c r="Y1" s="30" t="s">
        <v>4354</v>
      </c>
      <c r="Z1" s="30" t="s">
        <v>4355</v>
      </c>
      <c r="AA1" s="30" t="s">
        <v>4356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4357</v>
      </c>
      <c r="Q1" s="27" t="s">
        <v>4358</v>
      </c>
      <c r="R1" s="27" t="s">
        <v>4359</v>
      </c>
      <c r="S1" s="27" t="s">
        <v>4360</v>
      </c>
      <c r="T1" s="27" t="s">
        <v>4361</v>
      </c>
      <c r="U1" s="27" t="s">
        <v>4362</v>
      </c>
      <c r="V1" s="27" t="s">
        <v>4363</v>
      </c>
      <c r="W1" s="27" t="s">
        <v>4364</v>
      </c>
      <c r="X1" s="30" t="s">
        <v>4365</v>
      </c>
      <c r="Y1" s="30" t="s">
        <v>4366</v>
      </c>
      <c r="Z1" s="30" t="s">
        <v>4367</v>
      </c>
      <c r="AA1" s="30" t="s">
        <v>4368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18" t="n">
        <v>168</v>
      </c>
      <c r="B2" s="18" t="n">
        <v>168</v>
      </c>
      <c r="C2" s="18" t="s">
        <v>913</v>
      </c>
      <c r="D2" s="18" t="n">
        <v>2020</v>
      </c>
      <c r="E2" s="18" t="s">
        <v>914</v>
      </c>
      <c r="F2" s="18" t="s">
        <v>917</v>
      </c>
      <c r="G2" s="18" t="s">
        <v>918</v>
      </c>
      <c r="H2" s="18" t="n">
        <v>30.933</v>
      </c>
      <c r="I2" s="18" t="n">
        <v>75.867</v>
      </c>
      <c r="J2" s="18" t="s">
        <v>921</v>
      </c>
      <c r="K2" s="18" t="n">
        <v>2016</v>
      </c>
      <c r="L2" s="18" t="s">
        <v>84</v>
      </c>
      <c r="M2" s="18" t="s">
        <v>85</v>
      </c>
      <c r="N2" s="18" t="s">
        <v>86</v>
      </c>
      <c r="O2" s="18" t="s">
        <v>2317</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4369</v>
      </c>
      <c r="AS2" s="18" t="s">
        <v>4203</v>
      </c>
      <c r="AT2" s="18" t="s">
        <v>2045</v>
      </c>
      <c r="AU2" s="18" t="s">
        <v>2046</v>
      </c>
      <c r="AV2" s="18" t="s">
        <v>4370</v>
      </c>
      <c r="AW2" s="32" t="s">
        <v>4371</v>
      </c>
      <c r="AX2" s="18" t="s">
        <v>928</v>
      </c>
      <c r="AY2" s="18" t="s">
        <v>4372</v>
      </c>
      <c r="BA2" s="33" t="s">
        <v>1465</v>
      </c>
    </row>
    <row r="3" customFormat="false" ht="15" hidden="false" customHeight="true" outlineLevel="0" collapsed="false">
      <c r="A3" s="18" t="n">
        <v>173</v>
      </c>
      <c r="B3" s="18" t="n">
        <v>173</v>
      </c>
      <c r="C3" s="18" t="s">
        <v>1133</v>
      </c>
      <c r="D3" s="18" t="n">
        <v>2023</v>
      </c>
      <c r="E3" s="18" t="s">
        <v>1134</v>
      </c>
      <c r="F3" s="18" t="s">
        <v>866</v>
      </c>
      <c r="G3" s="18" t="s">
        <v>1137</v>
      </c>
      <c r="H3" s="18" t="n">
        <v>28.633</v>
      </c>
      <c r="I3" s="18" t="n">
        <v>77.15</v>
      </c>
      <c r="J3" s="18" t="s">
        <v>83</v>
      </c>
      <c r="K3" s="18" t="n">
        <v>2020</v>
      </c>
      <c r="L3" s="18" t="s">
        <v>84</v>
      </c>
      <c r="M3" s="18" t="s">
        <v>85</v>
      </c>
      <c r="N3" s="18" t="s">
        <v>86</v>
      </c>
      <c r="O3" s="18" t="s">
        <v>2043</v>
      </c>
      <c r="P3" s="18" t="n">
        <f aca="false">ROUND(1.58*60/28,3)</f>
        <v>3.386</v>
      </c>
      <c r="Q3" s="18" t="n">
        <f aca="false">ROUND(1.27*60/28,3)</f>
        <v>2.721</v>
      </c>
      <c r="R3" s="18"/>
      <c r="S3" s="18" t="n">
        <f aca="false">ROUND(1.5*60/28,3)</f>
        <v>3.214</v>
      </c>
      <c r="T3" s="18"/>
      <c r="U3" s="18"/>
      <c r="V3" s="18"/>
      <c r="W3" s="18"/>
      <c r="X3" s="18"/>
      <c r="Y3" s="18"/>
      <c r="Z3" s="18"/>
      <c r="AA3" s="18"/>
      <c r="AB3" s="18" t="n">
        <v>2</v>
      </c>
      <c r="AC3" s="18" t="n">
        <v>3</v>
      </c>
      <c r="AD3" s="18" t="n">
        <f aca="false">IF(AND(N(AB3)&gt;0,N(AC3)&gt;0),SQRT(2*AB3/AC3),"")</f>
        <v>1.15470053837925</v>
      </c>
      <c r="AE3" s="18"/>
      <c r="AF3" s="18" t="n">
        <v>5</v>
      </c>
      <c r="AG3" s="18" t="n">
        <v>46</v>
      </c>
      <c r="AH3" s="18" t="n">
        <v>642</v>
      </c>
      <c r="AI3" s="18" t="n">
        <v>28.633</v>
      </c>
      <c r="AJ3" s="18" t="n">
        <v>6</v>
      </c>
      <c r="AK3" s="18"/>
      <c r="AL3" s="18"/>
      <c r="AM3" s="18"/>
      <c r="AN3" s="18" t="n">
        <v>4.9</v>
      </c>
      <c r="AO3" s="18" t="n">
        <v>1.52</v>
      </c>
      <c r="AP3" s="18"/>
      <c r="AQ3" s="18"/>
      <c r="AR3" s="18" t="s">
        <v>4373</v>
      </c>
      <c r="AS3" s="18" t="s">
        <v>2165</v>
      </c>
      <c r="AT3" s="18" t="s">
        <v>2166</v>
      </c>
      <c r="AU3" s="18" t="s">
        <v>2167</v>
      </c>
      <c r="AV3" s="18" t="s">
        <v>3038</v>
      </c>
      <c r="AW3" s="32" t="s">
        <v>4374</v>
      </c>
      <c r="AX3" s="18" t="s">
        <v>1148</v>
      </c>
      <c r="AY3" s="18" t="s">
        <v>4375</v>
      </c>
    </row>
    <row r="4" customFormat="false" ht="14.25" hidden="false" customHeight="true" outlineLevel="0" collapsed="false">
      <c r="A4" s="18" t="n">
        <v>173</v>
      </c>
      <c r="B4" s="18" t="n">
        <v>173</v>
      </c>
      <c r="C4" s="18" t="s">
        <v>1133</v>
      </c>
      <c r="D4" s="18" t="n">
        <v>2023</v>
      </c>
      <c r="E4" s="18" t="s">
        <v>1134</v>
      </c>
      <c r="F4" s="18" t="s">
        <v>866</v>
      </c>
      <c r="G4" s="18" t="s">
        <v>1137</v>
      </c>
      <c r="H4" s="18" t="n">
        <v>28.633</v>
      </c>
      <c r="I4" s="18" t="n">
        <v>77.15</v>
      </c>
      <c r="J4" s="18" t="s">
        <v>83</v>
      </c>
      <c r="K4" s="18" t="n">
        <v>2020</v>
      </c>
      <c r="L4" s="18" t="s">
        <v>84</v>
      </c>
      <c r="M4" s="18" t="s">
        <v>85</v>
      </c>
      <c r="N4" s="18" t="s">
        <v>86</v>
      </c>
      <c r="O4" s="18" t="s">
        <v>2043</v>
      </c>
      <c r="P4" s="18" t="n">
        <f aca="false">ROUND(1.55*60/28,3)</f>
        <v>3.321</v>
      </c>
      <c r="Q4" s="18" t="n">
        <f aca="false">ROUND(1.01*60/28,3)</f>
        <v>2.164</v>
      </c>
      <c r="R4" s="18"/>
      <c r="S4" s="18" t="n">
        <f aca="false">ROUND(1.43*60/28,3)</f>
        <v>3.064</v>
      </c>
      <c r="T4" s="18"/>
      <c r="U4" s="18"/>
      <c r="V4" s="18"/>
      <c r="W4" s="18"/>
      <c r="X4" s="18"/>
      <c r="Y4" s="18"/>
      <c r="Z4" s="18"/>
      <c r="AA4" s="18"/>
      <c r="AB4" s="18" t="n">
        <v>2</v>
      </c>
      <c r="AC4" s="18" t="n">
        <v>3</v>
      </c>
      <c r="AD4" s="18" t="n">
        <f aca="false">IF(AND(N(AB4)&gt;0,N(AC4)&gt;0),SQRT(2*AB4/AC4),"")</f>
        <v>1.15470053837925</v>
      </c>
      <c r="AE4" s="18"/>
      <c r="AF4" s="18" t="n">
        <v>5</v>
      </c>
      <c r="AG4" s="18" t="n">
        <v>46</v>
      </c>
      <c r="AH4" s="18" t="n">
        <v>642</v>
      </c>
      <c r="AI4" s="18" t="n">
        <v>28.633</v>
      </c>
      <c r="AJ4" s="18" t="n">
        <v>6</v>
      </c>
      <c r="AK4" s="18"/>
      <c r="AL4" s="18"/>
      <c r="AM4" s="18"/>
      <c r="AN4" s="18" t="n">
        <v>4.9</v>
      </c>
      <c r="AO4" s="18" t="n">
        <v>1.52</v>
      </c>
      <c r="AP4" s="18"/>
      <c r="AQ4" s="18"/>
      <c r="AR4" s="18" t="s">
        <v>4373</v>
      </c>
      <c r="AS4" s="18" t="s">
        <v>2165</v>
      </c>
      <c r="AT4" s="18" t="s">
        <v>2166</v>
      </c>
      <c r="AU4" s="18" t="s">
        <v>2167</v>
      </c>
      <c r="AV4" s="18" t="s">
        <v>3038</v>
      </c>
      <c r="AW4" s="32" t="s">
        <v>4376</v>
      </c>
      <c r="AX4" s="18" t="s">
        <v>1148</v>
      </c>
      <c r="AY4" s="18" t="s">
        <v>4375</v>
      </c>
    </row>
    <row r="5" customFormat="false" ht="14.25" hidden="false" customHeight="true" outlineLevel="0" collapsed="false">
      <c r="A5" s="18" t="n">
        <v>173</v>
      </c>
      <c r="B5" s="18" t="n">
        <v>173</v>
      </c>
      <c r="C5" s="18" t="s">
        <v>1133</v>
      </c>
      <c r="D5" s="18" t="n">
        <v>2023</v>
      </c>
      <c r="E5" s="18" t="s">
        <v>1134</v>
      </c>
      <c r="F5" s="18" t="s">
        <v>866</v>
      </c>
      <c r="G5" s="18" t="s">
        <v>1137</v>
      </c>
      <c r="H5" s="18" t="n">
        <v>28.633</v>
      </c>
      <c r="I5" s="18" t="n">
        <v>77.15</v>
      </c>
      <c r="J5" s="18" t="s">
        <v>83</v>
      </c>
      <c r="K5" s="18" t="n">
        <v>2020</v>
      </c>
      <c r="L5" s="18" t="s">
        <v>84</v>
      </c>
      <c r="M5" s="18" t="s">
        <v>85</v>
      </c>
      <c r="N5" s="18" t="s">
        <v>86</v>
      </c>
      <c r="O5" s="18" t="s">
        <v>2043</v>
      </c>
      <c r="P5" s="18" t="n">
        <f aca="false">ROUND(1.75*60/28,3)</f>
        <v>3.75</v>
      </c>
      <c r="Q5" s="18" t="n">
        <f aca="false">ROUND(1.27*60/28,3)</f>
        <v>2.721</v>
      </c>
      <c r="R5" s="18"/>
      <c r="S5" s="18" t="n">
        <f aca="false">ROUND(1.5*60/28,3)</f>
        <v>3.214</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4373</v>
      </c>
      <c r="AS5" s="18" t="s">
        <v>2165</v>
      </c>
      <c r="AT5" s="18" t="s">
        <v>2166</v>
      </c>
      <c r="AU5" s="18" t="s">
        <v>2167</v>
      </c>
      <c r="AV5" s="18" t="s">
        <v>3038</v>
      </c>
      <c r="AW5" s="32" t="s">
        <v>4377</v>
      </c>
      <c r="AX5" s="18" t="s">
        <v>1148</v>
      </c>
      <c r="AY5" s="18" t="s">
        <v>4375</v>
      </c>
    </row>
    <row r="6" customFormat="false" ht="14.25" hidden="false" customHeight="true" outlineLevel="0" collapsed="false">
      <c r="A6" s="18" t="n">
        <v>173</v>
      </c>
      <c r="B6" s="18" t="n">
        <v>173</v>
      </c>
      <c r="C6" s="18" t="s">
        <v>1133</v>
      </c>
      <c r="D6" s="18" t="n">
        <v>2023</v>
      </c>
      <c r="E6" s="18" t="s">
        <v>1134</v>
      </c>
      <c r="F6" s="18" t="s">
        <v>866</v>
      </c>
      <c r="G6" s="18" t="s">
        <v>1137</v>
      </c>
      <c r="H6" s="18" t="n">
        <v>28.633</v>
      </c>
      <c r="I6" s="18" t="n">
        <v>77.15</v>
      </c>
      <c r="J6" s="18" t="s">
        <v>83</v>
      </c>
      <c r="K6" s="18" t="n">
        <v>2020</v>
      </c>
      <c r="L6" s="18" t="s">
        <v>84</v>
      </c>
      <c r="M6" s="18" t="s">
        <v>85</v>
      </c>
      <c r="N6" s="18" t="s">
        <v>86</v>
      </c>
      <c r="O6" s="18" t="s">
        <v>2043</v>
      </c>
      <c r="P6" s="18" t="n">
        <f aca="false">ROUND(1.61*60/28,3)</f>
        <v>3.45</v>
      </c>
      <c r="Q6" s="18" t="n">
        <f aca="false">ROUND(1.01*60/28,3)</f>
        <v>2.164</v>
      </c>
      <c r="R6" s="18"/>
      <c r="S6" s="18" t="n">
        <f aca="false">ROUND(1.43*60/28,3)</f>
        <v>3.064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4373</v>
      </c>
      <c r="AS6" s="18" t="s">
        <v>2165</v>
      </c>
      <c r="AT6" s="18" t="s">
        <v>2166</v>
      </c>
      <c r="AU6" s="18" t="s">
        <v>2167</v>
      </c>
      <c r="AV6" s="18" t="s">
        <v>3038</v>
      </c>
      <c r="AW6" s="32" t="s">
        <v>4378</v>
      </c>
      <c r="AX6" s="18" t="s">
        <v>1148</v>
      </c>
      <c r="AY6" s="18" t="s">
        <v>4375</v>
      </c>
    </row>
    <row r="7" customFormat="false" ht="14.25" hidden="false" customHeight="true" outlineLevel="0" collapsed="false">
      <c r="A7" s="18" t="n">
        <v>173</v>
      </c>
      <c r="B7" s="18" t="n">
        <v>173</v>
      </c>
      <c r="C7" s="18" t="s">
        <v>1133</v>
      </c>
      <c r="D7" s="18" t="n">
        <v>2023</v>
      </c>
      <c r="E7" s="18" t="s">
        <v>1134</v>
      </c>
      <c r="F7" s="18" t="s">
        <v>866</v>
      </c>
      <c r="G7" s="18" t="s">
        <v>1137</v>
      </c>
      <c r="H7" s="18" t="n">
        <v>28.633</v>
      </c>
      <c r="I7" s="18" t="n">
        <v>77.15</v>
      </c>
      <c r="J7" s="18" t="s">
        <v>83</v>
      </c>
      <c r="K7" s="18" t="n">
        <v>2020</v>
      </c>
      <c r="L7" s="18" t="s">
        <v>84</v>
      </c>
      <c r="M7" s="18" t="s">
        <v>85</v>
      </c>
      <c r="N7" s="18" t="s">
        <v>2050</v>
      </c>
      <c r="O7" s="18" t="s">
        <v>2051</v>
      </c>
      <c r="P7" s="18" t="n">
        <f aca="false">ROUND(1.3*60/28,3)</f>
        <v>2.786</v>
      </c>
      <c r="Q7" s="18" t="n">
        <f aca="false">ROUND(1.09*60/28,3)</f>
        <v>2.336</v>
      </c>
      <c r="R7" s="18"/>
      <c r="S7" s="18" t="n">
        <f aca="false">ROUND(1.31*60/28,3)</f>
        <v>2.807</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4373</v>
      </c>
      <c r="AS7" s="18" t="s">
        <v>2165</v>
      </c>
      <c r="AT7" s="18" t="s">
        <v>2166</v>
      </c>
      <c r="AU7" s="18" t="s">
        <v>2167</v>
      </c>
      <c r="AV7" s="18" t="s">
        <v>3038</v>
      </c>
      <c r="AW7" s="32" t="s">
        <v>4379</v>
      </c>
      <c r="AX7" s="18" t="s">
        <v>1148</v>
      </c>
      <c r="AY7" s="18" t="s">
        <v>4375</v>
      </c>
    </row>
    <row r="8" customFormat="false" ht="14.25" hidden="false" customHeight="true" outlineLevel="0" collapsed="false">
      <c r="A8" s="18" t="n">
        <v>173</v>
      </c>
      <c r="B8" s="18" t="n">
        <v>173</v>
      </c>
      <c r="C8" s="18" t="s">
        <v>1133</v>
      </c>
      <c r="D8" s="18" t="n">
        <v>2023</v>
      </c>
      <c r="E8" s="18" t="s">
        <v>1134</v>
      </c>
      <c r="F8" s="18" t="s">
        <v>866</v>
      </c>
      <c r="G8" s="18" t="s">
        <v>1137</v>
      </c>
      <c r="H8" s="18" t="n">
        <v>28.633</v>
      </c>
      <c r="I8" s="18" t="n">
        <v>77.15</v>
      </c>
      <c r="J8" s="18" t="s">
        <v>83</v>
      </c>
      <c r="K8" s="18" t="n">
        <v>2020</v>
      </c>
      <c r="L8" s="18" t="s">
        <v>84</v>
      </c>
      <c r="M8" s="18" t="s">
        <v>85</v>
      </c>
      <c r="N8" s="18" t="s">
        <v>2050</v>
      </c>
      <c r="O8" s="18" t="s">
        <v>2051</v>
      </c>
      <c r="P8" s="18" t="n">
        <f aca="false">ROUND(1.16*60/28,3)</f>
        <v>2.486</v>
      </c>
      <c r="Q8" s="18" t="n">
        <f aca="false">ROUND(1.31*60/28,3)</f>
        <v>2.807</v>
      </c>
      <c r="R8" s="18"/>
      <c r="S8" s="18" t="n">
        <f aca="false">ROUND(1.34*60/28,3)</f>
        <v>2.871</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4373</v>
      </c>
      <c r="AS8" s="18" t="s">
        <v>2165</v>
      </c>
      <c r="AT8" s="18" t="s">
        <v>2166</v>
      </c>
      <c r="AU8" s="18" t="s">
        <v>2167</v>
      </c>
      <c r="AV8" s="18" t="s">
        <v>3038</v>
      </c>
      <c r="AW8" s="32" t="s">
        <v>4380</v>
      </c>
      <c r="AX8" s="18" t="s">
        <v>1148</v>
      </c>
      <c r="AY8" s="18" t="s">
        <v>4375</v>
      </c>
    </row>
    <row r="9" customFormat="false" ht="14.25" hidden="false" customHeight="true" outlineLevel="0" collapsed="false">
      <c r="A9" s="18" t="n">
        <v>173</v>
      </c>
      <c r="B9" s="18" t="n">
        <v>173</v>
      </c>
      <c r="C9" s="18" t="s">
        <v>1133</v>
      </c>
      <c r="D9" s="18" t="n">
        <v>2023</v>
      </c>
      <c r="E9" s="18" t="s">
        <v>1134</v>
      </c>
      <c r="F9" s="18" t="s">
        <v>866</v>
      </c>
      <c r="G9" s="18" t="s">
        <v>1137</v>
      </c>
      <c r="H9" s="18" t="n">
        <v>28.633</v>
      </c>
      <c r="I9" s="18" t="n">
        <v>77.15</v>
      </c>
      <c r="J9" s="18" t="s">
        <v>83</v>
      </c>
      <c r="K9" s="18" t="n">
        <v>2020</v>
      </c>
      <c r="L9" s="18" t="s">
        <v>84</v>
      </c>
      <c r="M9" s="18" t="s">
        <v>85</v>
      </c>
      <c r="N9" s="18" t="s">
        <v>2050</v>
      </c>
      <c r="O9" s="18" t="s">
        <v>2051</v>
      </c>
      <c r="P9" s="18" t="n">
        <f aca="false">ROUND(1.56*60/28,3)</f>
        <v>3.343</v>
      </c>
      <c r="Q9" s="18" t="n">
        <f aca="false">ROUND(1.09*60/28,3)</f>
        <v>2.336</v>
      </c>
      <c r="R9" s="18"/>
      <c r="S9" s="18" t="n">
        <f aca="false">ROUND(1.31*60/28,3)</f>
        <v>2.807</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4373</v>
      </c>
      <c r="AS9" s="18" t="s">
        <v>2165</v>
      </c>
      <c r="AT9" s="18" t="s">
        <v>2166</v>
      </c>
      <c r="AU9" s="18" t="s">
        <v>2167</v>
      </c>
      <c r="AV9" s="18" t="s">
        <v>3038</v>
      </c>
      <c r="AW9" s="32" t="s">
        <v>4381</v>
      </c>
      <c r="AX9" s="18" t="s">
        <v>1148</v>
      </c>
      <c r="AY9" s="18" t="s">
        <v>4375</v>
      </c>
    </row>
    <row r="10" customFormat="false" ht="14.25" hidden="false" customHeight="true" outlineLevel="0" collapsed="false">
      <c r="A10" s="18" t="n">
        <v>173</v>
      </c>
      <c r="B10" s="18" t="n">
        <v>173</v>
      </c>
      <c r="C10" s="18" t="s">
        <v>1133</v>
      </c>
      <c r="D10" s="18" t="n">
        <v>2023</v>
      </c>
      <c r="E10" s="18" t="s">
        <v>1134</v>
      </c>
      <c r="F10" s="18" t="s">
        <v>866</v>
      </c>
      <c r="G10" s="18" t="s">
        <v>1137</v>
      </c>
      <c r="H10" s="18" t="n">
        <v>28.633</v>
      </c>
      <c r="I10" s="18" t="n">
        <v>77.15</v>
      </c>
      <c r="J10" s="18" t="s">
        <v>83</v>
      </c>
      <c r="K10" s="18" t="n">
        <v>2020</v>
      </c>
      <c r="L10" s="18" t="s">
        <v>84</v>
      </c>
      <c r="M10" s="18" t="s">
        <v>85</v>
      </c>
      <c r="N10" s="18" t="s">
        <v>2050</v>
      </c>
      <c r="O10" s="18" t="s">
        <v>2051</v>
      </c>
      <c r="P10" s="18" t="n">
        <f aca="false">ROUND(1.47*60/28,3)</f>
        <v>3.15</v>
      </c>
      <c r="Q10" s="18" t="n">
        <f aca="false">ROUND(1.31*60/28,3)</f>
        <v>2.807</v>
      </c>
      <c r="R10" s="18"/>
      <c r="S10" s="18" t="n">
        <f aca="false">ROUND(1.34*60/28,3)</f>
        <v>2.871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4373</v>
      </c>
      <c r="AS10" s="18" t="s">
        <v>2165</v>
      </c>
      <c r="AT10" s="18" t="s">
        <v>2166</v>
      </c>
      <c r="AU10" s="18" t="s">
        <v>2167</v>
      </c>
      <c r="AV10" s="18" t="s">
        <v>3038</v>
      </c>
      <c r="AW10" s="32" t="s">
        <v>4382</v>
      </c>
      <c r="AX10" s="18" t="s">
        <v>1148</v>
      </c>
      <c r="AY10" s="18" t="s">
        <v>4375</v>
      </c>
    </row>
    <row r="11" customFormat="false" ht="14.25" hidden="false" customHeight="true" outlineLevel="0" collapsed="false">
      <c r="A11" s="18" t="n">
        <v>173</v>
      </c>
      <c r="B11" s="18" t="n">
        <v>173</v>
      </c>
      <c r="C11" s="18" t="s">
        <v>1133</v>
      </c>
      <c r="D11" s="18" t="n">
        <v>2023</v>
      </c>
      <c r="E11" s="18" t="s">
        <v>1134</v>
      </c>
      <c r="F11" s="18" t="s">
        <v>866</v>
      </c>
      <c r="G11" s="18" t="s">
        <v>1137</v>
      </c>
      <c r="H11" s="18" t="n">
        <v>28.633</v>
      </c>
      <c r="I11" s="18" t="n">
        <v>77.15</v>
      </c>
      <c r="J11" s="18" t="s">
        <v>83</v>
      </c>
      <c r="K11" s="18" t="n">
        <v>2020</v>
      </c>
      <c r="L11" s="18" t="s">
        <v>84</v>
      </c>
      <c r="M11" s="18" t="s">
        <v>85</v>
      </c>
      <c r="N11" s="18" t="s">
        <v>2177</v>
      </c>
      <c r="O11" s="18" t="s">
        <v>2178</v>
      </c>
      <c r="P11" s="18" t="n">
        <f aca="false">ROUND(1.38*60/28,3)</f>
        <v>2.957</v>
      </c>
      <c r="Q11" s="18" t="n">
        <f aca="false">ROUND(0.9*60/28,3)</f>
        <v>1.929</v>
      </c>
      <c r="R11" s="18"/>
      <c r="S11" s="18" t="n">
        <f aca="false">ROUND(1.26*60/28,3)</f>
        <v>2.7</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4373</v>
      </c>
      <c r="AS11" s="18" t="s">
        <v>2165</v>
      </c>
      <c r="AT11" s="18" t="s">
        <v>2166</v>
      </c>
      <c r="AU11" s="18" t="s">
        <v>2167</v>
      </c>
      <c r="AV11" s="18" t="s">
        <v>3038</v>
      </c>
      <c r="AW11" s="32" t="s">
        <v>4383</v>
      </c>
      <c r="AX11" s="18" t="s">
        <v>1148</v>
      </c>
      <c r="AY11" s="18" t="s">
        <v>4375</v>
      </c>
    </row>
    <row r="12" customFormat="false" ht="14.25" hidden="false" customHeight="true" outlineLevel="0" collapsed="false">
      <c r="A12" s="18" t="n">
        <v>173</v>
      </c>
      <c r="B12" s="18" t="n">
        <v>173</v>
      </c>
      <c r="C12" s="18" t="s">
        <v>1133</v>
      </c>
      <c r="D12" s="18" t="n">
        <v>2023</v>
      </c>
      <c r="E12" s="18" t="s">
        <v>1134</v>
      </c>
      <c r="F12" s="18" t="s">
        <v>866</v>
      </c>
      <c r="G12" s="18" t="s">
        <v>1137</v>
      </c>
      <c r="H12" s="18" t="n">
        <v>28.633</v>
      </c>
      <c r="I12" s="18" t="n">
        <v>77.15</v>
      </c>
      <c r="J12" s="18" t="s">
        <v>83</v>
      </c>
      <c r="K12" s="18" t="n">
        <v>2020</v>
      </c>
      <c r="L12" s="18" t="s">
        <v>84</v>
      </c>
      <c r="M12" s="18" t="s">
        <v>85</v>
      </c>
      <c r="N12" s="18" t="s">
        <v>2177</v>
      </c>
      <c r="O12" s="18" t="s">
        <v>2178</v>
      </c>
      <c r="P12" s="18" t="n">
        <f aca="false">ROUND(1.41*60/28,3)</f>
        <v>3.021</v>
      </c>
      <c r="Q12" s="18" t="n">
        <f aca="false">ROUND(1.13*60/28,3)</f>
        <v>2.421</v>
      </c>
      <c r="R12" s="18"/>
      <c r="S12" s="18" t="n">
        <f aca="false">ROUND(1.19*60/28,3)</f>
        <v>2.55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4373</v>
      </c>
      <c r="AS12" s="18" t="s">
        <v>2165</v>
      </c>
      <c r="AT12" s="18" t="s">
        <v>2166</v>
      </c>
      <c r="AU12" s="18" t="s">
        <v>2167</v>
      </c>
      <c r="AV12" s="18" t="s">
        <v>3038</v>
      </c>
      <c r="AW12" s="32" t="s">
        <v>4384</v>
      </c>
      <c r="AX12" s="18" t="s">
        <v>1148</v>
      </c>
      <c r="AY12" s="18" t="s">
        <v>4375</v>
      </c>
    </row>
    <row r="13" customFormat="false" ht="14.25" hidden="false" customHeight="true" outlineLevel="0" collapsed="false">
      <c r="A13" s="18" t="n">
        <v>173</v>
      </c>
      <c r="B13" s="18" t="n">
        <v>173</v>
      </c>
      <c r="C13" s="18" t="s">
        <v>1133</v>
      </c>
      <c r="D13" s="18" t="n">
        <v>2023</v>
      </c>
      <c r="E13" s="18" t="s">
        <v>1134</v>
      </c>
      <c r="F13" s="18" t="s">
        <v>866</v>
      </c>
      <c r="G13" s="18" t="s">
        <v>1137</v>
      </c>
      <c r="H13" s="18" t="n">
        <v>28.633</v>
      </c>
      <c r="I13" s="18" t="n">
        <v>77.15</v>
      </c>
      <c r="J13" s="18" t="s">
        <v>83</v>
      </c>
      <c r="K13" s="18" t="n">
        <v>2020</v>
      </c>
      <c r="L13" s="18" t="s">
        <v>84</v>
      </c>
      <c r="M13" s="18" t="s">
        <v>85</v>
      </c>
      <c r="N13" s="18" t="s">
        <v>2177</v>
      </c>
      <c r="O13" s="18" t="s">
        <v>2178</v>
      </c>
      <c r="P13" s="18" t="n">
        <f aca="false">ROUND(1.39*60/28,3)</f>
        <v>2.979</v>
      </c>
      <c r="Q13" s="18" t="n">
        <f aca="false">ROUND(0.9*60/28,3)</f>
        <v>1.929</v>
      </c>
      <c r="R13" s="18"/>
      <c r="S13" s="18" t="n">
        <f aca="false">ROUND(1.26*60/28,3)</f>
        <v>2.7</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4373</v>
      </c>
      <c r="AS13" s="18" t="s">
        <v>2165</v>
      </c>
      <c r="AT13" s="18" t="s">
        <v>2166</v>
      </c>
      <c r="AU13" s="18" t="s">
        <v>2167</v>
      </c>
      <c r="AV13" s="18" t="s">
        <v>3038</v>
      </c>
      <c r="AW13" s="32" t="s">
        <v>4385</v>
      </c>
      <c r="AX13" s="18" t="s">
        <v>1148</v>
      </c>
      <c r="AY13" s="18" t="s">
        <v>4375</v>
      </c>
    </row>
    <row r="14" customFormat="false" ht="14.25" hidden="false" customHeight="true" outlineLevel="0" collapsed="false">
      <c r="A14" s="18" t="n">
        <v>173</v>
      </c>
      <c r="B14" s="18" t="n">
        <v>173</v>
      </c>
      <c r="C14" s="18" t="s">
        <v>1133</v>
      </c>
      <c r="D14" s="18" t="n">
        <v>2023</v>
      </c>
      <c r="E14" s="18" t="s">
        <v>1134</v>
      </c>
      <c r="F14" s="18" t="s">
        <v>866</v>
      </c>
      <c r="G14" s="18" t="s">
        <v>1137</v>
      </c>
      <c r="H14" s="18" t="n">
        <v>28.633</v>
      </c>
      <c r="I14" s="18" t="n">
        <v>77.15</v>
      </c>
      <c r="J14" s="18" t="s">
        <v>83</v>
      </c>
      <c r="K14" s="18" t="n">
        <v>2020</v>
      </c>
      <c r="L14" s="18" t="s">
        <v>84</v>
      </c>
      <c r="M14" s="18" t="s">
        <v>85</v>
      </c>
      <c r="N14" s="18" t="s">
        <v>2177</v>
      </c>
      <c r="O14" s="18" t="s">
        <v>2178</v>
      </c>
      <c r="P14" s="18" t="n">
        <f aca="false">ROUND(1.28*60/28,3)</f>
        <v>2.743</v>
      </c>
      <c r="Q14" s="18" t="n">
        <f aca="false">ROUND(1.13*60/28,3)</f>
        <v>2.421</v>
      </c>
      <c r="R14" s="18"/>
      <c r="S14" s="18" t="n">
        <f aca="false">ROUND(1.19*60/28,3)</f>
        <v>2.55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4373</v>
      </c>
      <c r="AS14" s="18" t="s">
        <v>2165</v>
      </c>
      <c r="AT14" s="18" t="s">
        <v>2166</v>
      </c>
      <c r="AU14" s="18" t="s">
        <v>2167</v>
      </c>
      <c r="AV14" s="18" t="s">
        <v>3038</v>
      </c>
      <c r="AW14" s="32" t="s">
        <v>4386</v>
      </c>
      <c r="AX14" s="18" t="s">
        <v>1148</v>
      </c>
      <c r="AY14" s="18" t="s">
        <v>4375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4387</v>
      </c>
      <c r="Q1" s="27" t="s">
        <v>4388</v>
      </c>
      <c r="R1" s="27" t="s">
        <v>4389</v>
      </c>
      <c r="S1" s="27" t="s">
        <v>4390</v>
      </c>
      <c r="T1" s="27" t="s">
        <v>4391</v>
      </c>
      <c r="U1" s="27" t="s">
        <v>4392</v>
      </c>
      <c r="V1" s="27" t="s">
        <v>4393</v>
      </c>
      <c r="W1" s="27" t="s">
        <v>4394</v>
      </c>
      <c r="X1" s="30" t="s">
        <v>4395</v>
      </c>
      <c r="Y1" s="30" t="s">
        <v>4396</v>
      </c>
      <c r="Z1" s="30" t="s">
        <v>4397</v>
      </c>
      <c r="AA1" s="30" t="s">
        <v>4398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4399</v>
      </c>
      <c r="Q1" s="27" t="s">
        <v>4400</v>
      </c>
      <c r="R1" s="27" t="s">
        <v>4401</v>
      </c>
      <c r="S1" s="27" t="s">
        <v>4402</v>
      </c>
      <c r="T1" s="27" t="s">
        <v>4403</v>
      </c>
      <c r="U1" s="27" t="s">
        <v>4404</v>
      </c>
      <c r="V1" s="27" t="s">
        <v>4405</v>
      </c>
      <c r="W1" s="27" t="s">
        <v>4406</v>
      </c>
      <c r="X1" s="30" t="s">
        <v>4407</v>
      </c>
      <c r="Y1" s="30" t="s">
        <v>4408</v>
      </c>
      <c r="Z1" s="30" t="s">
        <v>4409</v>
      </c>
      <c r="AA1" s="30" t="s">
        <v>4410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4411</v>
      </c>
      <c r="Q1" s="27" t="s">
        <v>4412</v>
      </c>
      <c r="R1" s="27" t="s">
        <v>4413</v>
      </c>
      <c r="S1" s="27" t="s">
        <v>4414</v>
      </c>
      <c r="T1" s="27" t="s">
        <v>4415</v>
      </c>
      <c r="U1" s="27" t="s">
        <v>4416</v>
      </c>
      <c r="V1" s="27" t="s">
        <v>4417</v>
      </c>
      <c r="W1" s="27" t="s">
        <v>4418</v>
      </c>
      <c r="X1" s="30" t="s">
        <v>4419</v>
      </c>
      <c r="Y1" s="30" t="s">
        <v>4420</v>
      </c>
      <c r="Z1" s="30" t="s">
        <v>4421</v>
      </c>
      <c r="AA1" s="30" t="s">
        <v>4422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1471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4423</v>
      </c>
      <c r="Q1" s="27" t="s">
        <v>4424</v>
      </c>
      <c r="R1" s="27" t="s">
        <v>4425</v>
      </c>
      <c r="S1" s="27" t="s">
        <v>4426</v>
      </c>
      <c r="T1" s="27" t="s">
        <v>4427</v>
      </c>
      <c r="U1" s="27" t="s">
        <v>4428</v>
      </c>
      <c r="V1" s="27" t="s">
        <v>4429</v>
      </c>
      <c r="W1" s="27" t="s">
        <v>4430</v>
      </c>
      <c r="X1" s="30" t="s">
        <v>4431</v>
      </c>
      <c r="Y1" s="30" t="s">
        <v>4432</v>
      </c>
      <c r="Z1" s="30" t="s">
        <v>4433</v>
      </c>
      <c r="AA1" s="30" t="s">
        <v>4434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1473</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4435</v>
      </c>
      <c r="Q1" s="27" t="s">
        <v>4436</v>
      </c>
      <c r="R1" s="27" t="s">
        <v>4437</v>
      </c>
      <c r="S1" s="27" t="s">
        <v>4438</v>
      </c>
      <c r="T1" s="27" t="s">
        <v>4439</v>
      </c>
      <c r="U1" s="27" t="s">
        <v>4440</v>
      </c>
      <c r="V1" s="27" t="s">
        <v>4441</v>
      </c>
      <c r="W1" s="27" t="s">
        <v>4442</v>
      </c>
      <c r="X1" s="30" t="s">
        <v>4443</v>
      </c>
      <c r="Y1" s="30" t="s">
        <v>4444</v>
      </c>
      <c r="Z1" s="30" t="s">
        <v>4445</v>
      </c>
      <c r="AA1" s="30" t="s">
        <v>4446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4447</v>
      </c>
      <c r="Q1" s="27" t="s">
        <v>4448</v>
      </c>
      <c r="R1" s="27" t="s">
        <v>4449</v>
      </c>
      <c r="S1" s="27" t="s">
        <v>4450</v>
      </c>
      <c r="T1" s="27" t="s">
        <v>4451</v>
      </c>
      <c r="U1" s="27" t="s">
        <v>4452</v>
      </c>
      <c r="V1" s="27" t="s">
        <v>4453</v>
      </c>
      <c r="W1" s="27" t="s">
        <v>4454</v>
      </c>
      <c r="X1" s="30" t="s">
        <v>4455</v>
      </c>
      <c r="Y1" s="30" t="s">
        <v>4456</v>
      </c>
      <c r="Z1" s="30" t="s">
        <v>4457</v>
      </c>
      <c r="AA1" s="30" t="s">
        <v>4458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4459</v>
      </c>
      <c r="Q1" s="27" t="s">
        <v>4460</v>
      </c>
      <c r="R1" s="27" t="s">
        <v>4461</v>
      </c>
      <c r="S1" s="27" t="s">
        <v>4462</v>
      </c>
      <c r="T1" s="27" t="s">
        <v>4463</v>
      </c>
      <c r="U1" s="27" t="s">
        <v>4464</v>
      </c>
      <c r="V1" s="27" t="s">
        <v>4465</v>
      </c>
      <c r="W1" s="27" t="s">
        <v>4466</v>
      </c>
      <c r="X1" s="30" t="s">
        <v>4467</v>
      </c>
      <c r="Y1" s="30" t="s">
        <v>4468</v>
      </c>
      <c r="Z1" s="30" t="s">
        <v>4469</v>
      </c>
      <c r="AA1" s="30" t="s">
        <v>4470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4471</v>
      </c>
      <c r="Q1" s="27" t="s">
        <v>4472</v>
      </c>
      <c r="R1" s="27" t="s">
        <v>4473</v>
      </c>
      <c r="S1" s="27" t="s">
        <v>4474</v>
      </c>
      <c r="T1" s="27" t="s">
        <v>4475</v>
      </c>
      <c r="U1" s="27" t="s">
        <v>4476</v>
      </c>
      <c r="V1" s="27" t="s">
        <v>4477</v>
      </c>
      <c r="W1" s="27" t="s">
        <v>4478</v>
      </c>
      <c r="X1" s="30" t="s">
        <v>4479</v>
      </c>
      <c r="Y1" s="30" t="s">
        <v>4480</v>
      </c>
      <c r="Z1" s="30" t="s">
        <v>4481</v>
      </c>
      <c r="AA1" s="30" t="s">
        <v>4482</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1481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4483</v>
      </c>
      <c r="Q1" s="27" t="s">
        <v>4484</v>
      </c>
      <c r="R1" s="27" t="s">
        <v>4485</v>
      </c>
      <c r="S1" s="27" t="s">
        <v>4486</v>
      </c>
      <c r="T1" s="27" t="s">
        <v>4487</v>
      </c>
      <c r="U1" s="27" t="s">
        <v>4488</v>
      </c>
      <c r="V1" s="27" t="s">
        <v>4489</v>
      </c>
      <c r="W1" s="27" t="s">
        <v>4490</v>
      </c>
      <c r="X1" s="30" t="s">
        <v>4491</v>
      </c>
      <c r="Y1" s="30" t="s">
        <v>4492</v>
      </c>
      <c r="Z1" s="30" t="s">
        <v>4493</v>
      </c>
      <c r="AA1" s="30" t="s">
        <v>4494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1483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4495</v>
      </c>
      <c r="Q1" s="27" t="s">
        <v>4496</v>
      </c>
      <c r="R1" s="27" t="s">
        <v>4497</v>
      </c>
      <c r="S1" s="27" t="s">
        <v>4498</v>
      </c>
      <c r="T1" s="27" t="s">
        <v>4499</v>
      </c>
      <c r="U1" s="27" t="s">
        <v>4500</v>
      </c>
      <c r="V1" s="27" t="s">
        <v>4501</v>
      </c>
      <c r="W1" s="27" t="s">
        <v>4502</v>
      </c>
      <c r="X1" s="30" t="s">
        <v>4503</v>
      </c>
      <c r="Y1" s="30" t="s">
        <v>4504</v>
      </c>
      <c r="Z1" s="30" t="s">
        <v>4505</v>
      </c>
      <c r="AA1" s="30" t="s">
        <v>4506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1485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4507</v>
      </c>
      <c r="Q1" s="27" t="s">
        <v>4508</v>
      </c>
      <c r="R1" s="27" t="s">
        <v>4509</v>
      </c>
      <c r="S1" s="27" t="s">
        <v>4510</v>
      </c>
      <c r="T1" s="27" t="s">
        <v>4511</v>
      </c>
      <c r="U1" s="27" t="s">
        <v>4512</v>
      </c>
      <c r="V1" s="27" t="s">
        <v>4513</v>
      </c>
      <c r="W1" s="27" t="s">
        <v>4514</v>
      </c>
      <c r="X1" s="30" t="s">
        <v>4515</v>
      </c>
      <c r="Y1" s="30" t="s">
        <v>4516</v>
      </c>
      <c r="Z1" s="30" t="s">
        <v>4517</v>
      </c>
      <c r="AA1" s="30" t="s">
        <v>4518</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2052</v>
      </c>
      <c r="L2" s="5" t="s">
        <v>872</v>
      </c>
      <c r="M2" s="5" t="s">
        <v>85</v>
      </c>
      <c r="N2" s="5" t="s">
        <v>86</v>
      </c>
      <c r="O2" s="5" t="s">
        <v>2979</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4519</v>
      </c>
      <c r="AS2" s="5" t="s">
        <v>2053</v>
      </c>
      <c r="AT2" s="5" t="s">
        <v>3511</v>
      </c>
      <c r="AU2" s="5" t="s">
        <v>2055</v>
      </c>
      <c r="AV2" s="5" t="s">
        <v>2884</v>
      </c>
      <c r="AW2" s="23" t="s">
        <v>4520</v>
      </c>
      <c r="AX2" s="5" t="s">
        <v>880</v>
      </c>
      <c r="AY2" s="5" t="s">
        <v>4521</v>
      </c>
      <c r="BA2" s="33" t="s">
        <v>1487</v>
      </c>
    </row>
    <row r="3" customFormat="false" ht="14.25" hidden="false" customHeight="true" outlineLevel="0" collapsed="false">
      <c r="A3" s="5" t="n">
        <v>165</v>
      </c>
      <c r="B3" s="5" t="n">
        <v>165</v>
      </c>
      <c r="C3" s="5" t="s">
        <v>862</v>
      </c>
      <c r="D3" s="5" t="n">
        <v>2012</v>
      </c>
      <c r="E3" s="5" t="s">
        <v>863</v>
      </c>
      <c r="F3" s="5" t="s">
        <v>866</v>
      </c>
      <c r="G3" s="5" t="s">
        <v>867</v>
      </c>
      <c r="H3" s="5" t="n">
        <v>28.633</v>
      </c>
      <c r="I3" s="5" t="n">
        <v>77.183</v>
      </c>
      <c r="J3" s="5" t="s">
        <v>83</v>
      </c>
      <c r="K3" s="5" t="s">
        <v>2052</v>
      </c>
      <c r="L3" s="5" t="s">
        <v>872</v>
      </c>
      <c r="M3" s="5" t="s">
        <v>85</v>
      </c>
      <c r="N3" s="5" t="s">
        <v>86</v>
      </c>
      <c r="O3" s="5" t="s">
        <v>2979</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4519</v>
      </c>
      <c r="AS3" s="5" t="s">
        <v>2059</v>
      </c>
      <c r="AT3" s="5" t="s">
        <v>3511</v>
      </c>
      <c r="AU3" s="5" t="s">
        <v>2055</v>
      </c>
      <c r="AV3" s="5" t="s">
        <v>2884</v>
      </c>
      <c r="AW3" s="23" t="s">
        <v>4522</v>
      </c>
      <c r="AX3" s="5" t="s">
        <v>880</v>
      </c>
      <c r="AY3" s="5" t="s">
        <v>4521</v>
      </c>
    </row>
    <row r="4" customFormat="false" ht="14.25" hidden="false" customHeight="true" outlineLevel="0" collapsed="false">
      <c r="A4" s="18" t="s">
        <v>955</v>
      </c>
      <c r="B4" s="18" t="s">
        <v>955</v>
      </c>
      <c r="C4" s="18" t="s">
        <v>956</v>
      </c>
      <c r="D4" s="18" t="n">
        <v>2019</v>
      </c>
      <c r="E4" s="18" t="s">
        <v>3303</v>
      </c>
      <c r="F4" s="18" t="s">
        <v>942</v>
      </c>
      <c r="G4" s="18" t="s">
        <v>943</v>
      </c>
      <c r="H4" s="18" t="n">
        <v>29.7</v>
      </c>
      <c r="I4" s="18" t="n">
        <v>76.96</v>
      </c>
      <c r="J4" s="18" t="s">
        <v>83</v>
      </c>
      <c r="K4" s="18" t="n">
        <v>2013</v>
      </c>
      <c r="L4" s="18" t="s">
        <v>84</v>
      </c>
      <c r="M4" s="18" t="s">
        <v>85</v>
      </c>
      <c r="N4" s="18" t="s">
        <v>86</v>
      </c>
      <c r="O4" s="18" t="s">
        <v>2043</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1487</v>
      </c>
      <c r="AS4" s="18" t="s">
        <v>2337</v>
      </c>
      <c r="AT4" s="18" t="s">
        <v>3305</v>
      </c>
      <c r="AU4" s="18" t="s">
        <v>2339</v>
      </c>
      <c r="AV4" s="18" t="s">
        <v>2115</v>
      </c>
      <c r="AW4" s="32" t="s">
        <v>4122</v>
      </c>
      <c r="AX4" s="18" t="s">
        <v>962</v>
      </c>
      <c r="AY4" s="18" t="s">
        <v>4523</v>
      </c>
    </row>
    <row r="5" customFormat="false" ht="14.25" hidden="false" customHeight="true" outlineLevel="0" collapsed="false">
      <c r="A5" s="18" t="s">
        <v>955</v>
      </c>
      <c r="B5" s="18" t="s">
        <v>955</v>
      </c>
      <c r="C5" s="18" t="s">
        <v>956</v>
      </c>
      <c r="D5" s="18" t="n">
        <v>2019</v>
      </c>
      <c r="E5" s="18" t="s">
        <v>3303</v>
      </c>
      <c r="F5" s="18" t="s">
        <v>942</v>
      </c>
      <c r="G5" s="18" t="s">
        <v>943</v>
      </c>
      <c r="H5" s="18" t="n">
        <v>29.7</v>
      </c>
      <c r="I5" s="18" t="n">
        <v>76.96</v>
      </c>
      <c r="J5" s="18" t="s">
        <v>83</v>
      </c>
      <c r="K5" s="18" t="n">
        <v>2013</v>
      </c>
      <c r="L5" s="18" t="s">
        <v>84</v>
      </c>
      <c r="M5" s="18" t="s">
        <v>85</v>
      </c>
      <c r="N5" s="18" t="s">
        <v>2050</v>
      </c>
      <c r="O5" s="18" t="s">
        <v>2051</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1487</v>
      </c>
      <c r="AS5" s="18" t="s">
        <v>2337</v>
      </c>
      <c r="AT5" s="18" t="s">
        <v>3305</v>
      </c>
      <c r="AU5" s="18" t="s">
        <v>2339</v>
      </c>
      <c r="AV5" s="18" t="s">
        <v>2115</v>
      </c>
      <c r="AW5" s="32" t="s">
        <v>4122</v>
      </c>
      <c r="AX5" s="18" t="s">
        <v>962</v>
      </c>
      <c r="AY5" s="18" t="s">
        <v>4523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4524</v>
      </c>
      <c r="Q1" s="27" t="s">
        <v>4525</v>
      </c>
      <c r="R1" s="27" t="s">
        <v>4526</v>
      </c>
      <c r="S1" s="27" t="s">
        <v>4527</v>
      </c>
      <c r="T1" s="27" t="s">
        <v>4528</v>
      </c>
      <c r="U1" s="27" t="s">
        <v>4529</v>
      </c>
      <c r="V1" s="27" t="s">
        <v>4530</v>
      </c>
      <c r="W1" s="27" t="s">
        <v>4531</v>
      </c>
      <c r="X1" s="30" t="s">
        <v>4532</v>
      </c>
      <c r="Y1" s="30" t="s">
        <v>4533</v>
      </c>
      <c r="Z1" s="30" t="s">
        <v>4534</v>
      </c>
      <c r="AA1" s="30" t="s">
        <v>4535</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2052</v>
      </c>
      <c r="L2" s="5" t="s">
        <v>872</v>
      </c>
      <c r="M2" s="5" t="s">
        <v>85</v>
      </c>
      <c r="N2" s="5" t="s">
        <v>86</v>
      </c>
      <c r="O2" s="5" t="s">
        <v>2979</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4536</v>
      </c>
      <c r="AS2" s="5" t="s">
        <v>2053</v>
      </c>
      <c r="AT2" s="5" t="s">
        <v>3511</v>
      </c>
      <c r="AU2" s="5" t="s">
        <v>2055</v>
      </c>
      <c r="AV2" s="5" t="s">
        <v>2884</v>
      </c>
      <c r="AW2" s="23" t="s">
        <v>4537</v>
      </c>
      <c r="AX2" s="5" t="s">
        <v>880</v>
      </c>
      <c r="AY2" s="5" t="s">
        <v>4538</v>
      </c>
      <c r="BA2" s="33" t="s">
        <v>1490</v>
      </c>
    </row>
    <row r="3" customFormat="false" ht="14.25" hidden="false" customHeight="true" outlineLevel="0" collapsed="false">
      <c r="A3" s="5" t="n">
        <v>165</v>
      </c>
      <c r="B3" s="5" t="n">
        <v>165</v>
      </c>
      <c r="C3" s="5" t="s">
        <v>862</v>
      </c>
      <c r="D3" s="5" t="n">
        <v>2012</v>
      </c>
      <c r="E3" s="5" t="s">
        <v>863</v>
      </c>
      <c r="F3" s="5" t="s">
        <v>866</v>
      </c>
      <c r="G3" s="5" t="s">
        <v>867</v>
      </c>
      <c r="H3" s="5" t="n">
        <v>28.633</v>
      </c>
      <c r="I3" s="5" t="n">
        <v>77.183</v>
      </c>
      <c r="J3" s="5" t="s">
        <v>83</v>
      </c>
      <c r="K3" s="5" t="s">
        <v>2052</v>
      </c>
      <c r="L3" s="5" t="s">
        <v>872</v>
      </c>
      <c r="M3" s="5" t="s">
        <v>85</v>
      </c>
      <c r="N3" s="5" t="s">
        <v>86</v>
      </c>
      <c r="O3" s="5" t="s">
        <v>2979</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4536</v>
      </c>
      <c r="AS3" s="5" t="s">
        <v>2059</v>
      </c>
      <c r="AT3" s="5" t="s">
        <v>3511</v>
      </c>
      <c r="AU3" s="5" t="s">
        <v>2055</v>
      </c>
      <c r="AV3" s="5" t="s">
        <v>2884</v>
      </c>
      <c r="AW3" s="23" t="s">
        <v>4539</v>
      </c>
      <c r="AX3" s="5" t="s">
        <v>880</v>
      </c>
      <c r="AY3" s="5" t="s">
        <v>4538</v>
      </c>
    </row>
    <row r="4" customFormat="false" ht="14.25" hidden="false" customHeight="true" outlineLevel="0" collapsed="false">
      <c r="A4" s="18" t="s">
        <v>955</v>
      </c>
      <c r="B4" s="18" t="s">
        <v>955</v>
      </c>
      <c r="C4" s="18" t="s">
        <v>956</v>
      </c>
      <c r="D4" s="18" t="n">
        <v>2019</v>
      </c>
      <c r="E4" s="18" t="s">
        <v>3303</v>
      </c>
      <c r="F4" s="18" t="s">
        <v>942</v>
      </c>
      <c r="G4" s="18" t="s">
        <v>943</v>
      </c>
      <c r="H4" s="18" t="n">
        <v>29.7</v>
      </c>
      <c r="I4" s="18" t="n">
        <v>76.96</v>
      </c>
      <c r="J4" s="18" t="s">
        <v>83</v>
      </c>
      <c r="K4" s="18" t="n">
        <v>2013</v>
      </c>
      <c r="L4" s="18" t="s">
        <v>84</v>
      </c>
      <c r="M4" s="18" t="s">
        <v>85</v>
      </c>
      <c r="N4" s="18" t="s">
        <v>86</v>
      </c>
      <c r="O4" s="18" t="s">
        <v>2043</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4540</v>
      </c>
      <c r="AS4" s="18" t="s">
        <v>2337</v>
      </c>
      <c r="AT4" s="18" t="s">
        <v>3305</v>
      </c>
      <c r="AU4" s="18" t="s">
        <v>2339</v>
      </c>
      <c r="AV4" s="18" t="s">
        <v>3038</v>
      </c>
      <c r="AW4" s="32" t="s">
        <v>4541</v>
      </c>
      <c r="AX4" s="18" t="s">
        <v>962</v>
      </c>
      <c r="AY4" s="18" t="s">
        <v>4542</v>
      </c>
    </row>
    <row r="5" customFormat="false" ht="14.25" hidden="false" customHeight="true" outlineLevel="0" collapsed="false">
      <c r="A5" s="18" t="s">
        <v>955</v>
      </c>
      <c r="B5" s="18" t="s">
        <v>955</v>
      </c>
      <c r="C5" s="18" t="s">
        <v>956</v>
      </c>
      <c r="D5" s="18" t="n">
        <v>2019</v>
      </c>
      <c r="E5" s="18" t="s">
        <v>3303</v>
      </c>
      <c r="F5" s="18" t="s">
        <v>942</v>
      </c>
      <c r="G5" s="18" t="s">
        <v>943</v>
      </c>
      <c r="H5" s="18" t="n">
        <v>29.7</v>
      </c>
      <c r="I5" s="18" t="n">
        <v>76.96</v>
      </c>
      <c r="J5" s="18" t="s">
        <v>83</v>
      </c>
      <c r="K5" s="18" t="n">
        <v>2013</v>
      </c>
      <c r="L5" s="18" t="s">
        <v>84</v>
      </c>
      <c r="M5" s="18" t="s">
        <v>85</v>
      </c>
      <c r="N5" s="18" t="s">
        <v>2050</v>
      </c>
      <c r="O5" s="18" t="s">
        <v>2051</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4540</v>
      </c>
      <c r="AS5" s="18" t="s">
        <v>2337</v>
      </c>
      <c r="AT5" s="18" t="s">
        <v>3305</v>
      </c>
      <c r="AU5" s="18" t="s">
        <v>2339</v>
      </c>
      <c r="AV5" s="18" t="s">
        <v>3038</v>
      </c>
      <c r="AW5" s="32" t="s">
        <v>4543</v>
      </c>
      <c r="AX5" s="18" t="s">
        <v>962</v>
      </c>
      <c r="AY5" s="18" t="s">
        <v>4542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4544</v>
      </c>
      <c r="Q1" s="27" t="s">
        <v>4545</v>
      </c>
      <c r="R1" s="27" t="s">
        <v>4546</v>
      </c>
      <c r="S1" s="27" t="s">
        <v>4547</v>
      </c>
      <c r="T1" s="27" t="s">
        <v>4548</v>
      </c>
      <c r="U1" s="27" t="s">
        <v>4549</v>
      </c>
      <c r="V1" s="27" t="s">
        <v>4550</v>
      </c>
      <c r="W1" s="27" t="s">
        <v>4551</v>
      </c>
      <c r="X1" s="30" t="s">
        <v>4552</v>
      </c>
      <c r="Y1" s="30" t="s">
        <v>4553</v>
      </c>
      <c r="Z1" s="30" t="s">
        <v>4554</v>
      </c>
      <c r="AA1" s="30" t="s">
        <v>4555</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2052</v>
      </c>
      <c r="L2" s="5" t="s">
        <v>872</v>
      </c>
      <c r="M2" s="5" t="s">
        <v>85</v>
      </c>
      <c r="N2" s="5" t="s">
        <v>86</v>
      </c>
      <c r="O2" s="5" t="s">
        <v>2979</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4556</v>
      </c>
      <c r="AS2" s="5" t="s">
        <v>2053</v>
      </c>
      <c r="AT2" s="5" t="s">
        <v>3511</v>
      </c>
      <c r="AU2" s="5" t="s">
        <v>2055</v>
      </c>
      <c r="AV2" s="5" t="s">
        <v>4557</v>
      </c>
      <c r="AW2" s="23" t="s">
        <v>4558</v>
      </c>
      <c r="AX2" s="5" t="s">
        <v>880</v>
      </c>
      <c r="AY2" s="5" t="s">
        <v>4559</v>
      </c>
      <c r="BA2" s="33" t="s">
        <v>1492</v>
      </c>
    </row>
    <row r="3" customFormat="false" ht="14.25" hidden="false" customHeight="true" outlineLevel="0" collapsed="false">
      <c r="A3" s="5" t="n">
        <v>165</v>
      </c>
      <c r="B3" s="5" t="n">
        <v>165</v>
      </c>
      <c r="C3" s="5" t="s">
        <v>862</v>
      </c>
      <c r="D3" s="5" t="n">
        <v>2012</v>
      </c>
      <c r="E3" s="5" t="s">
        <v>863</v>
      </c>
      <c r="F3" s="5" t="s">
        <v>866</v>
      </c>
      <c r="G3" s="5" t="s">
        <v>867</v>
      </c>
      <c r="H3" s="5" t="n">
        <v>28.633</v>
      </c>
      <c r="I3" s="5" t="n">
        <v>77.183</v>
      </c>
      <c r="J3" s="5" t="s">
        <v>83</v>
      </c>
      <c r="K3" s="5" t="s">
        <v>2052</v>
      </c>
      <c r="L3" s="5" t="s">
        <v>872</v>
      </c>
      <c r="M3" s="5" t="s">
        <v>85</v>
      </c>
      <c r="N3" s="5" t="s">
        <v>86</v>
      </c>
      <c r="O3" s="5" t="s">
        <v>2979</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4556</v>
      </c>
      <c r="AS3" s="5" t="s">
        <v>2059</v>
      </c>
      <c r="AT3" s="5" t="s">
        <v>3511</v>
      </c>
      <c r="AU3" s="5" t="s">
        <v>2055</v>
      </c>
      <c r="AV3" s="5" t="s">
        <v>4557</v>
      </c>
      <c r="AW3" s="23" t="s">
        <v>4560</v>
      </c>
      <c r="AX3" s="5" t="s">
        <v>880</v>
      </c>
      <c r="AY3" s="5" t="s">
        <v>4559</v>
      </c>
    </row>
    <row r="4" customFormat="false" ht="14.25" hidden="false" customHeight="true" outlineLevel="0" collapsed="false">
      <c r="A4" s="18" t="s">
        <v>955</v>
      </c>
      <c r="B4" s="18" t="s">
        <v>955</v>
      </c>
      <c r="C4" s="18" t="s">
        <v>956</v>
      </c>
      <c r="D4" s="18" t="n">
        <v>2019</v>
      </c>
      <c r="E4" s="18" t="s">
        <v>3303</v>
      </c>
      <c r="F4" s="18" t="s">
        <v>942</v>
      </c>
      <c r="G4" s="18" t="s">
        <v>943</v>
      </c>
      <c r="H4" s="18" t="n">
        <v>29.7</v>
      </c>
      <c r="I4" s="18" t="n">
        <v>76.96</v>
      </c>
      <c r="J4" s="18" t="s">
        <v>83</v>
      </c>
      <c r="K4" s="18" t="n">
        <v>2013</v>
      </c>
      <c r="L4" s="18" t="s">
        <v>84</v>
      </c>
      <c r="M4" s="18" t="s">
        <v>85</v>
      </c>
      <c r="N4" s="18" t="s">
        <v>86</v>
      </c>
      <c r="O4" s="18" t="s">
        <v>2043</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4561</v>
      </c>
      <c r="AS4" s="18" t="s">
        <v>2337</v>
      </c>
      <c r="AT4" s="18" t="s">
        <v>3305</v>
      </c>
      <c r="AU4" s="18" t="s">
        <v>2339</v>
      </c>
      <c r="AV4" s="18" t="s">
        <v>2115</v>
      </c>
      <c r="AW4" s="32" t="s">
        <v>4122</v>
      </c>
      <c r="AX4" s="18" t="s">
        <v>962</v>
      </c>
      <c r="AY4" s="18" t="s">
        <v>4562</v>
      </c>
    </row>
    <row r="5" customFormat="false" ht="14.25" hidden="false" customHeight="true" outlineLevel="0" collapsed="false">
      <c r="A5" s="18" t="s">
        <v>955</v>
      </c>
      <c r="B5" s="18" t="s">
        <v>955</v>
      </c>
      <c r="C5" s="18" t="s">
        <v>956</v>
      </c>
      <c r="D5" s="18" t="n">
        <v>2019</v>
      </c>
      <c r="E5" s="18" t="s">
        <v>3303</v>
      </c>
      <c r="F5" s="18" t="s">
        <v>942</v>
      </c>
      <c r="G5" s="18" t="s">
        <v>943</v>
      </c>
      <c r="H5" s="18" t="n">
        <v>29.7</v>
      </c>
      <c r="I5" s="18" t="n">
        <v>76.96</v>
      </c>
      <c r="J5" s="18" t="s">
        <v>83</v>
      </c>
      <c r="K5" s="18" t="n">
        <v>2013</v>
      </c>
      <c r="L5" s="18" t="s">
        <v>84</v>
      </c>
      <c r="M5" s="18" t="s">
        <v>85</v>
      </c>
      <c r="N5" s="18" t="s">
        <v>2050</v>
      </c>
      <c r="O5" s="18" t="s">
        <v>2051</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4561</v>
      </c>
      <c r="AS5" s="18" t="s">
        <v>2337</v>
      </c>
      <c r="AT5" s="18" t="s">
        <v>3305</v>
      </c>
      <c r="AU5" s="18" t="s">
        <v>2339</v>
      </c>
      <c r="AV5" s="18" t="s">
        <v>2115</v>
      </c>
      <c r="AW5" s="32" t="s">
        <v>4122</v>
      </c>
      <c r="AX5" s="18" t="s">
        <v>962</v>
      </c>
      <c r="AY5" s="18" t="s">
        <v>4562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4563</v>
      </c>
      <c r="Q1" s="27" t="s">
        <v>4564</v>
      </c>
      <c r="R1" s="27" t="s">
        <v>4565</v>
      </c>
      <c r="S1" s="27" t="s">
        <v>4566</v>
      </c>
      <c r="T1" s="27" t="s">
        <v>4567</v>
      </c>
      <c r="U1" s="27" t="s">
        <v>4568</v>
      </c>
      <c r="V1" s="27" t="s">
        <v>4569</v>
      </c>
      <c r="W1" s="27" t="s">
        <v>4570</v>
      </c>
      <c r="X1" s="30" t="s">
        <v>4571</v>
      </c>
      <c r="Y1" s="30" t="s">
        <v>4572</v>
      </c>
      <c r="Z1" s="30" t="s">
        <v>4573</v>
      </c>
      <c r="AA1" s="30" t="s">
        <v>4574</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1494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4575</v>
      </c>
      <c r="Q1" s="27" t="s">
        <v>4576</v>
      </c>
      <c r="R1" s="27" t="s">
        <v>4577</v>
      </c>
      <c r="S1" s="27" t="s">
        <v>4578</v>
      </c>
      <c r="T1" s="27" t="s">
        <v>4579</v>
      </c>
      <c r="U1" s="27" t="s">
        <v>4580</v>
      </c>
      <c r="V1" s="27" t="s">
        <v>4581</v>
      </c>
      <c r="W1" s="27" t="s">
        <v>4582</v>
      </c>
      <c r="X1" s="30" t="s">
        <v>4583</v>
      </c>
      <c r="Y1" s="30" t="s">
        <v>4584</v>
      </c>
      <c r="Z1" s="30" t="s">
        <v>4585</v>
      </c>
      <c r="AA1" s="30" t="s">
        <v>4586</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BA2" s="33" t="s">
        <v>1496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4587</v>
      </c>
      <c r="Q1" s="27" t="s">
        <v>4588</v>
      </c>
      <c r="R1" s="27" t="s">
        <v>4589</v>
      </c>
      <c r="S1" s="27" t="s">
        <v>4590</v>
      </c>
      <c r="T1" s="27" t="s">
        <v>4591</v>
      </c>
      <c r="U1" s="27" t="s">
        <v>4592</v>
      </c>
      <c r="V1" s="27" t="s">
        <v>4593</v>
      </c>
      <c r="W1" s="27" t="s">
        <v>4594</v>
      </c>
      <c r="X1" s="30" t="s">
        <v>4595</v>
      </c>
      <c r="Y1" s="30" t="s">
        <v>4596</v>
      </c>
      <c r="Z1" s="30" t="s">
        <v>4597</v>
      </c>
      <c r="AA1" s="30" t="s">
        <v>4598</v>
      </c>
      <c r="AB1" s="27" t="s">
        <v>4599</v>
      </c>
      <c r="AC1" s="27" t="s">
        <v>4600</v>
      </c>
      <c r="AD1" s="27" t="s">
        <v>4601</v>
      </c>
      <c r="AE1" s="27" t="s">
        <v>4602</v>
      </c>
      <c r="AF1" s="27" t="s">
        <v>4603</v>
      </c>
      <c r="AG1" s="27" t="s">
        <v>4604</v>
      </c>
      <c r="AH1" s="27" t="s">
        <v>4605</v>
      </c>
      <c r="AI1" s="27" t="s">
        <v>4606</v>
      </c>
      <c r="AJ1" s="30" t="s">
        <v>4607</v>
      </c>
      <c r="AK1" s="30" t="s">
        <v>4608</v>
      </c>
      <c r="AL1" s="30" t="s">
        <v>4609</v>
      </c>
      <c r="AM1" s="30" t="s">
        <v>4610</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1498</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4611</v>
      </c>
      <c r="Q1" s="27" t="s">
        <v>4612</v>
      </c>
      <c r="R1" s="27" t="s">
        <v>4613</v>
      </c>
      <c r="S1" s="27" t="s">
        <v>4614</v>
      </c>
      <c r="T1" s="27" t="s">
        <v>4615</v>
      </c>
      <c r="U1" s="27" t="s">
        <v>4616</v>
      </c>
      <c r="V1" s="27" t="s">
        <v>4617</v>
      </c>
      <c r="W1" s="27" t="s">
        <v>4618</v>
      </c>
      <c r="X1" s="30" t="s">
        <v>4619</v>
      </c>
      <c r="Y1" s="30" t="s">
        <v>4620</v>
      </c>
      <c r="Z1" s="30" t="s">
        <v>4621</v>
      </c>
      <c r="AA1" s="30" t="s">
        <v>4622</v>
      </c>
      <c r="AB1" s="27" t="s">
        <v>4623</v>
      </c>
      <c r="AC1" s="27" t="s">
        <v>4624</v>
      </c>
      <c r="AD1" s="27" t="s">
        <v>4625</v>
      </c>
      <c r="AE1" s="27" t="s">
        <v>4626</v>
      </c>
      <c r="AF1" s="27" t="s">
        <v>4627</v>
      </c>
      <c r="AG1" s="27" t="s">
        <v>4628</v>
      </c>
      <c r="AH1" s="27" t="s">
        <v>4629</v>
      </c>
      <c r="AI1" s="27" t="s">
        <v>4630</v>
      </c>
      <c r="AJ1" s="30" t="s">
        <v>4631</v>
      </c>
      <c r="AK1" s="30" t="s">
        <v>4632</v>
      </c>
      <c r="AL1" s="30" t="s">
        <v>4633</v>
      </c>
      <c r="AM1" s="30" t="s">
        <v>4634</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1500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4635</v>
      </c>
      <c r="Q1" s="27" t="s">
        <v>4636</v>
      </c>
      <c r="R1" s="27" t="s">
        <v>4637</v>
      </c>
      <c r="S1" s="27" t="s">
        <v>4638</v>
      </c>
      <c r="T1" s="27" t="s">
        <v>4639</v>
      </c>
      <c r="U1" s="27" t="s">
        <v>4640</v>
      </c>
      <c r="V1" s="27" t="s">
        <v>4641</v>
      </c>
      <c r="W1" s="27" t="s">
        <v>4642</v>
      </c>
      <c r="X1" s="30" t="s">
        <v>4643</v>
      </c>
      <c r="Y1" s="30" t="s">
        <v>4644</v>
      </c>
      <c r="Z1" s="30" t="s">
        <v>4645</v>
      </c>
      <c r="AA1" s="30" t="s">
        <v>4646</v>
      </c>
      <c r="AB1" s="27" t="s">
        <v>4647</v>
      </c>
      <c r="AC1" s="27" t="s">
        <v>4648</v>
      </c>
      <c r="AD1" s="27" t="s">
        <v>4649</v>
      </c>
      <c r="AE1" s="27" t="s">
        <v>4650</v>
      </c>
      <c r="AF1" s="27" t="s">
        <v>4651</v>
      </c>
      <c r="AG1" s="27" t="s">
        <v>4652</v>
      </c>
      <c r="AH1" s="27" t="s">
        <v>4653</v>
      </c>
      <c r="AI1" s="27" t="s">
        <v>4654</v>
      </c>
      <c r="AJ1" s="30" t="s">
        <v>4655</v>
      </c>
      <c r="AK1" s="30" t="s">
        <v>4656</v>
      </c>
      <c r="AL1" s="30" t="s">
        <v>4657</v>
      </c>
      <c r="AM1" s="30" t="s">
        <v>4658</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1502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4659</v>
      </c>
      <c r="Q1" s="27" t="s">
        <v>4660</v>
      </c>
      <c r="R1" s="27" t="s">
        <v>4661</v>
      </c>
      <c r="S1" s="27" t="s">
        <v>4662</v>
      </c>
      <c r="T1" s="27" t="s">
        <v>4663</v>
      </c>
      <c r="U1" s="27" t="s">
        <v>4664</v>
      </c>
      <c r="V1" s="27" t="s">
        <v>4665</v>
      </c>
      <c r="W1" s="27" t="s">
        <v>4666</v>
      </c>
      <c r="X1" s="30" t="s">
        <v>4667</v>
      </c>
      <c r="Y1" s="30" t="s">
        <v>4668</v>
      </c>
      <c r="Z1" s="30" t="s">
        <v>4669</v>
      </c>
      <c r="AA1" s="30" t="s">
        <v>4670</v>
      </c>
      <c r="AB1" s="27" t="s">
        <v>4671</v>
      </c>
      <c r="AC1" s="27" t="s">
        <v>4672</v>
      </c>
      <c r="AD1" s="27" t="s">
        <v>4673</v>
      </c>
      <c r="AE1" s="27" t="s">
        <v>4674</v>
      </c>
      <c r="AF1" s="27" t="s">
        <v>4675</v>
      </c>
      <c r="AG1" s="27" t="s">
        <v>4676</v>
      </c>
      <c r="AH1" s="27" t="s">
        <v>4677</v>
      </c>
      <c r="AI1" s="27" t="s">
        <v>4678</v>
      </c>
      <c r="AJ1" s="30" t="s">
        <v>4679</v>
      </c>
      <c r="AK1" s="30" t="s">
        <v>4680</v>
      </c>
      <c r="AL1" s="30" t="s">
        <v>4681</v>
      </c>
      <c r="AM1" s="30" t="s">
        <v>4682</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1504</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4683</v>
      </c>
      <c r="Q1" s="27" t="s">
        <v>4684</v>
      </c>
      <c r="R1" s="27" t="s">
        <v>4685</v>
      </c>
      <c r="S1" s="27" t="s">
        <v>4686</v>
      </c>
      <c r="T1" s="27" t="s">
        <v>4687</v>
      </c>
      <c r="U1" s="27" t="s">
        <v>4688</v>
      </c>
      <c r="V1" s="27" t="s">
        <v>4689</v>
      </c>
      <c r="W1" s="27" t="s">
        <v>4690</v>
      </c>
      <c r="X1" s="30" t="s">
        <v>4691</v>
      </c>
      <c r="Y1" s="30" t="s">
        <v>4692</v>
      </c>
      <c r="Z1" s="30" t="s">
        <v>4693</v>
      </c>
      <c r="AA1" s="30" t="s">
        <v>4694</v>
      </c>
      <c r="AB1" s="27" t="s">
        <v>4695</v>
      </c>
      <c r="AC1" s="27" t="s">
        <v>4696</v>
      </c>
      <c r="AD1" s="27" t="s">
        <v>4697</v>
      </c>
      <c r="AE1" s="27" t="s">
        <v>4698</v>
      </c>
      <c r="AF1" s="27" t="s">
        <v>4699</v>
      </c>
      <c r="AG1" s="27" t="s">
        <v>4700</v>
      </c>
      <c r="AH1" s="27" t="s">
        <v>4701</v>
      </c>
      <c r="AI1" s="27" t="s">
        <v>4702</v>
      </c>
      <c r="AJ1" s="30" t="s">
        <v>4703</v>
      </c>
      <c r="AK1" s="30" t="s">
        <v>4704</v>
      </c>
      <c r="AL1" s="30" t="s">
        <v>4705</v>
      </c>
      <c r="AM1" s="30" t="s">
        <v>4706</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1506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4707</v>
      </c>
      <c r="Q1" s="27" t="s">
        <v>4708</v>
      </c>
      <c r="R1" s="27" t="s">
        <v>4709</v>
      </c>
      <c r="S1" s="27" t="s">
        <v>4710</v>
      </c>
      <c r="T1" s="27" t="s">
        <v>4711</v>
      </c>
      <c r="U1" s="27" t="s">
        <v>4712</v>
      </c>
      <c r="V1" s="27" t="s">
        <v>4713</v>
      </c>
      <c r="W1" s="27" t="s">
        <v>4714</v>
      </c>
      <c r="X1" s="30" t="s">
        <v>4715</v>
      </c>
      <c r="Y1" s="30" t="s">
        <v>4716</v>
      </c>
      <c r="Z1" s="30" t="s">
        <v>4717</v>
      </c>
      <c r="AA1" s="30" t="s">
        <v>4718</v>
      </c>
      <c r="AB1" s="27" t="s">
        <v>4719</v>
      </c>
      <c r="AC1" s="27" t="s">
        <v>4720</v>
      </c>
      <c r="AD1" s="27" t="s">
        <v>4721</v>
      </c>
      <c r="AE1" s="27" t="s">
        <v>4722</v>
      </c>
      <c r="AF1" s="27" t="s">
        <v>4723</v>
      </c>
      <c r="AG1" s="27" t="s">
        <v>4724</v>
      </c>
      <c r="AH1" s="27" t="s">
        <v>4725</v>
      </c>
      <c r="AI1" s="27" t="s">
        <v>4726</v>
      </c>
      <c r="AJ1" s="30" t="s">
        <v>4727</v>
      </c>
      <c r="AK1" s="30" t="s">
        <v>4728</v>
      </c>
      <c r="AL1" s="30" t="s">
        <v>4729</v>
      </c>
      <c r="AM1" s="30" t="s">
        <v>4730</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1508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4731</v>
      </c>
      <c r="O1" s="27" t="s">
        <v>4732</v>
      </c>
      <c r="P1" s="27" t="s">
        <v>4733</v>
      </c>
      <c r="Q1" s="27" t="s">
        <v>4734</v>
      </c>
      <c r="R1" s="27" t="s">
        <v>4735</v>
      </c>
      <c r="S1" s="27" t="s">
        <v>4736</v>
      </c>
      <c r="T1" s="27" t="s">
        <v>4737</v>
      </c>
      <c r="U1" s="27" t="s">
        <v>4738</v>
      </c>
      <c r="V1" s="30" t="s">
        <v>4739</v>
      </c>
      <c r="W1" s="30" t="s">
        <v>4740</v>
      </c>
      <c r="X1" s="30" t="s">
        <v>4741</v>
      </c>
      <c r="Y1" s="30" t="s">
        <v>4742</v>
      </c>
      <c r="Z1" s="27" t="s">
        <v>4743</v>
      </c>
      <c r="AA1" s="27" t="s">
        <v>4744</v>
      </c>
      <c r="AB1" s="27" t="s">
        <v>4745</v>
      </c>
      <c r="AC1" s="27" t="s">
        <v>4746</v>
      </c>
      <c r="AD1" s="27" t="s">
        <v>4747</v>
      </c>
      <c r="AE1" s="27" t="s">
        <v>4748</v>
      </c>
      <c r="AF1" s="27" t="s">
        <v>4749</v>
      </c>
      <c r="AG1" s="27" t="s">
        <v>4750</v>
      </c>
      <c r="AH1" s="30" t="s">
        <v>4751</v>
      </c>
      <c r="AI1" s="30" t="s">
        <v>4752</v>
      </c>
      <c r="AJ1" s="30" t="s">
        <v>4753</v>
      </c>
      <c r="AK1" s="30" t="s">
        <v>4754</v>
      </c>
      <c r="AL1" s="27" t="s">
        <v>4755</v>
      </c>
      <c r="AM1" s="27" t="s">
        <v>4756</v>
      </c>
      <c r="AN1" s="27" t="s">
        <v>4757</v>
      </c>
      <c r="AO1" s="27" t="s">
        <v>4758</v>
      </c>
      <c r="AP1" s="27" t="s">
        <v>4759</v>
      </c>
      <c r="AQ1" s="27" t="s">
        <v>4760</v>
      </c>
      <c r="AR1" s="27" t="s">
        <v>4761</v>
      </c>
      <c r="AS1" s="27" t="s">
        <v>4762</v>
      </c>
      <c r="AT1" s="30" t="s">
        <v>4763</v>
      </c>
      <c r="AU1" s="30" t="s">
        <v>4764</v>
      </c>
      <c r="AV1" s="30" t="s">
        <v>4765</v>
      </c>
      <c r="AW1" s="30" t="s">
        <v>4766</v>
      </c>
      <c r="AX1" s="27" t="s">
        <v>4767</v>
      </c>
      <c r="AY1" s="27" t="s">
        <v>4768</v>
      </c>
      <c r="AZ1" s="27" t="s">
        <v>4769</v>
      </c>
      <c r="BA1" s="27" t="s">
        <v>4770</v>
      </c>
      <c r="BB1" s="27" t="s">
        <v>4771</v>
      </c>
      <c r="BC1" s="27" t="s">
        <v>4772</v>
      </c>
      <c r="BD1" s="27" t="s">
        <v>4773</v>
      </c>
      <c r="BE1" s="27" t="s">
        <v>4774</v>
      </c>
      <c r="BF1" s="30" t="s">
        <v>4775</v>
      </c>
      <c r="BG1" s="30" t="s">
        <v>4776</v>
      </c>
      <c r="BH1" s="30" t="s">
        <v>4777</v>
      </c>
      <c r="BI1" s="30" t="s">
        <v>4778</v>
      </c>
      <c r="BJ1" s="27" t="s">
        <v>4779</v>
      </c>
      <c r="BK1" s="27" t="s">
        <v>4780</v>
      </c>
      <c r="BL1" s="27" t="s">
        <v>4781</v>
      </c>
      <c r="BM1" s="27" t="s">
        <v>4782</v>
      </c>
      <c r="BN1" s="27" t="s">
        <v>4783</v>
      </c>
      <c r="BO1" s="27" t="s">
        <v>4784</v>
      </c>
      <c r="BP1" s="27" t="s">
        <v>4785</v>
      </c>
      <c r="BQ1" s="27" t="s">
        <v>4786</v>
      </c>
      <c r="BR1" s="30" t="s">
        <v>4787</v>
      </c>
      <c r="BS1" s="30" t="s">
        <v>4788</v>
      </c>
      <c r="BT1" s="30" t="s">
        <v>4789</v>
      </c>
      <c r="BU1" s="30" t="s">
        <v>4790</v>
      </c>
      <c r="BV1" s="28" t="s">
        <v>35</v>
      </c>
      <c r="BW1" s="28" t="s">
        <v>33</v>
      </c>
      <c r="BX1" s="28" t="s">
        <v>37</v>
      </c>
      <c r="BY1" s="21" t="s">
        <v>73</v>
      </c>
      <c r="BZ1" s="21" t="s">
        <v>826</v>
      </c>
      <c r="CA1" s="21" t="s">
        <v>827</v>
      </c>
      <c r="CB1" s="21" t="s">
        <v>74</v>
      </c>
      <c r="CC1" s="21" t="s">
        <v>2036</v>
      </c>
      <c r="CD1" s="21" t="s">
        <v>2037</v>
      </c>
      <c r="CE1" s="21" t="s">
        <v>828</v>
      </c>
      <c r="CF1" s="21" t="s">
        <v>829</v>
      </c>
      <c r="CG1" s="21" t="s">
        <v>75</v>
      </c>
      <c r="CH1" s="21" t="s">
        <v>824</v>
      </c>
      <c r="CI1" s="21" t="s">
        <v>825</v>
      </c>
      <c r="CJ1" s="21" t="s">
        <v>822</v>
      </c>
      <c r="CK1" s="21" t="s">
        <v>823</v>
      </c>
      <c r="CL1" s="22" t="s">
        <v>76</v>
      </c>
      <c r="CM1" s="22" t="s">
        <v>77</v>
      </c>
      <c r="CN1" s="22" t="s">
        <v>2038</v>
      </c>
      <c r="CO1" s="22" t="s">
        <v>2039</v>
      </c>
      <c r="CP1" s="22" t="s">
        <v>78</v>
      </c>
      <c r="CQ1" s="22" t="s">
        <v>841</v>
      </c>
      <c r="CR1" s="22" t="s">
        <v>2040</v>
      </c>
      <c r="CS1" s="22" t="s">
        <v>2041</v>
      </c>
      <c r="CU1" s="31" t="s">
        <v>2042</v>
      </c>
    </row>
    <row r="2" customFormat="false" ht="15" hidden="false" customHeight="true" outlineLevel="0" collapsed="false">
      <c r="A2" s="5" t="n">
        <v>165</v>
      </c>
      <c r="B2" s="5" t="n">
        <v>165</v>
      </c>
      <c r="C2" s="5" t="s">
        <v>862</v>
      </c>
      <c r="D2" s="5" t="n">
        <v>2012</v>
      </c>
      <c r="E2" s="5" t="s">
        <v>863</v>
      </c>
      <c r="F2" s="5" t="s">
        <v>866</v>
      </c>
      <c r="G2" s="5" t="s">
        <v>867</v>
      </c>
      <c r="H2" s="5" t="n">
        <v>28.633</v>
      </c>
      <c r="I2" s="5" t="n">
        <v>77.183</v>
      </c>
      <c r="J2" s="5" t="s">
        <v>83</v>
      </c>
      <c r="K2" s="5" t="s">
        <v>2183</v>
      </c>
      <c r="L2" s="5" t="s">
        <v>872</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2</v>
      </c>
      <c r="BW2" s="5" t="n">
        <v>3</v>
      </c>
      <c r="BX2" s="5" t="n">
        <f aca="false">IF(AND(N(BV2)&gt;0,N(BW2)&gt;0),SQRT(2*BV2/BW2),"")</f>
        <v>1.15470053837925</v>
      </c>
      <c r="BY2" s="5" t="n">
        <v>25.4</v>
      </c>
      <c r="BZ2" s="5"/>
      <c r="CA2" s="5"/>
      <c r="CB2" s="5"/>
      <c r="CC2" s="5" t="n">
        <v>28.633</v>
      </c>
      <c r="CD2" s="5" t="n">
        <v>1</v>
      </c>
      <c r="CE2" s="5"/>
      <c r="CF2" s="5"/>
      <c r="CG2" s="5" t="n">
        <v>8.16</v>
      </c>
      <c r="CH2" s="5" t="n">
        <v>5.2</v>
      </c>
      <c r="CI2" s="5" t="n">
        <v>1.5</v>
      </c>
      <c r="CJ2" s="5" t="n">
        <v>52.06</v>
      </c>
      <c r="CK2" s="5" t="n">
        <v>22.54</v>
      </c>
      <c r="CL2" s="5" t="s">
        <v>4791</v>
      </c>
      <c r="CM2" s="5" t="s">
        <v>2053</v>
      </c>
      <c r="CN2" s="5" t="s">
        <v>4792</v>
      </c>
      <c r="CO2" s="5" t="s">
        <v>2055</v>
      </c>
      <c r="CP2" s="5" t="s">
        <v>2047</v>
      </c>
      <c r="CQ2" s="23" t="s">
        <v>4793</v>
      </c>
      <c r="CR2" s="5" t="s">
        <v>880</v>
      </c>
      <c r="CS2" s="5" t="s">
        <v>4794</v>
      </c>
      <c r="CU2" s="34" t="s">
        <v>1510</v>
      </c>
    </row>
    <row r="3" customFormat="false" ht="15" hidden="false" customHeight="true" outlineLevel="0" collapsed="false">
      <c r="A3" s="5" t="n">
        <v>165</v>
      </c>
      <c r="B3" s="5" t="n">
        <v>165</v>
      </c>
      <c r="C3" s="5" t="s">
        <v>862</v>
      </c>
      <c r="D3" s="5" t="n">
        <v>2012</v>
      </c>
      <c r="E3" s="5" t="s">
        <v>863</v>
      </c>
      <c r="F3" s="5" t="s">
        <v>866</v>
      </c>
      <c r="G3" s="5" t="s">
        <v>867</v>
      </c>
      <c r="H3" s="5" t="n">
        <v>28.633</v>
      </c>
      <c r="I3" s="5" t="n">
        <v>77.183</v>
      </c>
      <c r="J3" s="5" t="s">
        <v>83</v>
      </c>
      <c r="K3" s="5" t="s">
        <v>2183</v>
      </c>
      <c r="L3" s="5" t="s">
        <v>872</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2</v>
      </c>
      <c r="BW3" s="5" t="n">
        <v>3</v>
      </c>
      <c r="BX3" s="5" t="n">
        <f aca="false">IF(AND(N(BV3)&gt;0,N(BW3)&gt;0),SQRT(2*BV3/BW3),"")</f>
        <v>1.15470053837925</v>
      </c>
      <c r="BY3" s="5" t="n">
        <v>25.4</v>
      </c>
      <c r="BZ3" s="5"/>
      <c r="CA3" s="5"/>
      <c r="CB3" s="5"/>
      <c r="CC3" s="5" t="n">
        <v>28.633</v>
      </c>
      <c r="CD3" s="5" t="n">
        <v>1</v>
      </c>
      <c r="CE3" s="5"/>
      <c r="CF3" s="5"/>
      <c r="CG3" s="5" t="n">
        <v>8.16</v>
      </c>
      <c r="CH3" s="5" t="n">
        <v>5.2</v>
      </c>
      <c r="CI3" s="5" t="n">
        <v>1.5</v>
      </c>
      <c r="CJ3" s="5" t="n">
        <v>52.06</v>
      </c>
      <c r="CK3" s="5" t="n">
        <v>22.54</v>
      </c>
      <c r="CL3" s="5" t="s">
        <v>4791</v>
      </c>
      <c r="CM3" s="5" t="s">
        <v>2059</v>
      </c>
      <c r="CN3" s="5" t="s">
        <v>4792</v>
      </c>
      <c r="CO3" s="5" t="s">
        <v>2055</v>
      </c>
      <c r="CP3" s="5" t="s">
        <v>2047</v>
      </c>
      <c r="CQ3" s="23" t="s">
        <v>4795</v>
      </c>
      <c r="CR3" s="5" t="s">
        <v>880</v>
      </c>
      <c r="CS3" s="5" t="s">
        <v>4794</v>
      </c>
    </row>
    <row r="4" customFormat="false" ht="15" hidden="false" customHeight="true" outlineLevel="0" collapsed="false">
      <c r="A4" s="5" t="n">
        <v>165</v>
      </c>
      <c r="B4" s="5" t="n">
        <v>165</v>
      </c>
      <c r="C4" s="5" t="s">
        <v>862</v>
      </c>
      <c r="D4" s="5" t="n">
        <v>2012</v>
      </c>
      <c r="E4" s="5" t="s">
        <v>863</v>
      </c>
      <c r="F4" s="5" t="s">
        <v>866</v>
      </c>
      <c r="G4" s="5" t="s">
        <v>867</v>
      </c>
      <c r="H4" s="5" t="n">
        <v>28.633</v>
      </c>
      <c r="I4" s="5" t="n">
        <v>77.183</v>
      </c>
      <c r="J4" s="5" t="s">
        <v>83</v>
      </c>
      <c r="K4" s="5" t="s">
        <v>2052</v>
      </c>
      <c r="L4" s="5" t="s">
        <v>872</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2</v>
      </c>
      <c r="BW4" s="5" t="n">
        <v>3</v>
      </c>
      <c r="BX4" s="5" t="n">
        <f aca="false">IF(AND(N(BV4)&gt;0,N(BW4)&gt;0),SQRT(2*BV4/BW4),"")</f>
        <v>1.15470053837925</v>
      </c>
      <c r="BY4" s="5" t="n">
        <v>25.4</v>
      </c>
      <c r="BZ4" s="5"/>
      <c r="CA4" s="5"/>
      <c r="CB4" s="5"/>
      <c r="CC4" s="5" t="n">
        <v>28.633</v>
      </c>
      <c r="CD4" s="5" t="n">
        <v>2</v>
      </c>
      <c r="CE4" s="5"/>
      <c r="CF4" s="5"/>
      <c r="CG4" s="5" t="n">
        <v>8.16</v>
      </c>
      <c r="CH4" s="5" t="n">
        <v>5.2</v>
      </c>
      <c r="CI4" s="5" t="n">
        <v>1.5</v>
      </c>
      <c r="CJ4" s="5" t="n">
        <v>52.06</v>
      </c>
      <c r="CK4" s="5" t="n">
        <v>22.54</v>
      </c>
      <c r="CL4" s="5" t="s">
        <v>4791</v>
      </c>
      <c r="CM4" s="5" t="s">
        <v>2053</v>
      </c>
      <c r="CN4" s="5" t="s">
        <v>4796</v>
      </c>
      <c r="CO4" s="5" t="s">
        <v>2055</v>
      </c>
      <c r="CP4" s="5" t="s">
        <v>2047</v>
      </c>
      <c r="CQ4" s="23" t="s">
        <v>4797</v>
      </c>
      <c r="CR4" s="5" t="s">
        <v>880</v>
      </c>
      <c r="CS4" s="5" t="s">
        <v>4794</v>
      </c>
    </row>
    <row r="5" customFormat="false" ht="15" hidden="false" customHeight="true" outlineLevel="0" collapsed="false">
      <c r="A5" s="5" t="n">
        <v>165</v>
      </c>
      <c r="B5" s="5" t="n">
        <v>165</v>
      </c>
      <c r="C5" s="5" t="s">
        <v>862</v>
      </c>
      <c r="D5" s="5" t="n">
        <v>2012</v>
      </c>
      <c r="E5" s="5" t="s">
        <v>863</v>
      </c>
      <c r="F5" s="5" t="s">
        <v>866</v>
      </c>
      <c r="G5" s="5" t="s">
        <v>867</v>
      </c>
      <c r="H5" s="5" t="n">
        <v>28.633</v>
      </c>
      <c r="I5" s="5" t="n">
        <v>77.183</v>
      </c>
      <c r="J5" s="5" t="s">
        <v>83</v>
      </c>
      <c r="K5" s="5" t="s">
        <v>2052</v>
      </c>
      <c r="L5" s="5" t="s">
        <v>872</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2</v>
      </c>
      <c r="BW5" s="5" t="n">
        <v>3</v>
      </c>
      <c r="BX5" s="5" t="n">
        <f aca="false">IF(AND(N(BV5)&gt;0,N(BW5)&gt;0),SQRT(2*BV5/BW5),"")</f>
        <v>1.15470053837925</v>
      </c>
      <c r="BY5" s="5" t="n">
        <v>25.4</v>
      </c>
      <c r="BZ5" s="5"/>
      <c r="CA5" s="5"/>
      <c r="CB5" s="5"/>
      <c r="CC5" s="5" t="n">
        <v>28.633</v>
      </c>
      <c r="CD5" s="5" t="n">
        <v>2</v>
      </c>
      <c r="CE5" s="5"/>
      <c r="CF5" s="5"/>
      <c r="CG5" s="5" t="n">
        <v>8.16</v>
      </c>
      <c r="CH5" s="5" t="n">
        <v>5.2</v>
      </c>
      <c r="CI5" s="5" t="n">
        <v>1.5</v>
      </c>
      <c r="CJ5" s="5" t="n">
        <v>52.06</v>
      </c>
      <c r="CK5" s="5" t="n">
        <v>22.54</v>
      </c>
      <c r="CL5" s="5" t="s">
        <v>4791</v>
      </c>
      <c r="CM5" s="5" t="s">
        <v>2059</v>
      </c>
      <c r="CN5" s="5" t="s">
        <v>4796</v>
      </c>
      <c r="CO5" s="5" t="s">
        <v>2055</v>
      </c>
      <c r="CP5" s="5" t="s">
        <v>2047</v>
      </c>
      <c r="CQ5" s="23" t="s">
        <v>4798</v>
      </c>
      <c r="CR5" s="5" t="s">
        <v>880</v>
      </c>
      <c r="CS5" s="5" t="s">
        <v>4794</v>
      </c>
    </row>
    <row r="6" customFormat="false" ht="15" hidden="false" customHeight="true" outlineLevel="0" collapsed="false">
      <c r="A6" s="5" t="n">
        <v>166</v>
      </c>
      <c r="B6" s="5" t="n">
        <v>166</v>
      </c>
      <c r="C6" s="5" t="s">
        <v>883</v>
      </c>
      <c r="D6" s="5" t="n">
        <v>2014</v>
      </c>
      <c r="E6" s="5" t="s">
        <v>884</v>
      </c>
      <c r="F6" s="5" t="s">
        <v>887</v>
      </c>
      <c r="G6" s="5" t="s">
        <v>888</v>
      </c>
      <c r="H6" s="5" t="n">
        <v>29.067</v>
      </c>
      <c r="I6" s="5" t="n">
        <v>77.767</v>
      </c>
      <c r="J6" s="5" t="s">
        <v>83</v>
      </c>
      <c r="K6" s="5" t="s">
        <v>4799</v>
      </c>
      <c r="L6" s="5" t="s">
        <v>872</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4800</v>
      </c>
      <c r="CM6" s="5" t="s">
        <v>2319</v>
      </c>
      <c r="CN6" s="5" t="s">
        <v>4801</v>
      </c>
      <c r="CO6" s="5" t="s">
        <v>2321</v>
      </c>
      <c r="CP6" s="5" t="s">
        <v>4802</v>
      </c>
      <c r="CQ6" s="23" t="s">
        <v>4803</v>
      </c>
      <c r="CR6" s="5" t="s">
        <v>899</v>
      </c>
      <c r="CS6" s="5" t="s">
        <v>4804</v>
      </c>
    </row>
    <row r="7" customFormat="false" ht="15" hidden="false" customHeight="true" outlineLevel="0" collapsed="false">
      <c r="A7" s="5" t="n">
        <v>166</v>
      </c>
      <c r="B7" s="5" t="n">
        <v>166</v>
      </c>
      <c r="C7" s="5" t="s">
        <v>883</v>
      </c>
      <c r="D7" s="5" t="n">
        <v>2014</v>
      </c>
      <c r="E7" s="5" t="s">
        <v>884</v>
      </c>
      <c r="F7" s="5" t="s">
        <v>887</v>
      </c>
      <c r="G7" s="5" t="s">
        <v>888</v>
      </c>
      <c r="H7" s="5" t="n">
        <v>29.067</v>
      </c>
      <c r="I7" s="5" t="n">
        <v>77.767</v>
      </c>
      <c r="J7" s="5" t="s">
        <v>83</v>
      </c>
      <c r="K7" s="5" t="s">
        <v>4805</v>
      </c>
      <c r="L7" s="5" t="s">
        <v>853</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4800</v>
      </c>
      <c r="CM7" s="5" t="s">
        <v>2319</v>
      </c>
      <c r="CN7" s="5" t="s">
        <v>4806</v>
      </c>
      <c r="CO7" s="5" t="s">
        <v>2321</v>
      </c>
      <c r="CP7" s="5" t="s">
        <v>4802</v>
      </c>
      <c r="CQ7" s="23" t="s">
        <v>4807</v>
      </c>
      <c r="CR7" s="5" t="s">
        <v>899</v>
      </c>
      <c r="CS7" s="5" t="s">
        <v>4804</v>
      </c>
    </row>
    <row r="8" customFormat="false" ht="15" hidden="false" customHeight="true" outlineLevel="0" collapsed="false">
      <c r="A8" s="5" t="n">
        <v>164</v>
      </c>
      <c r="B8" s="5" t="n">
        <v>164</v>
      </c>
      <c r="C8" s="5" t="s">
        <v>842</v>
      </c>
      <c r="D8" s="5" t="n">
        <v>2000</v>
      </c>
      <c r="E8" s="5" t="s">
        <v>843</v>
      </c>
      <c r="F8" s="5" t="s">
        <v>917</v>
      </c>
      <c r="G8" s="5" t="s">
        <v>2987</v>
      </c>
      <c r="H8" s="5" t="n">
        <v>30.933</v>
      </c>
      <c r="I8" s="5" t="n">
        <v>75.867</v>
      </c>
      <c r="J8" s="5" t="s">
        <v>921</v>
      </c>
      <c r="K8" s="5" t="s">
        <v>4808</v>
      </c>
      <c r="L8" s="5" t="s">
        <v>872</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15</v>
      </c>
      <c r="BW8" s="5" t="n">
        <v>4</v>
      </c>
      <c r="BX8" s="5" t="n">
        <f aca="false">IF(AND(N(BV8)&gt;0,N(BW8)&gt;0),SQRT(2*BV8/BW8),"")</f>
        <v>2.73861278752583</v>
      </c>
      <c r="BY8" s="5"/>
      <c r="BZ8" s="5"/>
      <c r="CA8" s="5"/>
      <c r="CB8" s="5" t="n">
        <v>500</v>
      </c>
      <c r="CC8" s="5" t="n">
        <v>30.933</v>
      </c>
      <c r="CD8" s="5" t="n">
        <v>1</v>
      </c>
      <c r="CE8" s="5"/>
      <c r="CF8" s="5"/>
      <c r="CG8" s="5"/>
      <c r="CH8" s="5" t="n">
        <v>3.1</v>
      </c>
      <c r="CI8" s="5"/>
      <c r="CJ8" s="5"/>
      <c r="CK8" s="5"/>
      <c r="CL8" s="5" t="s">
        <v>4809</v>
      </c>
      <c r="CM8" s="5" t="s">
        <v>2989</v>
      </c>
      <c r="CN8" s="5" t="s">
        <v>4810</v>
      </c>
      <c r="CO8" s="5" t="s">
        <v>2991</v>
      </c>
      <c r="CP8" s="5" t="s">
        <v>4811</v>
      </c>
      <c r="CQ8" s="23" t="s">
        <v>4812</v>
      </c>
      <c r="CR8" s="5" t="s">
        <v>858</v>
      </c>
      <c r="CS8" s="5" t="s">
        <v>4813</v>
      </c>
    </row>
    <row r="9" customFormat="false" ht="15" hidden="false" customHeight="true" outlineLevel="0" collapsed="false">
      <c r="A9" s="5" t="n">
        <v>164</v>
      </c>
      <c r="B9" s="5" t="n">
        <v>164</v>
      </c>
      <c r="C9" s="5" t="s">
        <v>842</v>
      </c>
      <c r="D9" s="5" t="n">
        <v>2000</v>
      </c>
      <c r="E9" s="5" t="s">
        <v>843</v>
      </c>
      <c r="F9" s="5" t="s">
        <v>917</v>
      </c>
      <c r="G9" s="5" t="s">
        <v>2987</v>
      </c>
      <c r="H9" s="5" t="n">
        <v>30.933</v>
      </c>
      <c r="I9" s="5" t="n">
        <v>75.867</v>
      </c>
      <c r="J9" s="5" t="s">
        <v>921</v>
      </c>
      <c r="K9" s="5" t="s">
        <v>4814</v>
      </c>
      <c r="L9" s="5" t="s">
        <v>872</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15</v>
      </c>
      <c r="BW9" s="5" t="n">
        <v>4</v>
      </c>
      <c r="BX9" s="5" t="n">
        <f aca="false">IF(AND(N(BV9)&gt;0,N(BW9)&gt;0),SQRT(2*BV9/BW9),"")</f>
        <v>2.73861278752583</v>
      </c>
      <c r="BY9" s="5"/>
      <c r="BZ9" s="5"/>
      <c r="CA9" s="5"/>
      <c r="CB9" s="5" t="n">
        <v>500</v>
      </c>
      <c r="CC9" s="5" t="n">
        <v>30.933</v>
      </c>
      <c r="CD9" s="5" t="n">
        <v>2</v>
      </c>
      <c r="CE9" s="5"/>
      <c r="CF9" s="5"/>
      <c r="CG9" s="5"/>
      <c r="CH9" s="5" t="n">
        <v>3.1</v>
      </c>
      <c r="CI9" s="5"/>
      <c r="CJ9" s="5"/>
      <c r="CK9" s="5"/>
      <c r="CL9" s="5" t="s">
        <v>4809</v>
      </c>
      <c r="CM9" s="5" t="s">
        <v>2989</v>
      </c>
      <c r="CN9" s="5" t="s">
        <v>4815</v>
      </c>
      <c r="CO9" s="5" t="s">
        <v>2991</v>
      </c>
      <c r="CP9" s="5" t="s">
        <v>4811</v>
      </c>
      <c r="CQ9" s="23" t="s">
        <v>4812</v>
      </c>
      <c r="CR9" s="5" t="s">
        <v>858</v>
      </c>
      <c r="CS9" s="5" t="s">
        <v>4813</v>
      </c>
    </row>
    <row r="10" customFormat="false" ht="15" hidden="false" customHeight="true" outlineLevel="0" collapsed="false">
      <c r="A10" s="5" t="n">
        <v>164</v>
      </c>
      <c r="B10" s="5" t="n">
        <v>164</v>
      </c>
      <c r="C10" s="5" t="s">
        <v>842</v>
      </c>
      <c r="D10" s="5" t="n">
        <v>2000</v>
      </c>
      <c r="E10" s="5" t="s">
        <v>843</v>
      </c>
      <c r="F10" s="5" t="s">
        <v>917</v>
      </c>
      <c r="G10" s="5" t="s">
        <v>2987</v>
      </c>
      <c r="H10" s="5" t="n">
        <v>30.933</v>
      </c>
      <c r="I10" s="5" t="n">
        <v>75.867</v>
      </c>
      <c r="J10" s="5" t="s">
        <v>921</v>
      </c>
      <c r="K10" s="5" t="s">
        <v>4816</v>
      </c>
      <c r="L10" s="5" t="s">
        <v>872</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15</v>
      </c>
      <c r="BW10" s="5" t="n">
        <v>4</v>
      </c>
      <c r="BX10" s="5" t="n">
        <f aca="false">IF(AND(N(BV10)&gt;0,N(BW10)&gt;0),SQRT(2*BV10/BW10),"")</f>
        <v>2.73861278752583</v>
      </c>
      <c r="BY10" s="5"/>
      <c r="BZ10" s="5"/>
      <c r="CA10" s="5"/>
      <c r="CB10" s="5" t="n">
        <v>500</v>
      </c>
      <c r="CC10" s="5" t="n">
        <v>30.933</v>
      </c>
      <c r="CD10" s="5" t="n">
        <v>3</v>
      </c>
      <c r="CE10" s="5"/>
      <c r="CF10" s="5"/>
      <c r="CG10" s="5"/>
      <c r="CH10" s="5" t="n">
        <v>3.1</v>
      </c>
      <c r="CI10" s="5"/>
      <c r="CJ10" s="5"/>
      <c r="CK10" s="5"/>
      <c r="CL10" s="5" t="s">
        <v>4809</v>
      </c>
      <c r="CM10" s="5" t="s">
        <v>2989</v>
      </c>
      <c r="CN10" s="5" t="s">
        <v>4817</v>
      </c>
      <c r="CO10" s="5" t="s">
        <v>2991</v>
      </c>
      <c r="CP10" s="5" t="s">
        <v>4811</v>
      </c>
      <c r="CQ10" s="23" t="s">
        <v>4812</v>
      </c>
      <c r="CR10" s="5" t="s">
        <v>858</v>
      </c>
      <c r="CS10" s="5" t="s">
        <v>4813</v>
      </c>
    </row>
    <row r="11" customFormat="false" ht="15" hidden="false" customHeight="true" outlineLevel="0" collapsed="false">
      <c r="A11" s="5" t="n">
        <v>164</v>
      </c>
      <c r="B11" s="5" t="n">
        <v>164</v>
      </c>
      <c r="C11" s="5" t="s">
        <v>842</v>
      </c>
      <c r="D11" s="5" t="n">
        <v>2000</v>
      </c>
      <c r="E11" s="5" t="s">
        <v>843</v>
      </c>
      <c r="F11" s="5" t="s">
        <v>917</v>
      </c>
      <c r="G11" s="5" t="s">
        <v>2987</v>
      </c>
      <c r="H11" s="5" t="n">
        <v>30.933</v>
      </c>
      <c r="I11" s="5" t="n">
        <v>75.867</v>
      </c>
      <c r="J11" s="5" t="s">
        <v>921</v>
      </c>
      <c r="K11" s="5" t="s">
        <v>4818</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15</v>
      </c>
      <c r="BW11" s="5" t="n">
        <v>4</v>
      </c>
      <c r="BX11" s="5" t="n">
        <f aca="false">IF(AND(N(BV11)&gt;0,N(BW11)&gt;0),SQRT(2*BV11/BW11),"")</f>
        <v>2.73861278752583</v>
      </c>
      <c r="BY11" s="5"/>
      <c r="BZ11" s="5"/>
      <c r="CA11" s="5"/>
      <c r="CB11" s="5" t="n">
        <v>500</v>
      </c>
      <c r="CC11" s="5" t="n">
        <v>30.933</v>
      </c>
      <c r="CD11" s="5" t="n">
        <v>4</v>
      </c>
      <c r="CE11" s="5"/>
      <c r="CF11" s="5"/>
      <c r="CG11" s="5"/>
      <c r="CH11" s="5" t="n">
        <v>3.1</v>
      </c>
      <c r="CI11" s="5"/>
      <c r="CJ11" s="5"/>
      <c r="CK11" s="5"/>
      <c r="CL11" s="5" t="s">
        <v>4809</v>
      </c>
      <c r="CM11" s="5" t="s">
        <v>2989</v>
      </c>
      <c r="CN11" s="5" t="s">
        <v>4819</v>
      </c>
      <c r="CO11" s="5" t="s">
        <v>2991</v>
      </c>
      <c r="CP11" s="5" t="s">
        <v>4811</v>
      </c>
      <c r="CQ11" s="23" t="s">
        <v>4812</v>
      </c>
      <c r="CR11" s="5" t="s">
        <v>858</v>
      </c>
      <c r="CS11" s="5" t="s">
        <v>4813</v>
      </c>
    </row>
    <row r="12" customFormat="false" ht="15" hidden="false" customHeight="true" outlineLevel="0" collapsed="false">
      <c r="A12" s="5" t="n">
        <v>164</v>
      </c>
      <c r="B12" s="5" t="n">
        <v>164</v>
      </c>
      <c r="C12" s="5" t="s">
        <v>842</v>
      </c>
      <c r="D12" s="5" t="n">
        <v>2000</v>
      </c>
      <c r="E12" s="5" t="s">
        <v>843</v>
      </c>
      <c r="F12" s="5" t="s">
        <v>917</v>
      </c>
      <c r="G12" s="5" t="s">
        <v>2987</v>
      </c>
      <c r="H12" s="5" t="n">
        <v>30.933</v>
      </c>
      <c r="I12" s="5" t="n">
        <v>75.867</v>
      </c>
      <c r="J12" s="5" t="s">
        <v>921</v>
      </c>
      <c r="K12" s="5" t="s">
        <v>4820</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15</v>
      </c>
      <c r="BW12" s="5" t="n">
        <v>4</v>
      </c>
      <c r="BX12" s="5" t="n">
        <f aca="false">IF(AND(N(BV12)&gt;0,N(BW12)&gt;0),SQRT(2*BV12/BW12),"")</f>
        <v>2.73861278752583</v>
      </c>
      <c r="BY12" s="5"/>
      <c r="BZ12" s="5"/>
      <c r="CA12" s="5"/>
      <c r="CB12" s="5" t="n">
        <v>500</v>
      </c>
      <c r="CC12" s="5" t="n">
        <v>30.933</v>
      </c>
      <c r="CD12" s="5" t="n">
        <v>5</v>
      </c>
      <c r="CE12" s="5"/>
      <c r="CF12" s="5"/>
      <c r="CG12" s="5"/>
      <c r="CH12" s="5" t="n">
        <v>3.1</v>
      </c>
      <c r="CI12" s="5"/>
      <c r="CJ12" s="5"/>
      <c r="CK12" s="5"/>
      <c r="CL12" s="5" t="s">
        <v>4809</v>
      </c>
      <c r="CM12" s="5" t="s">
        <v>2989</v>
      </c>
      <c r="CN12" s="5" t="s">
        <v>4821</v>
      </c>
      <c r="CO12" s="5" t="s">
        <v>2991</v>
      </c>
      <c r="CP12" s="5" t="s">
        <v>4811</v>
      </c>
      <c r="CQ12" s="23" t="s">
        <v>4812</v>
      </c>
      <c r="CR12" s="5" t="s">
        <v>858</v>
      </c>
      <c r="CS12" s="5" t="s">
        <v>4813</v>
      </c>
    </row>
    <row r="13" customFormat="false" ht="15" hidden="false" customHeight="true" outlineLevel="0" collapsed="false">
      <c r="A13" s="5" t="n">
        <v>164</v>
      </c>
      <c r="B13" s="5" t="n">
        <v>164</v>
      </c>
      <c r="C13" s="5" t="s">
        <v>842</v>
      </c>
      <c r="D13" s="5" t="n">
        <v>2000</v>
      </c>
      <c r="E13" s="5" t="s">
        <v>843</v>
      </c>
      <c r="F13" s="5" t="s">
        <v>917</v>
      </c>
      <c r="G13" s="5" t="s">
        <v>2987</v>
      </c>
      <c r="H13" s="5" t="n">
        <v>30.933</v>
      </c>
      <c r="I13" s="5" t="n">
        <v>75.867</v>
      </c>
      <c r="J13" s="5" t="s">
        <v>921</v>
      </c>
      <c r="K13" s="5" t="s">
        <v>4822</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15</v>
      </c>
      <c r="BW13" s="5" t="n">
        <v>4</v>
      </c>
      <c r="BX13" s="5" t="n">
        <f aca="false">IF(AND(N(BV13)&gt;0,N(BW13)&gt;0),SQRT(2*BV13/BW13),"")</f>
        <v>2.73861278752583</v>
      </c>
      <c r="BY13" s="5"/>
      <c r="BZ13" s="5"/>
      <c r="CA13" s="5"/>
      <c r="CB13" s="5" t="n">
        <v>500</v>
      </c>
      <c r="CC13" s="5" t="n">
        <v>30.933</v>
      </c>
      <c r="CD13" s="5" t="n">
        <v>6</v>
      </c>
      <c r="CE13" s="5"/>
      <c r="CF13" s="5"/>
      <c r="CG13" s="5"/>
      <c r="CH13" s="5" t="n">
        <v>3.1</v>
      </c>
      <c r="CI13" s="5"/>
      <c r="CJ13" s="5"/>
      <c r="CK13" s="5"/>
      <c r="CL13" s="5" t="s">
        <v>4809</v>
      </c>
      <c r="CM13" s="5" t="s">
        <v>2989</v>
      </c>
      <c r="CN13" s="5" t="s">
        <v>4823</v>
      </c>
      <c r="CO13" s="5" t="s">
        <v>2991</v>
      </c>
      <c r="CP13" s="5" t="s">
        <v>4811</v>
      </c>
      <c r="CQ13" s="23" t="s">
        <v>4812</v>
      </c>
      <c r="CR13" s="5" t="s">
        <v>858</v>
      </c>
      <c r="CS13" s="5" t="s">
        <v>4813</v>
      </c>
    </row>
    <row r="14" customFormat="false" ht="15" hidden="false" customHeight="true" outlineLevel="0" collapsed="false">
      <c r="A14" s="5" t="n">
        <v>164</v>
      </c>
      <c r="B14" s="5" t="n">
        <v>164</v>
      </c>
      <c r="C14" s="5" t="s">
        <v>842</v>
      </c>
      <c r="D14" s="5" t="n">
        <v>2000</v>
      </c>
      <c r="E14" s="5" t="s">
        <v>843</v>
      </c>
      <c r="F14" s="5" t="s">
        <v>917</v>
      </c>
      <c r="G14" s="5" t="s">
        <v>2987</v>
      </c>
      <c r="H14" s="5" t="n">
        <v>30.933</v>
      </c>
      <c r="I14" s="5" t="n">
        <v>75.867</v>
      </c>
      <c r="J14" s="5" t="s">
        <v>921</v>
      </c>
      <c r="K14" s="5" t="s">
        <v>4824</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15</v>
      </c>
      <c r="BW14" s="5" t="n">
        <v>4</v>
      </c>
      <c r="BX14" s="5" t="n">
        <f aca="false">IF(AND(N(BV14)&gt;0,N(BW14)&gt;0),SQRT(2*BV14/BW14),"")</f>
        <v>2.73861278752583</v>
      </c>
      <c r="BY14" s="5"/>
      <c r="BZ14" s="5"/>
      <c r="CA14" s="5"/>
      <c r="CB14" s="5" t="n">
        <v>500</v>
      </c>
      <c r="CC14" s="5" t="n">
        <v>30.933</v>
      </c>
      <c r="CD14" s="5" t="n">
        <v>7</v>
      </c>
      <c r="CE14" s="5"/>
      <c r="CF14" s="5"/>
      <c r="CG14" s="5"/>
      <c r="CH14" s="5" t="n">
        <v>3.1</v>
      </c>
      <c r="CI14" s="5"/>
      <c r="CJ14" s="5"/>
      <c r="CK14" s="5"/>
      <c r="CL14" s="5" t="s">
        <v>4809</v>
      </c>
      <c r="CM14" s="5" t="s">
        <v>2989</v>
      </c>
      <c r="CN14" s="5" t="s">
        <v>4825</v>
      </c>
      <c r="CO14" s="5" t="s">
        <v>2991</v>
      </c>
      <c r="CP14" s="5" t="s">
        <v>4811</v>
      </c>
      <c r="CQ14" s="23" t="s">
        <v>4812</v>
      </c>
      <c r="CR14" s="5" t="s">
        <v>858</v>
      </c>
      <c r="CS14" s="5" t="s">
        <v>4813</v>
      </c>
    </row>
    <row r="15" customFormat="false" ht="15" hidden="false" customHeight="true" outlineLevel="0" collapsed="false">
      <c r="A15" s="5" t="n">
        <v>164</v>
      </c>
      <c r="B15" s="5" t="n">
        <v>164</v>
      </c>
      <c r="C15" s="5" t="s">
        <v>842</v>
      </c>
      <c r="D15" s="5" t="n">
        <v>2000</v>
      </c>
      <c r="E15" s="5" t="s">
        <v>843</v>
      </c>
      <c r="F15" s="5" t="s">
        <v>917</v>
      </c>
      <c r="G15" s="5" t="s">
        <v>2987</v>
      </c>
      <c r="H15" s="5" t="n">
        <v>30.933</v>
      </c>
      <c r="I15" s="5" t="n">
        <v>75.867</v>
      </c>
      <c r="J15" s="5" t="s">
        <v>921</v>
      </c>
      <c r="K15" s="5" t="s">
        <v>4826</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15</v>
      </c>
      <c r="BW15" s="5" t="n">
        <v>4</v>
      </c>
      <c r="BX15" s="5" t="n">
        <f aca="false">IF(AND(N(BV15)&gt;0,N(BW15)&gt;0),SQRT(2*BV15/BW15),"")</f>
        <v>2.73861278752583</v>
      </c>
      <c r="BY15" s="5"/>
      <c r="BZ15" s="5"/>
      <c r="CA15" s="5"/>
      <c r="CB15" s="5" t="n">
        <v>500</v>
      </c>
      <c r="CC15" s="5" t="n">
        <v>30.933</v>
      </c>
      <c r="CD15" s="5" t="n">
        <v>8</v>
      </c>
      <c r="CE15" s="5"/>
      <c r="CF15" s="5"/>
      <c r="CG15" s="5"/>
      <c r="CH15" s="5" t="n">
        <v>3.1</v>
      </c>
      <c r="CI15" s="5"/>
      <c r="CJ15" s="5"/>
      <c r="CK15" s="5"/>
      <c r="CL15" s="5" t="s">
        <v>4809</v>
      </c>
      <c r="CM15" s="5" t="s">
        <v>2989</v>
      </c>
      <c r="CN15" s="5" t="s">
        <v>4827</v>
      </c>
      <c r="CO15" s="5" t="s">
        <v>2991</v>
      </c>
      <c r="CP15" s="5" t="s">
        <v>4811</v>
      </c>
      <c r="CQ15" s="23" t="s">
        <v>4812</v>
      </c>
      <c r="CR15" s="5" t="s">
        <v>858</v>
      </c>
      <c r="CS15" s="5" t="s">
        <v>4813</v>
      </c>
    </row>
    <row r="16" customFormat="false" ht="15" hidden="false" customHeight="true" outlineLevel="0" collapsed="false">
      <c r="A16" s="5" t="n">
        <v>164</v>
      </c>
      <c r="B16" s="5" t="n">
        <v>164</v>
      </c>
      <c r="C16" s="5" t="s">
        <v>842</v>
      </c>
      <c r="D16" s="5" t="n">
        <v>2000</v>
      </c>
      <c r="E16" s="5" t="s">
        <v>843</v>
      </c>
      <c r="F16" s="5" t="s">
        <v>917</v>
      </c>
      <c r="G16" s="5" t="s">
        <v>2987</v>
      </c>
      <c r="H16" s="5" t="n">
        <v>30.933</v>
      </c>
      <c r="I16" s="5" t="n">
        <v>75.867</v>
      </c>
      <c r="J16" s="5" t="s">
        <v>921</v>
      </c>
      <c r="K16" s="5" t="s">
        <v>4828</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15</v>
      </c>
      <c r="BW16" s="5" t="n">
        <v>4</v>
      </c>
      <c r="BX16" s="5" t="n">
        <f aca="false">IF(AND(N(BV16)&gt;0,N(BW16)&gt;0),SQRT(2*BV16/BW16),"")</f>
        <v>2.73861278752583</v>
      </c>
      <c r="BY16" s="5"/>
      <c r="BZ16" s="5"/>
      <c r="CA16" s="5"/>
      <c r="CB16" s="5" t="n">
        <v>500</v>
      </c>
      <c r="CC16" s="5" t="n">
        <v>30.933</v>
      </c>
      <c r="CD16" s="5" t="n">
        <v>9</v>
      </c>
      <c r="CE16" s="5"/>
      <c r="CF16" s="5"/>
      <c r="CG16" s="5"/>
      <c r="CH16" s="5" t="n">
        <v>3.1</v>
      </c>
      <c r="CI16" s="5"/>
      <c r="CJ16" s="5"/>
      <c r="CK16" s="5"/>
      <c r="CL16" s="5" t="s">
        <v>4809</v>
      </c>
      <c r="CM16" s="5" t="s">
        <v>2989</v>
      </c>
      <c r="CN16" s="5" t="s">
        <v>4829</v>
      </c>
      <c r="CO16" s="5" t="s">
        <v>2991</v>
      </c>
      <c r="CP16" s="5" t="s">
        <v>4811</v>
      </c>
      <c r="CQ16" s="23" t="s">
        <v>4812</v>
      </c>
      <c r="CR16" s="5" t="s">
        <v>858</v>
      </c>
      <c r="CS16" s="5" t="s">
        <v>4813</v>
      </c>
    </row>
    <row r="17" customFormat="false" ht="15" hidden="false" customHeight="true" outlineLevel="0" collapsed="false">
      <c r="A17" s="5" t="n">
        <v>164</v>
      </c>
      <c r="B17" s="5" t="n">
        <v>164</v>
      </c>
      <c r="C17" s="5" t="s">
        <v>842</v>
      </c>
      <c r="D17" s="5" t="n">
        <v>2000</v>
      </c>
      <c r="E17" s="5" t="s">
        <v>843</v>
      </c>
      <c r="F17" s="5" t="s">
        <v>917</v>
      </c>
      <c r="G17" s="5" t="s">
        <v>2987</v>
      </c>
      <c r="H17" s="5" t="n">
        <v>30.933</v>
      </c>
      <c r="I17" s="5" t="n">
        <v>75.867</v>
      </c>
      <c r="J17" s="5" t="s">
        <v>921</v>
      </c>
      <c r="K17" s="5" t="s">
        <v>4830</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15</v>
      </c>
      <c r="BW17" s="5" t="n">
        <v>4</v>
      </c>
      <c r="BX17" s="5" t="n">
        <f aca="false">IF(AND(N(BV17)&gt;0,N(BW17)&gt;0),SQRT(2*BV17/BW17),"")</f>
        <v>2.73861278752583</v>
      </c>
      <c r="BY17" s="5"/>
      <c r="BZ17" s="5"/>
      <c r="CA17" s="5"/>
      <c r="CB17" s="5" t="n">
        <v>500</v>
      </c>
      <c r="CC17" s="5" t="n">
        <v>30.933</v>
      </c>
      <c r="CD17" s="5" t="n">
        <v>10</v>
      </c>
      <c r="CE17" s="5"/>
      <c r="CF17" s="5"/>
      <c r="CG17" s="5"/>
      <c r="CH17" s="5" t="n">
        <v>3.1</v>
      </c>
      <c r="CI17" s="5"/>
      <c r="CJ17" s="5"/>
      <c r="CK17" s="5"/>
      <c r="CL17" s="5" t="s">
        <v>4809</v>
      </c>
      <c r="CM17" s="5" t="s">
        <v>2989</v>
      </c>
      <c r="CN17" s="5" t="s">
        <v>4831</v>
      </c>
      <c r="CO17" s="5" t="s">
        <v>2991</v>
      </c>
      <c r="CP17" s="5" t="s">
        <v>4811</v>
      </c>
      <c r="CQ17" s="23" t="s">
        <v>4812</v>
      </c>
      <c r="CR17" s="5" t="s">
        <v>858</v>
      </c>
      <c r="CS17" s="5" t="s">
        <v>4813</v>
      </c>
    </row>
    <row r="18" customFormat="false" ht="15" hidden="false" customHeight="true" outlineLevel="0" collapsed="false">
      <c r="A18" s="5" t="n">
        <v>164</v>
      </c>
      <c r="B18" s="5" t="n">
        <v>164</v>
      </c>
      <c r="C18" s="5" t="s">
        <v>842</v>
      </c>
      <c r="D18" s="5" t="n">
        <v>2000</v>
      </c>
      <c r="E18" s="5" t="s">
        <v>843</v>
      </c>
      <c r="F18" s="5" t="s">
        <v>917</v>
      </c>
      <c r="G18" s="5" t="s">
        <v>2987</v>
      </c>
      <c r="H18" s="5" t="n">
        <v>30.933</v>
      </c>
      <c r="I18" s="5" t="n">
        <v>75.867</v>
      </c>
      <c r="J18" s="5" t="s">
        <v>921</v>
      </c>
      <c r="K18" s="5" t="s">
        <v>4832</v>
      </c>
      <c r="L18" s="5" t="s">
        <v>853</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15</v>
      </c>
      <c r="BW18" s="5" t="n">
        <v>4</v>
      </c>
      <c r="BX18" s="5" t="n">
        <f aca="false">IF(AND(N(BV18)&gt;0,N(BW18)&gt;0),SQRT(2*BV18/BW18),"")</f>
        <v>2.73861278752583</v>
      </c>
      <c r="BY18" s="5"/>
      <c r="BZ18" s="5"/>
      <c r="CA18" s="5"/>
      <c r="CB18" s="5" t="n">
        <v>500</v>
      </c>
      <c r="CC18" s="5" t="n">
        <v>30.933</v>
      </c>
      <c r="CD18" s="5" t="n">
        <v>11</v>
      </c>
      <c r="CE18" s="5"/>
      <c r="CF18" s="5"/>
      <c r="CG18" s="5"/>
      <c r="CH18" s="5" t="n">
        <v>3.1</v>
      </c>
      <c r="CI18" s="5"/>
      <c r="CJ18" s="5"/>
      <c r="CK18" s="5"/>
      <c r="CL18" s="5" t="s">
        <v>4809</v>
      </c>
      <c r="CM18" s="5" t="s">
        <v>2989</v>
      </c>
      <c r="CN18" s="5" t="s">
        <v>4833</v>
      </c>
      <c r="CO18" s="5" t="s">
        <v>2991</v>
      </c>
      <c r="CP18" s="5" t="s">
        <v>4811</v>
      </c>
      <c r="CQ18" s="23" t="s">
        <v>4812</v>
      </c>
      <c r="CR18" s="5" t="s">
        <v>858</v>
      </c>
      <c r="CS18" s="5" t="s">
        <v>4813</v>
      </c>
    </row>
    <row r="19" customFormat="false" ht="15" hidden="false" customHeight="true" outlineLevel="0" collapsed="false">
      <c r="A19" s="5" t="n">
        <v>164</v>
      </c>
      <c r="B19" s="5" t="n">
        <v>164</v>
      </c>
      <c r="C19" s="5" t="s">
        <v>842</v>
      </c>
      <c r="D19" s="5" t="n">
        <v>2000</v>
      </c>
      <c r="E19" s="5" t="s">
        <v>843</v>
      </c>
      <c r="F19" s="5" t="s">
        <v>917</v>
      </c>
      <c r="G19" s="5" t="s">
        <v>2987</v>
      </c>
      <c r="H19" s="5" t="n">
        <v>30.933</v>
      </c>
      <c r="I19" s="5" t="n">
        <v>75.867</v>
      </c>
      <c r="J19" s="5" t="s">
        <v>921</v>
      </c>
      <c r="K19" s="5" t="s">
        <v>4834</v>
      </c>
      <c r="L19" s="5" t="s">
        <v>853</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15</v>
      </c>
      <c r="BW19" s="5" t="n">
        <v>4</v>
      </c>
      <c r="BX19" s="5" t="n">
        <f aca="false">IF(AND(N(BV19)&gt;0,N(BW19)&gt;0),SQRT(2*BV19/BW19),"")</f>
        <v>2.73861278752583</v>
      </c>
      <c r="BY19" s="5"/>
      <c r="BZ19" s="5"/>
      <c r="CA19" s="5"/>
      <c r="CB19" s="5" t="n">
        <v>500</v>
      </c>
      <c r="CC19" s="5" t="n">
        <v>30.933</v>
      </c>
      <c r="CD19" s="5" t="n">
        <v>12</v>
      </c>
      <c r="CE19" s="5"/>
      <c r="CF19" s="5"/>
      <c r="CG19" s="5"/>
      <c r="CH19" s="5" t="n">
        <v>3.1</v>
      </c>
      <c r="CI19" s="5"/>
      <c r="CJ19" s="5"/>
      <c r="CK19" s="5"/>
      <c r="CL19" s="5" t="s">
        <v>4809</v>
      </c>
      <c r="CM19" s="5" t="s">
        <v>2989</v>
      </c>
      <c r="CN19" s="5" t="s">
        <v>4835</v>
      </c>
      <c r="CO19" s="5" t="s">
        <v>2991</v>
      </c>
      <c r="CP19" s="5" t="s">
        <v>4811</v>
      </c>
      <c r="CQ19" s="23" t="s">
        <v>4812</v>
      </c>
      <c r="CR19" s="5" t="s">
        <v>858</v>
      </c>
      <c r="CS19" s="5" t="s">
        <v>4813</v>
      </c>
    </row>
    <row r="20" customFormat="false" ht="15" hidden="false" customHeight="true" outlineLevel="0" collapsed="false">
      <c r="A20" s="5" t="n">
        <v>164</v>
      </c>
      <c r="B20" s="5" t="n">
        <v>164</v>
      </c>
      <c r="C20" s="5" t="s">
        <v>842</v>
      </c>
      <c r="D20" s="5" t="n">
        <v>2000</v>
      </c>
      <c r="E20" s="5" t="s">
        <v>843</v>
      </c>
      <c r="F20" s="5" t="s">
        <v>917</v>
      </c>
      <c r="G20" s="5" t="s">
        <v>2987</v>
      </c>
      <c r="H20" s="5" t="n">
        <v>30.933</v>
      </c>
      <c r="I20" s="5" t="n">
        <v>75.867</v>
      </c>
      <c r="J20" s="5" t="s">
        <v>921</v>
      </c>
      <c r="K20" s="5" t="s">
        <v>4836</v>
      </c>
      <c r="L20" s="5" t="s">
        <v>853</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15</v>
      </c>
      <c r="BW20" s="5" t="n">
        <v>4</v>
      </c>
      <c r="BX20" s="5" t="n">
        <f aca="false">IF(AND(N(BV20)&gt;0,N(BW20)&gt;0),SQRT(2*BV20/BW20),"")</f>
        <v>2.73861278752583</v>
      </c>
      <c r="BY20" s="5"/>
      <c r="BZ20" s="5"/>
      <c r="CA20" s="5"/>
      <c r="CB20" s="5" t="n">
        <v>500</v>
      </c>
      <c r="CC20" s="5" t="n">
        <v>30.933</v>
      </c>
      <c r="CD20" s="5" t="n">
        <v>13</v>
      </c>
      <c r="CE20" s="5"/>
      <c r="CF20" s="5"/>
      <c r="CG20" s="5"/>
      <c r="CH20" s="5" t="n">
        <v>3.1</v>
      </c>
      <c r="CI20" s="5"/>
      <c r="CJ20" s="5"/>
      <c r="CK20" s="5"/>
      <c r="CL20" s="5" t="s">
        <v>4809</v>
      </c>
      <c r="CM20" s="5" t="s">
        <v>2989</v>
      </c>
      <c r="CN20" s="5" t="s">
        <v>4837</v>
      </c>
      <c r="CO20" s="5" t="s">
        <v>2991</v>
      </c>
      <c r="CP20" s="5" t="s">
        <v>4811</v>
      </c>
      <c r="CQ20" s="23" t="s">
        <v>4812</v>
      </c>
      <c r="CR20" s="5" t="s">
        <v>858</v>
      </c>
      <c r="CS20" s="5" t="s">
        <v>4813</v>
      </c>
    </row>
    <row r="21" customFormat="false" ht="15" hidden="false" customHeight="true" outlineLevel="0" collapsed="false">
      <c r="A21" s="5" t="n">
        <v>164</v>
      </c>
      <c r="B21" s="5" t="n">
        <v>164</v>
      </c>
      <c r="C21" s="5" t="s">
        <v>842</v>
      </c>
      <c r="D21" s="5" t="n">
        <v>2000</v>
      </c>
      <c r="E21" s="5" t="s">
        <v>843</v>
      </c>
      <c r="F21" s="5" t="s">
        <v>917</v>
      </c>
      <c r="G21" s="5" t="s">
        <v>2987</v>
      </c>
      <c r="H21" s="5" t="n">
        <v>30.933</v>
      </c>
      <c r="I21" s="5" t="n">
        <v>75.867</v>
      </c>
      <c r="J21" s="5" t="s">
        <v>921</v>
      </c>
      <c r="K21" s="5" t="s">
        <v>2150</v>
      </c>
      <c r="L21" s="5" t="s">
        <v>853</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15</v>
      </c>
      <c r="BW21" s="5" t="n">
        <v>4</v>
      </c>
      <c r="BX21" s="5" t="n">
        <f aca="false">IF(AND(N(BV21)&gt;0,N(BW21)&gt;0),SQRT(2*BV21/BW21),"")</f>
        <v>2.73861278752583</v>
      </c>
      <c r="BY21" s="5"/>
      <c r="BZ21" s="5"/>
      <c r="CA21" s="5"/>
      <c r="CB21" s="5" t="n">
        <v>500</v>
      </c>
      <c r="CC21" s="5" t="n">
        <v>30.933</v>
      </c>
      <c r="CD21" s="5" t="n">
        <v>14</v>
      </c>
      <c r="CE21" s="5"/>
      <c r="CF21" s="5"/>
      <c r="CG21" s="5"/>
      <c r="CH21" s="5" t="n">
        <v>3.1</v>
      </c>
      <c r="CI21" s="5"/>
      <c r="CJ21" s="5"/>
      <c r="CK21" s="5"/>
      <c r="CL21" s="5" t="s">
        <v>4809</v>
      </c>
      <c r="CM21" s="5" t="s">
        <v>2989</v>
      </c>
      <c r="CN21" s="5" t="s">
        <v>4838</v>
      </c>
      <c r="CO21" s="5" t="s">
        <v>2991</v>
      </c>
      <c r="CP21" s="5" t="s">
        <v>4811</v>
      </c>
      <c r="CQ21" s="23" t="s">
        <v>4812</v>
      </c>
      <c r="CR21" s="5" t="s">
        <v>858</v>
      </c>
      <c r="CS21" s="5" t="s">
        <v>4813</v>
      </c>
    </row>
    <row r="22" customFormat="false" ht="15" hidden="false" customHeight="true" outlineLevel="0" collapsed="false">
      <c r="A22" s="5" t="n">
        <v>164</v>
      </c>
      <c r="B22" s="5" t="n">
        <v>164</v>
      </c>
      <c r="C22" s="5" t="s">
        <v>842</v>
      </c>
      <c r="D22" s="5" t="n">
        <v>2000</v>
      </c>
      <c r="E22" s="5" t="s">
        <v>843</v>
      </c>
      <c r="F22" s="5" t="s">
        <v>917</v>
      </c>
      <c r="G22" s="5" t="s">
        <v>2987</v>
      </c>
      <c r="H22" s="5" t="n">
        <v>30.933</v>
      </c>
      <c r="I22" s="5" t="n">
        <v>75.867</v>
      </c>
      <c r="J22" s="5" t="s">
        <v>921</v>
      </c>
      <c r="K22" s="5" t="s">
        <v>2988</v>
      </c>
      <c r="L22" s="5" t="s">
        <v>853</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15</v>
      </c>
      <c r="BW22" s="5" t="n">
        <v>4</v>
      </c>
      <c r="BX22" s="5" t="n">
        <f aca="false">IF(AND(N(BV22)&gt;0,N(BW22)&gt;0),SQRT(2*BV22/BW22),"")</f>
        <v>2.73861278752583</v>
      </c>
      <c r="BY22" s="5"/>
      <c r="BZ22" s="5"/>
      <c r="CA22" s="5"/>
      <c r="CB22" s="5" t="n">
        <v>500</v>
      </c>
      <c r="CC22" s="5" t="n">
        <v>30.933</v>
      </c>
      <c r="CD22" s="5" t="n">
        <v>15</v>
      </c>
      <c r="CE22" s="5"/>
      <c r="CF22" s="5"/>
      <c r="CG22" s="5"/>
      <c r="CH22" s="5" t="n">
        <v>3.1</v>
      </c>
      <c r="CI22" s="5"/>
      <c r="CJ22" s="5"/>
      <c r="CK22" s="5"/>
      <c r="CL22" s="5" t="s">
        <v>4809</v>
      </c>
      <c r="CM22" s="5" t="s">
        <v>2989</v>
      </c>
      <c r="CN22" s="5" t="s">
        <v>4839</v>
      </c>
      <c r="CO22" s="5" t="s">
        <v>2991</v>
      </c>
      <c r="CP22" s="5" t="s">
        <v>4811</v>
      </c>
      <c r="CQ22" s="23" t="s">
        <v>4812</v>
      </c>
      <c r="CR22" s="5" t="s">
        <v>858</v>
      </c>
      <c r="CS22" s="5" t="s">
        <v>4813</v>
      </c>
    </row>
    <row r="23" customFormat="false" ht="15" hidden="false" customHeight="true" outlineLevel="0" collapsed="false">
      <c r="A23" s="5" t="n">
        <v>164</v>
      </c>
      <c r="B23" s="5" t="n">
        <v>164</v>
      </c>
      <c r="C23" s="5" t="s">
        <v>842</v>
      </c>
      <c r="D23" s="5" t="n">
        <v>2000</v>
      </c>
      <c r="E23" s="5" t="s">
        <v>843</v>
      </c>
      <c r="F23" s="5" t="s">
        <v>1964</v>
      </c>
      <c r="G23" s="5" t="s">
        <v>2995</v>
      </c>
      <c r="H23" s="5" t="n">
        <v>29</v>
      </c>
      <c r="I23" s="5" t="n">
        <v>79.083</v>
      </c>
      <c r="J23" s="5" t="s">
        <v>83</v>
      </c>
      <c r="K23" s="5" t="s">
        <v>4808</v>
      </c>
      <c r="L23" s="5" t="s">
        <v>872</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15</v>
      </c>
      <c r="BW23" s="5" t="n">
        <v>4</v>
      </c>
      <c r="BX23" s="5" t="n">
        <f aca="false">IF(AND(N(BV23)&gt;0,N(BW23)&gt;0),SQRT(2*BV23/BW23),"")</f>
        <v>2.73861278752583</v>
      </c>
      <c r="BY23" s="5"/>
      <c r="BZ23" s="5"/>
      <c r="CA23" s="5"/>
      <c r="CB23" s="5" t="n">
        <v>1350</v>
      </c>
      <c r="CC23" s="5" t="n">
        <v>29</v>
      </c>
      <c r="CD23" s="5" t="n">
        <v>1</v>
      </c>
      <c r="CE23" s="5"/>
      <c r="CF23" s="5"/>
      <c r="CG23" s="5"/>
      <c r="CH23" s="5" t="n">
        <v>14.2</v>
      </c>
      <c r="CI23" s="5"/>
      <c r="CJ23" s="5"/>
      <c r="CK23" s="5"/>
      <c r="CL23" s="5" t="s">
        <v>4809</v>
      </c>
      <c r="CM23" s="5" t="s">
        <v>2989</v>
      </c>
      <c r="CN23" s="5" t="s">
        <v>4810</v>
      </c>
      <c r="CO23" s="5" t="s">
        <v>2996</v>
      </c>
      <c r="CP23" s="5" t="s">
        <v>4840</v>
      </c>
      <c r="CQ23" s="23" t="s">
        <v>4841</v>
      </c>
      <c r="CR23" s="5" t="s">
        <v>858</v>
      </c>
      <c r="CS23" s="5" t="s">
        <v>4813</v>
      </c>
    </row>
    <row r="24" customFormat="false" ht="15" hidden="false" customHeight="true" outlineLevel="0" collapsed="false">
      <c r="A24" s="5" t="n">
        <v>164</v>
      </c>
      <c r="B24" s="5" t="n">
        <v>164</v>
      </c>
      <c r="C24" s="5" t="s">
        <v>842</v>
      </c>
      <c r="D24" s="5" t="n">
        <v>2000</v>
      </c>
      <c r="E24" s="5" t="s">
        <v>843</v>
      </c>
      <c r="F24" s="5" t="s">
        <v>1964</v>
      </c>
      <c r="G24" s="5" t="s">
        <v>2995</v>
      </c>
      <c r="H24" s="5" t="n">
        <v>29</v>
      </c>
      <c r="I24" s="5" t="n">
        <v>79.083</v>
      </c>
      <c r="J24" s="5" t="s">
        <v>83</v>
      </c>
      <c r="K24" s="5" t="s">
        <v>4814</v>
      </c>
      <c r="L24" s="5" t="s">
        <v>872</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15</v>
      </c>
      <c r="BW24" s="5" t="n">
        <v>4</v>
      </c>
      <c r="BX24" s="5" t="n">
        <f aca="false">IF(AND(N(BV24)&gt;0,N(BW24)&gt;0),SQRT(2*BV24/BW24),"")</f>
        <v>2.73861278752583</v>
      </c>
      <c r="BY24" s="5"/>
      <c r="BZ24" s="5"/>
      <c r="CA24" s="5"/>
      <c r="CB24" s="5" t="n">
        <v>1350</v>
      </c>
      <c r="CC24" s="5" t="n">
        <v>29</v>
      </c>
      <c r="CD24" s="5" t="n">
        <v>2</v>
      </c>
      <c r="CE24" s="5"/>
      <c r="CF24" s="5"/>
      <c r="CG24" s="5"/>
      <c r="CH24" s="5" t="n">
        <v>14.2</v>
      </c>
      <c r="CI24" s="5"/>
      <c r="CJ24" s="5"/>
      <c r="CK24" s="5"/>
      <c r="CL24" s="5" t="s">
        <v>4809</v>
      </c>
      <c r="CM24" s="5" t="s">
        <v>2989</v>
      </c>
      <c r="CN24" s="5" t="s">
        <v>4815</v>
      </c>
      <c r="CO24" s="5" t="s">
        <v>2996</v>
      </c>
      <c r="CP24" s="5" t="s">
        <v>4840</v>
      </c>
      <c r="CQ24" s="23" t="s">
        <v>4841</v>
      </c>
      <c r="CR24" s="5" t="s">
        <v>858</v>
      </c>
      <c r="CS24" s="5" t="s">
        <v>4813</v>
      </c>
    </row>
    <row r="25" customFormat="false" ht="15" hidden="false" customHeight="true" outlineLevel="0" collapsed="false">
      <c r="A25" s="5" t="n">
        <v>164</v>
      </c>
      <c r="B25" s="5" t="n">
        <v>164</v>
      </c>
      <c r="C25" s="5" t="s">
        <v>842</v>
      </c>
      <c r="D25" s="5" t="n">
        <v>2000</v>
      </c>
      <c r="E25" s="5" t="s">
        <v>843</v>
      </c>
      <c r="F25" s="5" t="s">
        <v>1964</v>
      </c>
      <c r="G25" s="5" t="s">
        <v>2995</v>
      </c>
      <c r="H25" s="5" t="n">
        <v>29</v>
      </c>
      <c r="I25" s="5" t="n">
        <v>79.083</v>
      </c>
      <c r="J25" s="5" t="s">
        <v>83</v>
      </c>
      <c r="K25" s="5" t="s">
        <v>4816</v>
      </c>
      <c r="L25" s="5" t="s">
        <v>872</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15</v>
      </c>
      <c r="BW25" s="5" t="n">
        <v>4</v>
      </c>
      <c r="BX25" s="5" t="n">
        <f aca="false">IF(AND(N(BV25)&gt;0,N(BW25)&gt;0),SQRT(2*BV25/BW25),"")</f>
        <v>2.73861278752583</v>
      </c>
      <c r="BY25" s="5"/>
      <c r="BZ25" s="5"/>
      <c r="CA25" s="5"/>
      <c r="CB25" s="5" t="n">
        <v>1350</v>
      </c>
      <c r="CC25" s="5" t="n">
        <v>29</v>
      </c>
      <c r="CD25" s="5" t="n">
        <v>3</v>
      </c>
      <c r="CE25" s="5"/>
      <c r="CF25" s="5"/>
      <c r="CG25" s="5"/>
      <c r="CH25" s="5" t="n">
        <v>14.2</v>
      </c>
      <c r="CI25" s="5"/>
      <c r="CJ25" s="5"/>
      <c r="CK25" s="5"/>
      <c r="CL25" s="5" t="s">
        <v>4809</v>
      </c>
      <c r="CM25" s="5" t="s">
        <v>2989</v>
      </c>
      <c r="CN25" s="5" t="s">
        <v>4817</v>
      </c>
      <c r="CO25" s="5" t="s">
        <v>2996</v>
      </c>
      <c r="CP25" s="5" t="s">
        <v>4840</v>
      </c>
      <c r="CQ25" s="23" t="s">
        <v>4841</v>
      </c>
      <c r="CR25" s="5" t="s">
        <v>858</v>
      </c>
      <c r="CS25" s="5" t="s">
        <v>4813</v>
      </c>
    </row>
    <row r="26" customFormat="false" ht="15" hidden="false" customHeight="true" outlineLevel="0" collapsed="false">
      <c r="A26" s="5" t="n">
        <v>164</v>
      </c>
      <c r="B26" s="5" t="n">
        <v>164</v>
      </c>
      <c r="C26" s="5" t="s">
        <v>842</v>
      </c>
      <c r="D26" s="5" t="n">
        <v>2000</v>
      </c>
      <c r="E26" s="5" t="s">
        <v>843</v>
      </c>
      <c r="F26" s="5" t="s">
        <v>1964</v>
      </c>
      <c r="G26" s="5" t="s">
        <v>2995</v>
      </c>
      <c r="H26" s="5" t="n">
        <v>29</v>
      </c>
      <c r="I26" s="5" t="n">
        <v>79.083</v>
      </c>
      <c r="J26" s="5" t="s">
        <v>83</v>
      </c>
      <c r="K26" s="5" t="s">
        <v>4818</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15</v>
      </c>
      <c r="BW26" s="5" t="n">
        <v>4</v>
      </c>
      <c r="BX26" s="5" t="n">
        <f aca="false">IF(AND(N(BV26)&gt;0,N(BW26)&gt;0),SQRT(2*BV26/BW26),"")</f>
        <v>2.73861278752583</v>
      </c>
      <c r="BY26" s="5"/>
      <c r="BZ26" s="5"/>
      <c r="CA26" s="5"/>
      <c r="CB26" s="5" t="n">
        <v>1350</v>
      </c>
      <c r="CC26" s="5" t="n">
        <v>29</v>
      </c>
      <c r="CD26" s="5" t="n">
        <v>4</v>
      </c>
      <c r="CE26" s="5"/>
      <c r="CF26" s="5"/>
      <c r="CG26" s="5"/>
      <c r="CH26" s="5" t="n">
        <v>14.2</v>
      </c>
      <c r="CI26" s="5"/>
      <c r="CJ26" s="5"/>
      <c r="CK26" s="5"/>
      <c r="CL26" s="5" t="s">
        <v>4809</v>
      </c>
      <c r="CM26" s="5" t="s">
        <v>2989</v>
      </c>
      <c r="CN26" s="5" t="s">
        <v>4819</v>
      </c>
      <c r="CO26" s="5" t="s">
        <v>2996</v>
      </c>
      <c r="CP26" s="5" t="s">
        <v>4840</v>
      </c>
      <c r="CQ26" s="23" t="s">
        <v>4841</v>
      </c>
      <c r="CR26" s="5" t="s">
        <v>858</v>
      </c>
      <c r="CS26" s="5" t="s">
        <v>4813</v>
      </c>
    </row>
    <row r="27" customFormat="false" ht="15" hidden="false" customHeight="true" outlineLevel="0" collapsed="false">
      <c r="A27" s="5" t="n">
        <v>164</v>
      </c>
      <c r="B27" s="5" t="n">
        <v>164</v>
      </c>
      <c r="C27" s="5" t="s">
        <v>842</v>
      </c>
      <c r="D27" s="5" t="n">
        <v>2000</v>
      </c>
      <c r="E27" s="5" t="s">
        <v>843</v>
      </c>
      <c r="F27" s="5" t="s">
        <v>1964</v>
      </c>
      <c r="G27" s="5" t="s">
        <v>2995</v>
      </c>
      <c r="H27" s="5" t="n">
        <v>29</v>
      </c>
      <c r="I27" s="5" t="n">
        <v>79.083</v>
      </c>
      <c r="J27" s="5" t="s">
        <v>83</v>
      </c>
      <c r="K27" s="5" t="s">
        <v>4820</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15</v>
      </c>
      <c r="BW27" s="5" t="n">
        <v>4</v>
      </c>
      <c r="BX27" s="5" t="n">
        <f aca="false">IF(AND(N(BV27)&gt;0,N(BW27)&gt;0),SQRT(2*BV27/BW27),"")</f>
        <v>2.73861278752583</v>
      </c>
      <c r="BY27" s="5"/>
      <c r="BZ27" s="5"/>
      <c r="CA27" s="5"/>
      <c r="CB27" s="5" t="n">
        <v>1350</v>
      </c>
      <c r="CC27" s="5" t="n">
        <v>29</v>
      </c>
      <c r="CD27" s="5" t="n">
        <v>5</v>
      </c>
      <c r="CE27" s="5"/>
      <c r="CF27" s="5"/>
      <c r="CG27" s="5"/>
      <c r="CH27" s="5" t="n">
        <v>14.2</v>
      </c>
      <c r="CI27" s="5"/>
      <c r="CJ27" s="5"/>
      <c r="CK27" s="5"/>
      <c r="CL27" s="5" t="s">
        <v>4809</v>
      </c>
      <c r="CM27" s="5" t="s">
        <v>2989</v>
      </c>
      <c r="CN27" s="5" t="s">
        <v>4821</v>
      </c>
      <c r="CO27" s="5" t="s">
        <v>2996</v>
      </c>
      <c r="CP27" s="5" t="s">
        <v>4840</v>
      </c>
      <c r="CQ27" s="23" t="s">
        <v>4841</v>
      </c>
      <c r="CR27" s="5" t="s">
        <v>858</v>
      </c>
      <c r="CS27" s="5" t="s">
        <v>4813</v>
      </c>
    </row>
    <row r="28" customFormat="false" ht="15" hidden="false" customHeight="true" outlineLevel="0" collapsed="false">
      <c r="A28" s="5" t="n">
        <v>164</v>
      </c>
      <c r="B28" s="5" t="n">
        <v>164</v>
      </c>
      <c r="C28" s="5" t="s">
        <v>842</v>
      </c>
      <c r="D28" s="5" t="n">
        <v>2000</v>
      </c>
      <c r="E28" s="5" t="s">
        <v>843</v>
      </c>
      <c r="F28" s="5" t="s">
        <v>1964</v>
      </c>
      <c r="G28" s="5" t="s">
        <v>2995</v>
      </c>
      <c r="H28" s="5" t="n">
        <v>29</v>
      </c>
      <c r="I28" s="5" t="n">
        <v>79.083</v>
      </c>
      <c r="J28" s="5" t="s">
        <v>83</v>
      </c>
      <c r="K28" s="5" t="s">
        <v>4822</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15</v>
      </c>
      <c r="BW28" s="5" t="n">
        <v>4</v>
      </c>
      <c r="BX28" s="5" t="n">
        <f aca="false">IF(AND(N(BV28)&gt;0,N(BW28)&gt;0),SQRT(2*BV28/BW28),"")</f>
        <v>2.73861278752583</v>
      </c>
      <c r="BY28" s="5"/>
      <c r="BZ28" s="5"/>
      <c r="CA28" s="5"/>
      <c r="CB28" s="5" t="n">
        <v>1350</v>
      </c>
      <c r="CC28" s="5" t="n">
        <v>29</v>
      </c>
      <c r="CD28" s="5" t="n">
        <v>6</v>
      </c>
      <c r="CE28" s="5"/>
      <c r="CF28" s="5"/>
      <c r="CG28" s="5"/>
      <c r="CH28" s="5" t="n">
        <v>14.2</v>
      </c>
      <c r="CI28" s="5"/>
      <c r="CJ28" s="5"/>
      <c r="CK28" s="5"/>
      <c r="CL28" s="5" t="s">
        <v>4809</v>
      </c>
      <c r="CM28" s="5" t="s">
        <v>2989</v>
      </c>
      <c r="CN28" s="5" t="s">
        <v>4823</v>
      </c>
      <c r="CO28" s="5" t="s">
        <v>2996</v>
      </c>
      <c r="CP28" s="5" t="s">
        <v>4840</v>
      </c>
      <c r="CQ28" s="23" t="s">
        <v>4841</v>
      </c>
      <c r="CR28" s="5" t="s">
        <v>858</v>
      </c>
      <c r="CS28" s="5" t="s">
        <v>4813</v>
      </c>
    </row>
    <row r="29" customFormat="false" ht="15" hidden="false" customHeight="true" outlineLevel="0" collapsed="false">
      <c r="A29" s="5" t="n">
        <v>164</v>
      </c>
      <c r="B29" s="5" t="n">
        <v>164</v>
      </c>
      <c r="C29" s="5" t="s">
        <v>842</v>
      </c>
      <c r="D29" s="5" t="n">
        <v>2000</v>
      </c>
      <c r="E29" s="5" t="s">
        <v>843</v>
      </c>
      <c r="F29" s="5" t="s">
        <v>1964</v>
      </c>
      <c r="G29" s="5" t="s">
        <v>2995</v>
      </c>
      <c r="H29" s="5" t="n">
        <v>29</v>
      </c>
      <c r="I29" s="5" t="n">
        <v>79.083</v>
      </c>
      <c r="J29" s="5" t="s">
        <v>83</v>
      </c>
      <c r="K29" s="5" t="s">
        <v>4824</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15</v>
      </c>
      <c r="BW29" s="5" t="n">
        <v>4</v>
      </c>
      <c r="BX29" s="5" t="n">
        <f aca="false">IF(AND(N(BV29)&gt;0,N(BW29)&gt;0),SQRT(2*BV29/BW29),"")</f>
        <v>2.73861278752583</v>
      </c>
      <c r="BY29" s="5"/>
      <c r="BZ29" s="5"/>
      <c r="CA29" s="5"/>
      <c r="CB29" s="5" t="n">
        <v>1350</v>
      </c>
      <c r="CC29" s="5" t="n">
        <v>29</v>
      </c>
      <c r="CD29" s="5" t="n">
        <v>7</v>
      </c>
      <c r="CE29" s="5"/>
      <c r="CF29" s="5"/>
      <c r="CG29" s="5"/>
      <c r="CH29" s="5" t="n">
        <v>14.2</v>
      </c>
      <c r="CI29" s="5"/>
      <c r="CJ29" s="5"/>
      <c r="CK29" s="5"/>
      <c r="CL29" s="5" t="s">
        <v>4809</v>
      </c>
      <c r="CM29" s="5" t="s">
        <v>2989</v>
      </c>
      <c r="CN29" s="5" t="s">
        <v>4825</v>
      </c>
      <c r="CO29" s="5" t="s">
        <v>2996</v>
      </c>
      <c r="CP29" s="5" t="s">
        <v>4840</v>
      </c>
      <c r="CQ29" s="23" t="s">
        <v>4841</v>
      </c>
      <c r="CR29" s="5" t="s">
        <v>858</v>
      </c>
      <c r="CS29" s="5" t="s">
        <v>4813</v>
      </c>
    </row>
    <row r="30" customFormat="false" ht="15" hidden="false" customHeight="true" outlineLevel="0" collapsed="false">
      <c r="A30" s="5" t="n">
        <v>164</v>
      </c>
      <c r="B30" s="5" t="n">
        <v>164</v>
      </c>
      <c r="C30" s="5" t="s">
        <v>842</v>
      </c>
      <c r="D30" s="5" t="n">
        <v>2000</v>
      </c>
      <c r="E30" s="5" t="s">
        <v>843</v>
      </c>
      <c r="F30" s="5" t="s">
        <v>1964</v>
      </c>
      <c r="G30" s="5" t="s">
        <v>2995</v>
      </c>
      <c r="H30" s="5" t="n">
        <v>29</v>
      </c>
      <c r="I30" s="5" t="n">
        <v>79.083</v>
      </c>
      <c r="J30" s="5" t="s">
        <v>83</v>
      </c>
      <c r="K30" s="5" t="s">
        <v>4826</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15</v>
      </c>
      <c r="BW30" s="5" t="n">
        <v>4</v>
      </c>
      <c r="BX30" s="5" t="n">
        <f aca="false">IF(AND(N(BV30)&gt;0,N(BW30)&gt;0),SQRT(2*BV30/BW30),"")</f>
        <v>2.73861278752583</v>
      </c>
      <c r="BY30" s="5"/>
      <c r="BZ30" s="5"/>
      <c r="CA30" s="5"/>
      <c r="CB30" s="5" t="n">
        <v>1350</v>
      </c>
      <c r="CC30" s="5" t="n">
        <v>29</v>
      </c>
      <c r="CD30" s="5" t="n">
        <v>8</v>
      </c>
      <c r="CE30" s="5"/>
      <c r="CF30" s="5"/>
      <c r="CG30" s="5"/>
      <c r="CH30" s="5" t="n">
        <v>14.2</v>
      </c>
      <c r="CI30" s="5"/>
      <c r="CJ30" s="5"/>
      <c r="CK30" s="5"/>
      <c r="CL30" s="5" t="s">
        <v>4809</v>
      </c>
      <c r="CM30" s="5" t="s">
        <v>2989</v>
      </c>
      <c r="CN30" s="5" t="s">
        <v>4827</v>
      </c>
      <c r="CO30" s="5" t="s">
        <v>2996</v>
      </c>
      <c r="CP30" s="5" t="s">
        <v>4840</v>
      </c>
      <c r="CQ30" s="23" t="s">
        <v>4841</v>
      </c>
      <c r="CR30" s="5" t="s">
        <v>858</v>
      </c>
      <c r="CS30" s="5" t="s">
        <v>4813</v>
      </c>
    </row>
    <row r="31" customFormat="false" ht="15" hidden="false" customHeight="true" outlineLevel="0" collapsed="false">
      <c r="A31" s="5" t="n">
        <v>164</v>
      </c>
      <c r="B31" s="5" t="n">
        <v>164</v>
      </c>
      <c r="C31" s="5" t="s">
        <v>842</v>
      </c>
      <c r="D31" s="5" t="n">
        <v>2000</v>
      </c>
      <c r="E31" s="5" t="s">
        <v>843</v>
      </c>
      <c r="F31" s="5" t="s">
        <v>1964</v>
      </c>
      <c r="G31" s="5" t="s">
        <v>2995</v>
      </c>
      <c r="H31" s="5" t="n">
        <v>29</v>
      </c>
      <c r="I31" s="5" t="n">
        <v>79.083</v>
      </c>
      <c r="J31" s="5" t="s">
        <v>83</v>
      </c>
      <c r="K31" s="5" t="s">
        <v>4828</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15</v>
      </c>
      <c r="BW31" s="5" t="n">
        <v>4</v>
      </c>
      <c r="BX31" s="5" t="n">
        <f aca="false">IF(AND(N(BV31)&gt;0,N(BW31)&gt;0),SQRT(2*BV31/BW31),"")</f>
        <v>2.73861278752583</v>
      </c>
      <c r="BY31" s="5"/>
      <c r="BZ31" s="5"/>
      <c r="CA31" s="5"/>
      <c r="CB31" s="5" t="n">
        <v>1350</v>
      </c>
      <c r="CC31" s="5" t="n">
        <v>29</v>
      </c>
      <c r="CD31" s="5" t="n">
        <v>9</v>
      </c>
      <c r="CE31" s="5"/>
      <c r="CF31" s="5"/>
      <c r="CG31" s="5"/>
      <c r="CH31" s="5" t="n">
        <v>14.2</v>
      </c>
      <c r="CI31" s="5"/>
      <c r="CJ31" s="5"/>
      <c r="CK31" s="5"/>
      <c r="CL31" s="5" t="s">
        <v>4809</v>
      </c>
      <c r="CM31" s="5" t="s">
        <v>2989</v>
      </c>
      <c r="CN31" s="5" t="s">
        <v>4829</v>
      </c>
      <c r="CO31" s="5" t="s">
        <v>2996</v>
      </c>
      <c r="CP31" s="5" t="s">
        <v>4840</v>
      </c>
      <c r="CQ31" s="23" t="s">
        <v>4841</v>
      </c>
      <c r="CR31" s="5" t="s">
        <v>858</v>
      </c>
      <c r="CS31" s="5" t="s">
        <v>4813</v>
      </c>
    </row>
    <row r="32" customFormat="false" ht="15" hidden="false" customHeight="true" outlineLevel="0" collapsed="false">
      <c r="A32" s="5" t="n">
        <v>164</v>
      </c>
      <c r="B32" s="5" t="n">
        <v>164</v>
      </c>
      <c r="C32" s="5" t="s">
        <v>842</v>
      </c>
      <c r="D32" s="5" t="n">
        <v>2000</v>
      </c>
      <c r="E32" s="5" t="s">
        <v>843</v>
      </c>
      <c r="F32" s="5" t="s">
        <v>1964</v>
      </c>
      <c r="G32" s="5" t="s">
        <v>2995</v>
      </c>
      <c r="H32" s="5" t="n">
        <v>29</v>
      </c>
      <c r="I32" s="5" t="n">
        <v>79.083</v>
      </c>
      <c r="J32" s="5" t="s">
        <v>83</v>
      </c>
      <c r="K32" s="5" t="s">
        <v>4830</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15</v>
      </c>
      <c r="BW32" s="5" t="n">
        <v>4</v>
      </c>
      <c r="BX32" s="5" t="n">
        <f aca="false">IF(AND(N(BV32)&gt;0,N(BW32)&gt;0),SQRT(2*BV32/BW32),"")</f>
        <v>2.73861278752583</v>
      </c>
      <c r="BY32" s="5"/>
      <c r="BZ32" s="5"/>
      <c r="CA32" s="5"/>
      <c r="CB32" s="5" t="n">
        <v>1350</v>
      </c>
      <c r="CC32" s="5" t="n">
        <v>29</v>
      </c>
      <c r="CD32" s="5" t="n">
        <v>10</v>
      </c>
      <c r="CE32" s="5"/>
      <c r="CF32" s="5"/>
      <c r="CG32" s="5"/>
      <c r="CH32" s="5" t="n">
        <v>14.2</v>
      </c>
      <c r="CI32" s="5"/>
      <c r="CJ32" s="5"/>
      <c r="CK32" s="5"/>
      <c r="CL32" s="5" t="s">
        <v>4809</v>
      </c>
      <c r="CM32" s="5" t="s">
        <v>2989</v>
      </c>
      <c r="CN32" s="5" t="s">
        <v>4831</v>
      </c>
      <c r="CO32" s="5" t="s">
        <v>2996</v>
      </c>
      <c r="CP32" s="5" t="s">
        <v>4840</v>
      </c>
      <c r="CQ32" s="23" t="s">
        <v>4841</v>
      </c>
      <c r="CR32" s="5" t="s">
        <v>858</v>
      </c>
      <c r="CS32" s="5" t="s">
        <v>4813</v>
      </c>
    </row>
    <row r="33" customFormat="false" ht="15" hidden="false" customHeight="true" outlineLevel="0" collapsed="false">
      <c r="A33" s="5" t="n">
        <v>164</v>
      </c>
      <c r="B33" s="5" t="n">
        <v>164</v>
      </c>
      <c r="C33" s="5" t="s">
        <v>842</v>
      </c>
      <c r="D33" s="5" t="n">
        <v>2000</v>
      </c>
      <c r="E33" s="5" t="s">
        <v>843</v>
      </c>
      <c r="F33" s="5" t="s">
        <v>1964</v>
      </c>
      <c r="G33" s="5" t="s">
        <v>2995</v>
      </c>
      <c r="H33" s="5" t="n">
        <v>29</v>
      </c>
      <c r="I33" s="5" t="n">
        <v>79.083</v>
      </c>
      <c r="J33" s="5" t="s">
        <v>83</v>
      </c>
      <c r="K33" s="5" t="s">
        <v>4832</v>
      </c>
      <c r="L33" s="5" t="s">
        <v>853</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15</v>
      </c>
      <c r="BW33" s="5" t="n">
        <v>4</v>
      </c>
      <c r="BX33" s="5" t="n">
        <f aca="false">IF(AND(N(BV33)&gt;0,N(BW33)&gt;0),SQRT(2*BV33/BW33),"")</f>
        <v>2.73861278752583</v>
      </c>
      <c r="BY33" s="5"/>
      <c r="BZ33" s="5"/>
      <c r="CA33" s="5"/>
      <c r="CB33" s="5" t="n">
        <v>1350</v>
      </c>
      <c r="CC33" s="5" t="n">
        <v>29</v>
      </c>
      <c r="CD33" s="5" t="n">
        <v>11</v>
      </c>
      <c r="CE33" s="5"/>
      <c r="CF33" s="5"/>
      <c r="CG33" s="5"/>
      <c r="CH33" s="5" t="n">
        <v>14.2</v>
      </c>
      <c r="CI33" s="5"/>
      <c r="CJ33" s="5"/>
      <c r="CK33" s="5"/>
      <c r="CL33" s="5" t="s">
        <v>4809</v>
      </c>
      <c r="CM33" s="5" t="s">
        <v>2989</v>
      </c>
      <c r="CN33" s="5" t="s">
        <v>4833</v>
      </c>
      <c r="CO33" s="5" t="s">
        <v>2996</v>
      </c>
      <c r="CP33" s="5" t="s">
        <v>4840</v>
      </c>
      <c r="CQ33" s="23" t="s">
        <v>4841</v>
      </c>
      <c r="CR33" s="5" t="s">
        <v>858</v>
      </c>
      <c r="CS33" s="5" t="s">
        <v>4813</v>
      </c>
    </row>
    <row r="34" customFormat="false" ht="15" hidden="false" customHeight="true" outlineLevel="0" collapsed="false">
      <c r="A34" s="5" t="n">
        <v>164</v>
      </c>
      <c r="B34" s="5" t="n">
        <v>164</v>
      </c>
      <c r="C34" s="5" t="s">
        <v>842</v>
      </c>
      <c r="D34" s="5" t="n">
        <v>2000</v>
      </c>
      <c r="E34" s="5" t="s">
        <v>843</v>
      </c>
      <c r="F34" s="5" t="s">
        <v>1964</v>
      </c>
      <c r="G34" s="5" t="s">
        <v>2995</v>
      </c>
      <c r="H34" s="5" t="n">
        <v>29</v>
      </c>
      <c r="I34" s="5" t="n">
        <v>79.083</v>
      </c>
      <c r="J34" s="5" t="s">
        <v>83</v>
      </c>
      <c r="K34" s="5" t="s">
        <v>4834</v>
      </c>
      <c r="L34" s="5" t="s">
        <v>853</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15</v>
      </c>
      <c r="BW34" s="5" t="n">
        <v>4</v>
      </c>
      <c r="BX34" s="5" t="n">
        <f aca="false">IF(AND(N(BV34)&gt;0,N(BW34)&gt;0),SQRT(2*BV34/BW34),"")</f>
        <v>2.73861278752583</v>
      </c>
      <c r="BY34" s="5"/>
      <c r="BZ34" s="5"/>
      <c r="CA34" s="5"/>
      <c r="CB34" s="5" t="n">
        <v>1350</v>
      </c>
      <c r="CC34" s="5" t="n">
        <v>29</v>
      </c>
      <c r="CD34" s="5" t="n">
        <v>12</v>
      </c>
      <c r="CE34" s="5"/>
      <c r="CF34" s="5"/>
      <c r="CG34" s="5"/>
      <c r="CH34" s="5" t="n">
        <v>14.2</v>
      </c>
      <c r="CI34" s="5"/>
      <c r="CJ34" s="5"/>
      <c r="CK34" s="5"/>
      <c r="CL34" s="5" t="s">
        <v>4809</v>
      </c>
      <c r="CM34" s="5" t="s">
        <v>2989</v>
      </c>
      <c r="CN34" s="5" t="s">
        <v>4835</v>
      </c>
      <c r="CO34" s="5" t="s">
        <v>2996</v>
      </c>
      <c r="CP34" s="5" t="s">
        <v>4840</v>
      </c>
      <c r="CQ34" s="23" t="s">
        <v>4841</v>
      </c>
      <c r="CR34" s="5" t="s">
        <v>858</v>
      </c>
      <c r="CS34" s="5" t="s">
        <v>4813</v>
      </c>
    </row>
    <row r="35" customFormat="false" ht="15" hidden="false" customHeight="true" outlineLevel="0" collapsed="false">
      <c r="A35" s="5" t="n">
        <v>164</v>
      </c>
      <c r="B35" s="5" t="n">
        <v>164</v>
      </c>
      <c r="C35" s="5" t="s">
        <v>842</v>
      </c>
      <c r="D35" s="5" t="n">
        <v>2000</v>
      </c>
      <c r="E35" s="5" t="s">
        <v>843</v>
      </c>
      <c r="F35" s="5" t="s">
        <v>1964</v>
      </c>
      <c r="G35" s="5" t="s">
        <v>2995</v>
      </c>
      <c r="H35" s="5" t="n">
        <v>29</v>
      </c>
      <c r="I35" s="5" t="n">
        <v>79.083</v>
      </c>
      <c r="J35" s="5" t="s">
        <v>83</v>
      </c>
      <c r="K35" s="5" t="s">
        <v>4836</v>
      </c>
      <c r="L35" s="5" t="s">
        <v>853</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15</v>
      </c>
      <c r="BW35" s="5" t="n">
        <v>4</v>
      </c>
      <c r="BX35" s="5" t="n">
        <f aca="false">IF(AND(N(BV35)&gt;0,N(BW35)&gt;0),SQRT(2*BV35/BW35),"")</f>
        <v>2.73861278752583</v>
      </c>
      <c r="BY35" s="5"/>
      <c r="BZ35" s="5"/>
      <c r="CA35" s="5"/>
      <c r="CB35" s="5" t="n">
        <v>1350</v>
      </c>
      <c r="CC35" s="5" t="n">
        <v>29</v>
      </c>
      <c r="CD35" s="5" t="n">
        <v>13</v>
      </c>
      <c r="CE35" s="5"/>
      <c r="CF35" s="5"/>
      <c r="CG35" s="5"/>
      <c r="CH35" s="5" t="n">
        <v>14.2</v>
      </c>
      <c r="CI35" s="5"/>
      <c r="CJ35" s="5"/>
      <c r="CK35" s="5"/>
      <c r="CL35" s="5" t="s">
        <v>4809</v>
      </c>
      <c r="CM35" s="5" t="s">
        <v>2989</v>
      </c>
      <c r="CN35" s="5" t="s">
        <v>4837</v>
      </c>
      <c r="CO35" s="5" t="s">
        <v>2996</v>
      </c>
      <c r="CP35" s="5" t="s">
        <v>4840</v>
      </c>
      <c r="CQ35" s="23" t="s">
        <v>4841</v>
      </c>
      <c r="CR35" s="5" t="s">
        <v>858</v>
      </c>
      <c r="CS35" s="5" t="s">
        <v>4813</v>
      </c>
    </row>
    <row r="36" customFormat="false" ht="15" hidden="false" customHeight="true" outlineLevel="0" collapsed="false">
      <c r="A36" s="5" t="n">
        <v>164</v>
      </c>
      <c r="B36" s="5" t="n">
        <v>164</v>
      </c>
      <c r="C36" s="5" t="s">
        <v>842</v>
      </c>
      <c r="D36" s="5" t="n">
        <v>2000</v>
      </c>
      <c r="E36" s="5" t="s">
        <v>843</v>
      </c>
      <c r="F36" s="5" t="s">
        <v>1964</v>
      </c>
      <c r="G36" s="5" t="s">
        <v>2995</v>
      </c>
      <c r="H36" s="5" t="n">
        <v>29</v>
      </c>
      <c r="I36" s="5" t="n">
        <v>79.083</v>
      </c>
      <c r="J36" s="5" t="s">
        <v>83</v>
      </c>
      <c r="K36" s="5" t="s">
        <v>2150</v>
      </c>
      <c r="L36" s="5" t="s">
        <v>853</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15</v>
      </c>
      <c r="BW36" s="5" t="n">
        <v>4</v>
      </c>
      <c r="BX36" s="5" t="n">
        <f aca="false">IF(AND(N(BV36)&gt;0,N(BW36)&gt;0),SQRT(2*BV36/BW36),"")</f>
        <v>2.73861278752583</v>
      </c>
      <c r="BY36" s="5"/>
      <c r="BZ36" s="5"/>
      <c r="CA36" s="5"/>
      <c r="CB36" s="5" t="n">
        <v>1350</v>
      </c>
      <c r="CC36" s="5" t="n">
        <v>29</v>
      </c>
      <c r="CD36" s="5" t="n">
        <v>14</v>
      </c>
      <c r="CE36" s="5"/>
      <c r="CF36" s="5"/>
      <c r="CG36" s="5"/>
      <c r="CH36" s="5" t="n">
        <v>14.2</v>
      </c>
      <c r="CI36" s="5"/>
      <c r="CJ36" s="5"/>
      <c r="CK36" s="5"/>
      <c r="CL36" s="5" t="s">
        <v>4809</v>
      </c>
      <c r="CM36" s="5" t="s">
        <v>2989</v>
      </c>
      <c r="CN36" s="5" t="s">
        <v>4838</v>
      </c>
      <c r="CO36" s="5" t="s">
        <v>2996</v>
      </c>
      <c r="CP36" s="5" t="s">
        <v>4840</v>
      </c>
      <c r="CQ36" s="23" t="s">
        <v>4841</v>
      </c>
      <c r="CR36" s="5" t="s">
        <v>858</v>
      </c>
      <c r="CS36" s="5" t="s">
        <v>4813</v>
      </c>
    </row>
    <row r="37" customFormat="false" ht="15" hidden="false" customHeight="true" outlineLevel="0" collapsed="false">
      <c r="A37" s="5" t="n">
        <v>164</v>
      </c>
      <c r="B37" s="5" t="n">
        <v>164</v>
      </c>
      <c r="C37" s="5" t="s">
        <v>842</v>
      </c>
      <c r="D37" s="5" t="n">
        <v>2000</v>
      </c>
      <c r="E37" s="5" t="s">
        <v>843</v>
      </c>
      <c r="F37" s="5" t="s">
        <v>1964</v>
      </c>
      <c r="G37" s="5" t="s">
        <v>2995</v>
      </c>
      <c r="H37" s="5" t="n">
        <v>29</v>
      </c>
      <c r="I37" s="5" t="n">
        <v>79.083</v>
      </c>
      <c r="J37" s="5" t="s">
        <v>83</v>
      </c>
      <c r="K37" s="5" t="s">
        <v>2988</v>
      </c>
      <c r="L37" s="5" t="s">
        <v>853</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15</v>
      </c>
      <c r="BW37" s="5" t="n">
        <v>4</v>
      </c>
      <c r="BX37" s="5" t="n">
        <f aca="false">IF(AND(N(BV37)&gt;0,N(BW37)&gt;0),SQRT(2*BV37/BW37),"")</f>
        <v>2.73861278752583</v>
      </c>
      <c r="BY37" s="5"/>
      <c r="BZ37" s="5"/>
      <c r="CA37" s="5"/>
      <c r="CB37" s="5" t="n">
        <v>1350</v>
      </c>
      <c r="CC37" s="5" t="n">
        <v>29</v>
      </c>
      <c r="CD37" s="5" t="n">
        <v>15</v>
      </c>
      <c r="CE37" s="5"/>
      <c r="CF37" s="5"/>
      <c r="CG37" s="5"/>
      <c r="CH37" s="5" t="n">
        <v>14.2</v>
      </c>
      <c r="CI37" s="5"/>
      <c r="CJ37" s="5"/>
      <c r="CK37" s="5"/>
      <c r="CL37" s="5" t="s">
        <v>4809</v>
      </c>
      <c r="CM37" s="5" t="s">
        <v>2989</v>
      </c>
      <c r="CN37" s="5" t="s">
        <v>4839</v>
      </c>
      <c r="CO37" s="5" t="s">
        <v>2996</v>
      </c>
      <c r="CP37" s="5" t="s">
        <v>4840</v>
      </c>
      <c r="CQ37" s="23" t="s">
        <v>4841</v>
      </c>
      <c r="CR37" s="5" t="s">
        <v>858</v>
      </c>
      <c r="CS37" s="5" t="s">
        <v>4813</v>
      </c>
    </row>
    <row r="38" customFormat="false" ht="15" hidden="false" customHeight="true" outlineLevel="0" collapsed="false">
      <c r="A38" s="5" t="n">
        <v>164</v>
      </c>
      <c r="B38" s="5" t="n">
        <v>164</v>
      </c>
      <c r="C38" s="5" t="s">
        <v>842</v>
      </c>
      <c r="D38" s="5" t="n">
        <v>2000</v>
      </c>
      <c r="E38" s="5" t="s">
        <v>843</v>
      </c>
      <c r="F38" s="5" t="s">
        <v>887</v>
      </c>
      <c r="G38" s="5" t="s">
        <v>2998</v>
      </c>
      <c r="H38" s="5" t="n">
        <v>26.967</v>
      </c>
      <c r="I38" s="5" t="n">
        <v>80.567</v>
      </c>
      <c r="J38" s="5" t="s">
        <v>83</v>
      </c>
      <c r="K38" s="5" t="s">
        <v>4816</v>
      </c>
      <c r="L38" s="5" t="s">
        <v>872</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13</v>
      </c>
      <c r="BW38" s="5" t="n">
        <v>4</v>
      </c>
      <c r="BX38" s="5" t="n">
        <f aca="false">IF(AND(N(BV38)&gt;0,N(BW38)&gt;0),SQRT(2*BV38/BW38),"")</f>
        <v>2.54950975679639</v>
      </c>
      <c r="BY38" s="5"/>
      <c r="BZ38" s="5"/>
      <c r="CA38" s="5"/>
      <c r="CB38" s="5" t="n">
        <v>818</v>
      </c>
      <c r="CC38" s="5" t="n">
        <v>26.967</v>
      </c>
      <c r="CD38" s="5" t="n">
        <v>1</v>
      </c>
      <c r="CE38" s="5"/>
      <c r="CF38" s="5"/>
      <c r="CG38" s="5" t="n">
        <v>8</v>
      </c>
      <c r="CH38" s="5" t="n">
        <v>2.9</v>
      </c>
      <c r="CI38" s="5"/>
      <c r="CJ38" s="5"/>
      <c r="CK38" s="5"/>
      <c r="CL38" s="5" t="s">
        <v>4809</v>
      </c>
      <c r="CM38" s="5" t="s">
        <v>2989</v>
      </c>
      <c r="CN38" s="5" t="s">
        <v>4817</v>
      </c>
      <c r="CO38" s="5" t="s">
        <v>2999</v>
      </c>
      <c r="CP38" s="5" t="s">
        <v>4842</v>
      </c>
      <c r="CQ38" s="23" t="s">
        <v>4843</v>
      </c>
      <c r="CR38" s="5" t="s">
        <v>858</v>
      </c>
      <c r="CS38" s="5" t="s">
        <v>4813</v>
      </c>
    </row>
    <row r="39" customFormat="false" ht="15" hidden="false" customHeight="true" outlineLevel="0" collapsed="false">
      <c r="A39" s="5" t="n">
        <v>164</v>
      </c>
      <c r="B39" s="5" t="n">
        <v>164</v>
      </c>
      <c r="C39" s="5" t="s">
        <v>842</v>
      </c>
      <c r="D39" s="5" t="n">
        <v>2000</v>
      </c>
      <c r="E39" s="5" t="s">
        <v>843</v>
      </c>
      <c r="F39" s="5" t="s">
        <v>887</v>
      </c>
      <c r="G39" s="5" t="s">
        <v>2998</v>
      </c>
      <c r="H39" s="5" t="n">
        <v>26.967</v>
      </c>
      <c r="I39" s="5" t="n">
        <v>80.567</v>
      </c>
      <c r="J39" s="5" t="s">
        <v>83</v>
      </c>
      <c r="K39" s="5" t="s">
        <v>4818</v>
      </c>
      <c r="L39" s="5" t="s">
        <v>872</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13</v>
      </c>
      <c r="BW39" s="5" t="n">
        <v>4</v>
      </c>
      <c r="BX39" s="5" t="n">
        <f aca="false">IF(AND(N(BV39)&gt;0,N(BW39)&gt;0),SQRT(2*BV39/BW39),"")</f>
        <v>2.54950975679639</v>
      </c>
      <c r="BY39" s="5"/>
      <c r="BZ39" s="5"/>
      <c r="CA39" s="5"/>
      <c r="CB39" s="5" t="n">
        <v>818</v>
      </c>
      <c r="CC39" s="5" t="n">
        <v>26.967</v>
      </c>
      <c r="CD39" s="5" t="n">
        <v>2</v>
      </c>
      <c r="CE39" s="5"/>
      <c r="CF39" s="5"/>
      <c r="CG39" s="5" t="n">
        <v>8</v>
      </c>
      <c r="CH39" s="5" t="n">
        <v>2.9</v>
      </c>
      <c r="CI39" s="5"/>
      <c r="CJ39" s="5"/>
      <c r="CK39" s="5"/>
      <c r="CL39" s="5" t="s">
        <v>4809</v>
      </c>
      <c r="CM39" s="5" t="s">
        <v>2989</v>
      </c>
      <c r="CN39" s="5" t="s">
        <v>4819</v>
      </c>
      <c r="CO39" s="5" t="s">
        <v>2999</v>
      </c>
      <c r="CP39" s="5" t="s">
        <v>4842</v>
      </c>
      <c r="CQ39" s="23" t="s">
        <v>4843</v>
      </c>
      <c r="CR39" s="5" t="s">
        <v>858</v>
      </c>
      <c r="CS39" s="5" t="s">
        <v>4813</v>
      </c>
    </row>
    <row r="40" customFormat="false" ht="15" hidden="false" customHeight="true" outlineLevel="0" collapsed="false">
      <c r="A40" s="5" t="n">
        <v>164</v>
      </c>
      <c r="B40" s="5" t="n">
        <v>164</v>
      </c>
      <c r="C40" s="5" t="s">
        <v>842</v>
      </c>
      <c r="D40" s="5" t="n">
        <v>2000</v>
      </c>
      <c r="E40" s="5" t="s">
        <v>843</v>
      </c>
      <c r="F40" s="5" t="s">
        <v>887</v>
      </c>
      <c r="G40" s="5" t="s">
        <v>2998</v>
      </c>
      <c r="H40" s="5" t="n">
        <v>26.967</v>
      </c>
      <c r="I40" s="5" t="n">
        <v>80.567</v>
      </c>
      <c r="J40" s="5" t="s">
        <v>83</v>
      </c>
      <c r="K40" s="5" t="s">
        <v>4820</v>
      </c>
      <c r="L40" s="5" t="s">
        <v>872</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13</v>
      </c>
      <c r="BW40" s="5" t="n">
        <v>4</v>
      </c>
      <c r="BX40" s="5" t="n">
        <f aca="false">IF(AND(N(BV40)&gt;0,N(BW40)&gt;0),SQRT(2*BV40/BW40),"")</f>
        <v>2.54950975679639</v>
      </c>
      <c r="BY40" s="5"/>
      <c r="BZ40" s="5"/>
      <c r="CA40" s="5"/>
      <c r="CB40" s="5" t="n">
        <v>818</v>
      </c>
      <c r="CC40" s="5" t="n">
        <v>26.967</v>
      </c>
      <c r="CD40" s="5" t="n">
        <v>3</v>
      </c>
      <c r="CE40" s="5"/>
      <c r="CF40" s="5"/>
      <c r="CG40" s="5" t="n">
        <v>8</v>
      </c>
      <c r="CH40" s="5" t="n">
        <v>2.9</v>
      </c>
      <c r="CI40" s="5"/>
      <c r="CJ40" s="5"/>
      <c r="CK40" s="5"/>
      <c r="CL40" s="5" t="s">
        <v>4809</v>
      </c>
      <c r="CM40" s="5" t="s">
        <v>2989</v>
      </c>
      <c r="CN40" s="5" t="s">
        <v>4821</v>
      </c>
      <c r="CO40" s="5" t="s">
        <v>2999</v>
      </c>
      <c r="CP40" s="5" t="s">
        <v>4842</v>
      </c>
      <c r="CQ40" s="23" t="s">
        <v>4843</v>
      </c>
      <c r="CR40" s="5" t="s">
        <v>858</v>
      </c>
      <c r="CS40" s="5" t="s">
        <v>4813</v>
      </c>
    </row>
    <row r="41" customFormat="false" ht="15" hidden="false" customHeight="true" outlineLevel="0" collapsed="false">
      <c r="A41" s="5" t="n">
        <v>164</v>
      </c>
      <c r="B41" s="5" t="n">
        <v>164</v>
      </c>
      <c r="C41" s="5" t="s">
        <v>842</v>
      </c>
      <c r="D41" s="5" t="n">
        <v>2000</v>
      </c>
      <c r="E41" s="5" t="s">
        <v>843</v>
      </c>
      <c r="F41" s="5" t="s">
        <v>887</v>
      </c>
      <c r="G41" s="5" t="s">
        <v>2998</v>
      </c>
      <c r="H41" s="5" t="n">
        <v>26.967</v>
      </c>
      <c r="I41" s="5" t="n">
        <v>80.567</v>
      </c>
      <c r="J41" s="5" t="s">
        <v>83</v>
      </c>
      <c r="K41" s="5" t="s">
        <v>4822</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13</v>
      </c>
      <c r="BW41" s="5" t="n">
        <v>4</v>
      </c>
      <c r="BX41" s="5" t="n">
        <f aca="false">IF(AND(N(BV41)&gt;0,N(BW41)&gt;0),SQRT(2*BV41/BW41),"")</f>
        <v>2.54950975679639</v>
      </c>
      <c r="BY41" s="5"/>
      <c r="BZ41" s="5"/>
      <c r="CA41" s="5"/>
      <c r="CB41" s="5" t="n">
        <v>818</v>
      </c>
      <c r="CC41" s="5" t="n">
        <v>26.967</v>
      </c>
      <c r="CD41" s="5" t="n">
        <v>4</v>
      </c>
      <c r="CE41" s="5"/>
      <c r="CF41" s="5"/>
      <c r="CG41" s="5" t="n">
        <v>8</v>
      </c>
      <c r="CH41" s="5" t="n">
        <v>2.9</v>
      </c>
      <c r="CI41" s="5"/>
      <c r="CJ41" s="5"/>
      <c r="CK41" s="5"/>
      <c r="CL41" s="5" t="s">
        <v>4809</v>
      </c>
      <c r="CM41" s="5" t="s">
        <v>2989</v>
      </c>
      <c r="CN41" s="5" t="s">
        <v>4823</v>
      </c>
      <c r="CO41" s="5" t="s">
        <v>2999</v>
      </c>
      <c r="CP41" s="5" t="s">
        <v>4842</v>
      </c>
      <c r="CQ41" s="23" t="s">
        <v>4843</v>
      </c>
      <c r="CR41" s="5" t="s">
        <v>858</v>
      </c>
      <c r="CS41" s="5" t="s">
        <v>4813</v>
      </c>
    </row>
    <row r="42" customFormat="false" ht="15" hidden="false" customHeight="true" outlineLevel="0" collapsed="false">
      <c r="A42" s="5" t="n">
        <v>164</v>
      </c>
      <c r="B42" s="5" t="n">
        <v>164</v>
      </c>
      <c r="C42" s="5" t="s">
        <v>842</v>
      </c>
      <c r="D42" s="5" t="n">
        <v>2000</v>
      </c>
      <c r="E42" s="5" t="s">
        <v>843</v>
      </c>
      <c r="F42" s="5" t="s">
        <v>887</v>
      </c>
      <c r="G42" s="5" t="s">
        <v>2998</v>
      </c>
      <c r="H42" s="5" t="n">
        <v>26.967</v>
      </c>
      <c r="I42" s="5" t="n">
        <v>80.567</v>
      </c>
      <c r="J42" s="5" t="s">
        <v>83</v>
      </c>
      <c r="K42" s="5" t="s">
        <v>4824</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13</v>
      </c>
      <c r="BW42" s="5" t="n">
        <v>4</v>
      </c>
      <c r="BX42" s="5" t="n">
        <f aca="false">IF(AND(N(BV42)&gt;0,N(BW42)&gt;0),SQRT(2*BV42/BW42),"")</f>
        <v>2.54950975679639</v>
      </c>
      <c r="BY42" s="5"/>
      <c r="BZ42" s="5"/>
      <c r="CA42" s="5"/>
      <c r="CB42" s="5" t="n">
        <v>818</v>
      </c>
      <c r="CC42" s="5" t="n">
        <v>26.967</v>
      </c>
      <c r="CD42" s="5" t="n">
        <v>5</v>
      </c>
      <c r="CE42" s="5"/>
      <c r="CF42" s="5"/>
      <c r="CG42" s="5" t="n">
        <v>8</v>
      </c>
      <c r="CH42" s="5" t="n">
        <v>2.9</v>
      </c>
      <c r="CI42" s="5"/>
      <c r="CJ42" s="5"/>
      <c r="CK42" s="5"/>
      <c r="CL42" s="5" t="s">
        <v>4809</v>
      </c>
      <c r="CM42" s="5" t="s">
        <v>2989</v>
      </c>
      <c r="CN42" s="5" t="s">
        <v>4825</v>
      </c>
      <c r="CO42" s="5" t="s">
        <v>2999</v>
      </c>
      <c r="CP42" s="5" t="s">
        <v>4842</v>
      </c>
      <c r="CQ42" s="23" t="s">
        <v>4843</v>
      </c>
      <c r="CR42" s="5" t="s">
        <v>858</v>
      </c>
      <c r="CS42" s="5" t="s">
        <v>4813</v>
      </c>
    </row>
    <row r="43" customFormat="false" ht="15" hidden="false" customHeight="true" outlineLevel="0" collapsed="false">
      <c r="A43" s="5" t="n">
        <v>164</v>
      </c>
      <c r="B43" s="5" t="n">
        <v>164</v>
      </c>
      <c r="C43" s="5" t="s">
        <v>842</v>
      </c>
      <c r="D43" s="5" t="n">
        <v>2000</v>
      </c>
      <c r="E43" s="5" t="s">
        <v>843</v>
      </c>
      <c r="F43" s="5" t="s">
        <v>887</v>
      </c>
      <c r="G43" s="5" t="s">
        <v>2998</v>
      </c>
      <c r="H43" s="5" t="n">
        <v>26.967</v>
      </c>
      <c r="I43" s="5" t="n">
        <v>80.567</v>
      </c>
      <c r="J43" s="5" t="s">
        <v>83</v>
      </c>
      <c r="K43" s="5" t="s">
        <v>4826</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13</v>
      </c>
      <c r="BW43" s="5" t="n">
        <v>4</v>
      </c>
      <c r="BX43" s="5" t="n">
        <f aca="false">IF(AND(N(BV43)&gt;0,N(BW43)&gt;0),SQRT(2*BV43/BW43),"")</f>
        <v>2.54950975679639</v>
      </c>
      <c r="BY43" s="5"/>
      <c r="BZ43" s="5"/>
      <c r="CA43" s="5"/>
      <c r="CB43" s="5" t="n">
        <v>818</v>
      </c>
      <c r="CC43" s="5" t="n">
        <v>26.967</v>
      </c>
      <c r="CD43" s="5" t="n">
        <v>6</v>
      </c>
      <c r="CE43" s="5"/>
      <c r="CF43" s="5"/>
      <c r="CG43" s="5" t="n">
        <v>8</v>
      </c>
      <c r="CH43" s="5" t="n">
        <v>2.9</v>
      </c>
      <c r="CI43" s="5"/>
      <c r="CJ43" s="5"/>
      <c r="CK43" s="5"/>
      <c r="CL43" s="5" t="s">
        <v>4809</v>
      </c>
      <c r="CM43" s="5" t="s">
        <v>2989</v>
      </c>
      <c r="CN43" s="5" t="s">
        <v>4827</v>
      </c>
      <c r="CO43" s="5" t="s">
        <v>2999</v>
      </c>
      <c r="CP43" s="5" t="s">
        <v>4842</v>
      </c>
      <c r="CQ43" s="23" t="s">
        <v>4843</v>
      </c>
      <c r="CR43" s="5" t="s">
        <v>858</v>
      </c>
      <c r="CS43" s="5" t="s">
        <v>4813</v>
      </c>
    </row>
    <row r="44" customFormat="false" ht="15" hidden="false" customHeight="true" outlineLevel="0" collapsed="false">
      <c r="A44" s="5" t="n">
        <v>164</v>
      </c>
      <c r="B44" s="5" t="n">
        <v>164</v>
      </c>
      <c r="C44" s="5" t="s">
        <v>842</v>
      </c>
      <c r="D44" s="5" t="n">
        <v>2000</v>
      </c>
      <c r="E44" s="5" t="s">
        <v>843</v>
      </c>
      <c r="F44" s="5" t="s">
        <v>887</v>
      </c>
      <c r="G44" s="5" t="s">
        <v>2998</v>
      </c>
      <c r="H44" s="5" t="n">
        <v>26.967</v>
      </c>
      <c r="I44" s="5" t="n">
        <v>80.567</v>
      </c>
      <c r="J44" s="5" t="s">
        <v>83</v>
      </c>
      <c r="K44" s="5" t="s">
        <v>4828</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13</v>
      </c>
      <c r="BW44" s="5" t="n">
        <v>4</v>
      </c>
      <c r="BX44" s="5" t="n">
        <f aca="false">IF(AND(N(BV44)&gt;0,N(BW44)&gt;0),SQRT(2*BV44/BW44),"")</f>
        <v>2.54950975679639</v>
      </c>
      <c r="BY44" s="5"/>
      <c r="BZ44" s="5"/>
      <c r="CA44" s="5"/>
      <c r="CB44" s="5" t="n">
        <v>818</v>
      </c>
      <c r="CC44" s="5" t="n">
        <v>26.967</v>
      </c>
      <c r="CD44" s="5" t="n">
        <v>7</v>
      </c>
      <c r="CE44" s="5"/>
      <c r="CF44" s="5"/>
      <c r="CG44" s="5" t="n">
        <v>8</v>
      </c>
      <c r="CH44" s="5" t="n">
        <v>2.9</v>
      </c>
      <c r="CI44" s="5"/>
      <c r="CJ44" s="5"/>
      <c r="CK44" s="5"/>
      <c r="CL44" s="5" t="s">
        <v>4809</v>
      </c>
      <c r="CM44" s="5" t="s">
        <v>2989</v>
      </c>
      <c r="CN44" s="5" t="s">
        <v>4829</v>
      </c>
      <c r="CO44" s="5" t="s">
        <v>2999</v>
      </c>
      <c r="CP44" s="5" t="s">
        <v>4842</v>
      </c>
      <c r="CQ44" s="23" t="s">
        <v>4843</v>
      </c>
      <c r="CR44" s="5" t="s">
        <v>858</v>
      </c>
      <c r="CS44" s="5" t="s">
        <v>4813</v>
      </c>
    </row>
    <row r="45" customFormat="false" ht="15" hidden="false" customHeight="true" outlineLevel="0" collapsed="false">
      <c r="A45" s="5" t="n">
        <v>164</v>
      </c>
      <c r="B45" s="5" t="n">
        <v>164</v>
      </c>
      <c r="C45" s="5" t="s">
        <v>842</v>
      </c>
      <c r="D45" s="5" t="n">
        <v>2000</v>
      </c>
      <c r="E45" s="5" t="s">
        <v>843</v>
      </c>
      <c r="F45" s="5" t="s">
        <v>887</v>
      </c>
      <c r="G45" s="5" t="s">
        <v>2998</v>
      </c>
      <c r="H45" s="5" t="n">
        <v>26.967</v>
      </c>
      <c r="I45" s="5" t="n">
        <v>80.567</v>
      </c>
      <c r="J45" s="5" t="s">
        <v>83</v>
      </c>
      <c r="K45" s="5" t="s">
        <v>4830</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13</v>
      </c>
      <c r="BW45" s="5" t="n">
        <v>4</v>
      </c>
      <c r="BX45" s="5" t="n">
        <f aca="false">IF(AND(N(BV45)&gt;0,N(BW45)&gt;0),SQRT(2*BV45/BW45),"")</f>
        <v>2.54950975679639</v>
      </c>
      <c r="BY45" s="5"/>
      <c r="BZ45" s="5"/>
      <c r="CA45" s="5"/>
      <c r="CB45" s="5" t="n">
        <v>818</v>
      </c>
      <c r="CC45" s="5" t="n">
        <v>26.967</v>
      </c>
      <c r="CD45" s="5" t="n">
        <v>8</v>
      </c>
      <c r="CE45" s="5"/>
      <c r="CF45" s="5"/>
      <c r="CG45" s="5" t="n">
        <v>8</v>
      </c>
      <c r="CH45" s="5" t="n">
        <v>2.9</v>
      </c>
      <c r="CI45" s="5"/>
      <c r="CJ45" s="5"/>
      <c r="CK45" s="5"/>
      <c r="CL45" s="5" t="s">
        <v>4809</v>
      </c>
      <c r="CM45" s="5" t="s">
        <v>2989</v>
      </c>
      <c r="CN45" s="5" t="s">
        <v>4831</v>
      </c>
      <c r="CO45" s="5" t="s">
        <v>2999</v>
      </c>
      <c r="CP45" s="5" t="s">
        <v>4842</v>
      </c>
      <c r="CQ45" s="23" t="s">
        <v>4843</v>
      </c>
      <c r="CR45" s="5" t="s">
        <v>858</v>
      </c>
      <c r="CS45" s="5" t="s">
        <v>4813</v>
      </c>
    </row>
    <row r="46" customFormat="false" ht="15" hidden="false" customHeight="true" outlineLevel="0" collapsed="false">
      <c r="A46" s="5" t="n">
        <v>164</v>
      </c>
      <c r="B46" s="5" t="n">
        <v>164</v>
      </c>
      <c r="C46" s="5" t="s">
        <v>842</v>
      </c>
      <c r="D46" s="5" t="n">
        <v>2000</v>
      </c>
      <c r="E46" s="5" t="s">
        <v>843</v>
      </c>
      <c r="F46" s="5" t="s">
        <v>887</v>
      </c>
      <c r="G46" s="5" t="s">
        <v>2998</v>
      </c>
      <c r="H46" s="5" t="n">
        <v>26.967</v>
      </c>
      <c r="I46" s="5" t="n">
        <v>80.567</v>
      </c>
      <c r="J46" s="5" t="s">
        <v>83</v>
      </c>
      <c r="K46" s="5" t="s">
        <v>4832</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13</v>
      </c>
      <c r="BW46" s="5" t="n">
        <v>4</v>
      </c>
      <c r="BX46" s="5" t="n">
        <f aca="false">IF(AND(N(BV46)&gt;0,N(BW46)&gt;0),SQRT(2*BV46/BW46),"")</f>
        <v>2.54950975679639</v>
      </c>
      <c r="BY46" s="5"/>
      <c r="BZ46" s="5"/>
      <c r="CA46" s="5"/>
      <c r="CB46" s="5" t="n">
        <v>818</v>
      </c>
      <c r="CC46" s="5" t="n">
        <v>26.967</v>
      </c>
      <c r="CD46" s="5" t="n">
        <v>9</v>
      </c>
      <c r="CE46" s="5"/>
      <c r="CF46" s="5"/>
      <c r="CG46" s="5" t="n">
        <v>8</v>
      </c>
      <c r="CH46" s="5" t="n">
        <v>2.9</v>
      </c>
      <c r="CI46" s="5"/>
      <c r="CJ46" s="5"/>
      <c r="CK46" s="5"/>
      <c r="CL46" s="5" t="s">
        <v>4809</v>
      </c>
      <c r="CM46" s="5" t="s">
        <v>2989</v>
      </c>
      <c r="CN46" s="5" t="s">
        <v>4833</v>
      </c>
      <c r="CO46" s="5" t="s">
        <v>2999</v>
      </c>
      <c r="CP46" s="5" t="s">
        <v>4842</v>
      </c>
      <c r="CQ46" s="23" t="s">
        <v>4843</v>
      </c>
      <c r="CR46" s="5" t="s">
        <v>858</v>
      </c>
      <c r="CS46" s="5" t="s">
        <v>4813</v>
      </c>
    </row>
    <row r="47" customFormat="false" ht="15" hidden="false" customHeight="true" outlineLevel="0" collapsed="false">
      <c r="A47" s="5" t="n">
        <v>164</v>
      </c>
      <c r="B47" s="5" t="n">
        <v>164</v>
      </c>
      <c r="C47" s="5" t="s">
        <v>842</v>
      </c>
      <c r="D47" s="5" t="n">
        <v>2000</v>
      </c>
      <c r="E47" s="5" t="s">
        <v>843</v>
      </c>
      <c r="F47" s="5" t="s">
        <v>887</v>
      </c>
      <c r="G47" s="5" t="s">
        <v>2998</v>
      </c>
      <c r="H47" s="5" t="n">
        <v>26.967</v>
      </c>
      <c r="I47" s="5" t="n">
        <v>80.567</v>
      </c>
      <c r="J47" s="5" t="s">
        <v>83</v>
      </c>
      <c r="K47" s="5" t="s">
        <v>4834</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13</v>
      </c>
      <c r="BW47" s="5" t="n">
        <v>4</v>
      </c>
      <c r="BX47" s="5" t="n">
        <f aca="false">IF(AND(N(BV47)&gt;0,N(BW47)&gt;0),SQRT(2*BV47/BW47),"")</f>
        <v>2.54950975679639</v>
      </c>
      <c r="BY47" s="5"/>
      <c r="BZ47" s="5"/>
      <c r="CA47" s="5"/>
      <c r="CB47" s="5" t="n">
        <v>818</v>
      </c>
      <c r="CC47" s="5" t="n">
        <v>26.967</v>
      </c>
      <c r="CD47" s="5" t="n">
        <v>10</v>
      </c>
      <c r="CE47" s="5"/>
      <c r="CF47" s="5"/>
      <c r="CG47" s="5" t="n">
        <v>8</v>
      </c>
      <c r="CH47" s="5" t="n">
        <v>2.9</v>
      </c>
      <c r="CI47" s="5"/>
      <c r="CJ47" s="5"/>
      <c r="CK47" s="5"/>
      <c r="CL47" s="5" t="s">
        <v>4809</v>
      </c>
      <c r="CM47" s="5" t="s">
        <v>2989</v>
      </c>
      <c r="CN47" s="5" t="s">
        <v>4835</v>
      </c>
      <c r="CO47" s="5" t="s">
        <v>2999</v>
      </c>
      <c r="CP47" s="5" t="s">
        <v>4842</v>
      </c>
      <c r="CQ47" s="23" t="s">
        <v>4843</v>
      </c>
      <c r="CR47" s="5" t="s">
        <v>858</v>
      </c>
      <c r="CS47" s="5" t="s">
        <v>4813</v>
      </c>
    </row>
    <row r="48" customFormat="false" ht="15" hidden="false" customHeight="true" outlineLevel="0" collapsed="false">
      <c r="A48" s="5" t="n">
        <v>164</v>
      </c>
      <c r="B48" s="5" t="n">
        <v>164</v>
      </c>
      <c r="C48" s="5" t="s">
        <v>842</v>
      </c>
      <c r="D48" s="5" t="n">
        <v>2000</v>
      </c>
      <c r="E48" s="5" t="s">
        <v>843</v>
      </c>
      <c r="F48" s="5" t="s">
        <v>887</v>
      </c>
      <c r="G48" s="5" t="s">
        <v>2998</v>
      </c>
      <c r="H48" s="5" t="n">
        <v>26.967</v>
      </c>
      <c r="I48" s="5" t="n">
        <v>80.567</v>
      </c>
      <c r="J48" s="5" t="s">
        <v>83</v>
      </c>
      <c r="K48" s="5" t="s">
        <v>4836</v>
      </c>
      <c r="L48" s="5" t="s">
        <v>853</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13</v>
      </c>
      <c r="BW48" s="5" t="n">
        <v>4</v>
      </c>
      <c r="BX48" s="5" t="n">
        <f aca="false">IF(AND(N(BV48)&gt;0,N(BW48)&gt;0),SQRT(2*BV48/BW48),"")</f>
        <v>2.54950975679639</v>
      </c>
      <c r="BY48" s="5"/>
      <c r="BZ48" s="5"/>
      <c r="CA48" s="5"/>
      <c r="CB48" s="5" t="n">
        <v>818</v>
      </c>
      <c r="CC48" s="5" t="n">
        <v>26.967</v>
      </c>
      <c r="CD48" s="5" t="n">
        <v>11</v>
      </c>
      <c r="CE48" s="5"/>
      <c r="CF48" s="5"/>
      <c r="CG48" s="5" t="n">
        <v>8</v>
      </c>
      <c r="CH48" s="5" t="n">
        <v>2.9</v>
      </c>
      <c r="CI48" s="5"/>
      <c r="CJ48" s="5"/>
      <c r="CK48" s="5"/>
      <c r="CL48" s="5" t="s">
        <v>4809</v>
      </c>
      <c r="CM48" s="5" t="s">
        <v>2989</v>
      </c>
      <c r="CN48" s="5" t="s">
        <v>4837</v>
      </c>
      <c r="CO48" s="5" t="s">
        <v>2999</v>
      </c>
      <c r="CP48" s="5" t="s">
        <v>4842</v>
      </c>
      <c r="CQ48" s="23" t="s">
        <v>4843</v>
      </c>
      <c r="CR48" s="5" t="s">
        <v>858</v>
      </c>
      <c r="CS48" s="5" t="s">
        <v>4813</v>
      </c>
    </row>
    <row r="49" customFormat="false" ht="15" hidden="false" customHeight="true" outlineLevel="0" collapsed="false">
      <c r="A49" s="5" t="n">
        <v>164</v>
      </c>
      <c r="B49" s="5" t="n">
        <v>164</v>
      </c>
      <c r="C49" s="5" t="s">
        <v>842</v>
      </c>
      <c r="D49" s="5" t="n">
        <v>2000</v>
      </c>
      <c r="E49" s="5" t="s">
        <v>843</v>
      </c>
      <c r="F49" s="5" t="s">
        <v>887</v>
      </c>
      <c r="G49" s="5" t="s">
        <v>2998</v>
      </c>
      <c r="H49" s="5" t="n">
        <v>26.967</v>
      </c>
      <c r="I49" s="5" t="n">
        <v>80.567</v>
      </c>
      <c r="J49" s="5" t="s">
        <v>83</v>
      </c>
      <c r="K49" s="5" t="s">
        <v>2150</v>
      </c>
      <c r="L49" s="5" t="s">
        <v>853</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13</v>
      </c>
      <c r="BW49" s="5" t="n">
        <v>4</v>
      </c>
      <c r="BX49" s="5" t="n">
        <f aca="false">IF(AND(N(BV49)&gt;0,N(BW49)&gt;0),SQRT(2*BV49/BW49),"")</f>
        <v>2.54950975679639</v>
      </c>
      <c r="BY49" s="5"/>
      <c r="BZ49" s="5"/>
      <c r="CA49" s="5"/>
      <c r="CB49" s="5" t="n">
        <v>818</v>
      </c>
      <c r="CC49" s="5" t="n">
        <v>26.967</v>
      </c>
      <c r="CD49" s="5" t="n">
        <v>12</v>
      </c>
      <c r="CE49" s="5"/>
      <c r="CF49" s="5"/>
      <c r="CG49" s="5" t="n">
        <v>8</v>
      </c>
      <c r="CH49" s="5" t="n">
        <v>2.9</v>
      </c>
      <c r="CI49" s="5"/>
      <c r="CJ49" s="5"/>
      <c r="CK49" s="5"/>
      <c r="CL49" s="5" t="s">
        <v>4809</v>
      </c>
      <c r="CM49" s="5" t="s">
        <v>2989</v>
      </c>
      <c r="CN49" s="5" t="s">
        <v>4838</v>
      </c>
      <c r="CO49" s="5" t="s">
        <v>2999</v>
      </c>
      <c r="CP49" s="5" t="s">
        <v>4842</v>
      </c>
      <c r="CQ49" s="23" t="s">
        <v>4843</v>
      </c>
      <c r="CR49" s="5" t="s">
        <v>858</v>
      </c>
      <c r="CS49" s="5" t="s">
        <v>4813</v>
      </c>
    </row>
    <row r="50" customFormat="false" ht="15" hidden="false" customHeight="true" outlineLevel="0" collapsed="false">
      <c r="A50" s="5" t="n">
        <v>164</v>
      </c>
      <c r="B50" s="5" t="n">
        <v>164</v>
      </c>
      <c r="C50" s="5" t="s">
        <v>842</v>
      </c>
      <c r="D50" s="5" t="n">
        <v>2000</v>
      </c>
      <c r="E50" s="5" t="s">
        <v>843</v>
      </c>
      <c r="F50" s="5" t="s">
        <v>887</v>
      </c>
      <c r="G50" s="5" t="s">
        <v>2998</v>
      </c>
      <c r="H50" s="5" t="n">
        <v>26.967</v>
      </c>
      <c r="I50" s="5" t="n">
        <v>80.567</v>
      </c>
      <c r="J50" s="5" t="s">
        <v>83</v>
      </c>
      <c r="K50" s="5" t="s">
        <v>2988</v>
      </c>
      <c r="L50" s="5" t="s">
        <v>853</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13</v>
      </c>
      <c r="BW50" s="5" t="n">
        <v>4</v>
      </c>
      <c r="BX50" s="5" t="n">
        <f aca="false">IF(AND(N(BV50)&gt;0,N(BW50)&gt;0),SQRT(2*BV50/BW50),"")</f>
        <v>2.54950975679639</v>
      </c>
      <c r="BY50" s="5"/>
      <c r="BZ50" s="5"/>
      <c r="CA50" s="5"/>
      <c r="CB50" s="5" t="n">
        <v>818</v>
      </c>
      <c r="CC50" s="5" t="n">
        <v>26.967</v>
      </c>
      <c r="CD50" s="5" t="n">
        <v>13</v>
      </c>
      <c r="CE50" s="5"/>
      <c r="CF50" s="5"/>
      <c r="CG50" s="5" t="n">
        <v>8</v>
      </c>
      <c r="CH50" s="5" t="n">
        <v>2.9</v>
      </c>
      <c r="CI50" s="5"/>
      <c r="CJ50" s="5"/>
      <c r="CK50" s="5"/>
      <c r="CL50" s="5" t="s">
        <v>4809</v>
      </c>
      <c r="CM50" s="5" t="s">
        <v>2989</v>
      </c>
      <c r="CN50" s="5" t="s">
        <v>4839</v>
      </c>
      <c r="CO50" s="5" t="s">
        <v>2999</v>
      </c>
      <c r="CP50" s="5" t="s">
        <v>4842</v>
      </c>
      <c r="CQ50" s="23" t="s">
        <v>4843</v>
      </c>
      <c r="CR50" s="5" t="s">
        <v>858</v>
      </c>
      <c r="CS50" s="5" t="s">
        <v>4813</v>
      </c>
    </row>
    <row r="51" customFormat="false" ht="15" hidden="false" customHeight="true" outlineLevel="0" collapsed="false">
      <c r="A51" s="5" t="n">
        <v>164</v>
      </c>
      <c r="B51" s="5" t="n">
        <v>164</v>
      </c>
      <c r="C51" s="5" t="s">
        <v>842</v>
      </c>
      <c r="D51" s="5" t="n">
        <v>2000</v>
      </c>
      <c r="E51" s="5" t="s">
        <v>843</v>
      </c>
      <c r="F51" s="5" t="s">
        <v>887</v>
      </c>
      <c r="G51" s="5" t="s">
        <v>3001</v>
      </c>
      <c r="H51" s="5" t="n">
        <v>26.067</v>
      </c>
      <c r="I51" s="5" t="n">
        <v>82.133</v>
      </c>
      <c r="J51" s="5" t="s">
        <v>83</v>
      </c>
      <c r="K51" s="5" t="s">
        <v>4814</v>
      </c>
      <c r="L51" s="5" t="s">
        <v>872</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14</v>
      </c>
      <c r="BW51" s="5" t="n">
        <v>4</v>
      </c>
      <c r="BX51" s="5" t="n">
        <f aca="false">IF(AND(N(BV51)&gt;0,N(BW51)&gt;0),SQRT(2*BV51/BW51),"")</f>
        <v>2.64575131106459</v>
      </c>
      <c r="BY51" s="5"/>
      <c r="BZ51" s="5"/>
      <c r="CA51" s="5"/>
      <c r="CB51" s="5" t="n">
        <v>1100</v>
      </c>
      <c r="CC51" s="5" t="n">
        <v>26.067</v>
      </c>
      <c r="CD51" s="5" t="n">
        <v>1</v>
      </c>
      <c r="CE51" s="5"/>
      <c r="CF51" s="5"/>
      <c r="CG51" s="5"/>
      <c r="CH51" s="5" t="n">
        <v>3.7</v>
      </c>
      <c r="CI51" s="5"/>
      <c r="CJ51" s="5"/>
      <c r="CK51" s="5"/>
      <c r="CL51" s="5" t="s">
        <v>4809</v>
      </c>
      <c r="CM51" s="5" t="s">
        <v>2989</v>
      </c>
      <c r="CN51" s="5" t="s">
        <v>4815</v>
      </c>
      <c r="CO51" s="5" t="s">
        <v>3002</v>
      </c>
      <c r="CP51" s="5" t="s">
        <v>4844</v>
      </c>
      <c r="CQ51" s="23" t="s">
        <v>4845</v>
      </c>
      <c r="CR51" s="5" t="s">
        <v>858</v>
      </c>
      <c r="CS51" s="5" t="s">
        <v>4813</v>
      </c>
    </row>
    <row r="52" customFormat="false" ht="15" hidden="false" customHeight="true" outlineLevel="0" collapsed="false">
      <c r="A52" s="5" t="n">
        <v>164</v>
      </c>
      <c r="B52" s="5" t="n">
        <v>164</v>
      </c>
      <c r="C52" s="5" t="s">
        <v>842</v>
      </c>
      <c r="D52" s="5" t="n">
        <v>2000</v>
      </c>
      <c r="E52" s="5" t="s">
        <v>843</v>
      </c>
      <c r="F52" s="5" t="s">
        <v>887</v>
      </c>
      <c r="G52" s="5" t="s">
        <v>3001</v>
      </c>
      <c r="H52" s="5" t="n">
        <v>26.067</v>
      </c>
      <c r="I52" s="5" t="n">
        <v>82.133</v>
      </c>
      <c r="J52" s="5" t="s">
        <v>83</v>
      </c>
      <c r="K52" s="5" t="s">
        <v>4816</v>
      </c>
      <c r="L52" s="5" t="s">
        <v>872</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14</v>
      </c>
      <c r="BW52" s="5" t="n">
        <v>4</v>
      </c>
      <c r="BX52" s="5" t="n">
        <f aca="false">IF(AND(N(BV52)&gt;0,N(BW52)&gt;0),SQRT(2*BV52/BW52),"")</f>
        <v>2.64575131106459</v>
      </c>
      <c r="BY52" s="5"/>
      <c r="BZ52" s="5"/>
      <c r="CA52" s="5"/>
      <c r="CB52" s="5" t="n">
        <v>1100</v>
      </c>
      <c r="CC52" s="5" t="n">
        <v>26.067</v>
      </c>
      <c r="CD52" s="5" t="n">
        <v>2</v>
      </c>
      <c r="CE52" s="5"/>
      <c r="CF52" s="5"/>
      <c r="CG52" s="5"/>
      <c r="CH52" s="5" t="n">
        <v>3.7</v>
      </c>
      <c r="CI52" s="5"/>
      <c r="CJ52" s="5"/>
      <c r="CK52" s="5"/>
      <c r="CL52" s="5" t="s">
        <v>4809</v>
      </c>
      <c r="CM52" s="5" t="s">
        <v>2989</v>
      </c>
      <c r="CN52" s="5" t="s">
        <v>4817</v>
      </c>
      <c r="CO52" s="5" t="s">
        <v>3002</v>
      </c>
      <c r="CP52" s="5" t="s">
        <v>4844</v>
      </c>
      <c r="CQ52" s="23" t="s">
        <v>4845</v>
      </c>
      <c r="CR52" s="5" t="s">
        <v>858</v>
      </c>
      <c r="CS52" s="5" t="s">
        <v>4813</v>
      </c>
    </row>
    <row r="53" customFormat="false" ht="15" hidden="false" customHeight="true" outlineLevel="0" collapsed="false">
      <c r="A53" s="5" t="n">
        <v>164</v>
      </c>
      <c r="B53" s="5" t="n">
        <v>164</v>
      </c>
      <c r="C53" s="5" t="s">
        <v>842</v>
      </c>
      <c r="D53" s="5" t="n">
        <v>2000</v>
      </c>
      <c r="E53" s="5" t="s">
        <v>843</v>
      </c>
      <c r="F53" s="5" t="s">
        <v>887</v>
      </c>
      <c r="G53" s="5" t="s">
        <v>3001</v>
      </c>
      <c r="H53" s="5" t="n">
        <v>26.067</v>
      </c>
      <c r="I53" s="5" t="n">
        <v>82.133</v>
      </c>
      <c r="J53" s="5" t="s">
        <v>83</v>
      </c>
      <c r="K53" s="5" t="s">
        <v>4818</v>
      </c>
      <c r="L53" s="5" t="s">
        <v>872</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14</v>
      </c>
      <c r="BW53" s="5" t="n">
        <v>4</v>
      </c>
      <c r="BX53" s="5" t="n">
        <f aca="false">IF(AND(N(BV53)&gt;0,N(BW53)&gt;0),SQRT(2*BV53/BW53),"")</f>
        <v>2.64575131106459</v>
      </c>
      <c r="BY53" s="5"/>
      <c r="BZ53" s="5"/>
      <c r="CA53" s="5"/>
      <c r="CB53" s="5" t="n">
        <v>1100</v>
      </c>
      <c r="CC53" s="5" t="n">
        <v>26.067</v>
      </c>
      <c r="CD53" s="5" t="n">
        <v>3</v>
      </c>
      <c r="CE53" s="5"/>
      <c r="CF53" s="5"/>
      <c r="CG53" s="5"/>
      <c r="CH53" s="5" t="n">
        <v>3.7</v>
      </c>
      <c r="CI53" s="5"/>
      <c r="CJ53" s="5"/>
      <c r="CK53" s="5"/>
      <c r="CL53" s="5" t="s">
        <v>4809</v>
      </c>
      <c r="CM53" s="5" t="s">
        <v>2989</v>
      </c>
      <c r="CN53" s="5" t="s">
        <v>4819</v>
      </c>
      <c r="CO53" s="5" t="s">
        <v>3002</v>
      </c>
      <c r="CP53" s="5" t="s">
        <v>4844</v>
      </c>
      <c r="CQ53" s="23" t="s">
        <v>4845</v>
      </c>
      <c r="CR53" s="5" t="s">
        <v>858</v>
      </c>
      <c r="CS53" s="5" t="s">
        <v>4813</v>
      </c>
    </row>
    <row r="54" customFormat="false" ht="15" hidden="false" customHeight="true" outlineLevel="0" collapsed="false">
      <c r="A54" s="5" t="n">
        <v>164</v>
      </c>
      <c r="B54" s="5" t="n">
        <v>164</v>
      </c>
      <c r="C54" s="5" t="s">
        <v>842</v>
      </c>
      <c r="D54" s="5" t="n">
        <v>2000</v>
      </c>
      <c r="E54" s="5" t="s">
        <v>843</v>
      </c>
      <c r="F54" s="5" t="s">
        <v>887</v>
      </c>
      <c r="G54" s="5" t="s">
        <v>3001</v>
      </c>
      <c r="H54" s="5" t="n">
        <v>26.067</v>
      </c>
      <c r="I54" s="5" t="n">
        <v>82.133</v>
      </c>
      <c r="J54" s="5" t="s">
        <v>83</v>
      </c>
      <c r="K54" s="5" t="s">
        <v>4820</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14</v>
      </c>
      <c r="BW54" s="5" t="n">
        <v>4</v>
      </c>
      <c r="BX54" s="5" t="n">
        <f aca="false">IF(AND(N(BV54)&gt;0,N(BW54)&gt;0),SQRT(2*BV54/BW54),"")</f>
        <v>2.64575131106459</v>
      </c>
      <c r="BY54" s="5"/>
      <c r="BZ54" s="5"/>
      <c r="CA54" s="5"/>
      <c r="CB54" s="5" t="n">
        <v>1100</v>
      </c>
      <c r="CC54" s="5" t="n">
        <v>26.067</v>
      </c>
      <c r="CD54" s="5" t="n">
        <v>4</v>
      </c>
      <c r="CE54" s="5"/>
      <c r="CF54" s="5"/>
      <c r="CG54" s="5"/>
      <c r="CH54" s="5" t="n">
        <v>3.7</v>
      </c>
      <c r="CI54" s="5"/>
      <c r="CJ54" s="5"/>
      <c r="CK54" s="5"/>
      <c r="CL54" s="5" t="s">
        <v>4809</v>
      </c>
      <c r="CM54" s="5" t="s">
        <v>2989</v>
      </c>
      <c r="CN54" s="5" t="s">
        <v>4821</v>
      </c>
      <c r="CO54" s="5" t="s">
        <v>3002</v>
      </c>
      <c r="CP54" s="5" t="s">
        <v>4844</v>
      </c>
      <c r="CQ54" s="23" t="s">
        <v>4845</v>
      </c>
      <c r="CR54" s="5" t="s">
        <v>858</v>
      </c>
      <c r="CS54" s="5" t="s">
        <v>4813</v>
      </c>
    </row>
    <row r="55" customFormat="false" ht="15" hidden="false" customHeight="true" outlineLevel="0" collapsed="false">
      <c r="A55" s="5" t="n">
        <v>164</v>
      </c>
      <c r="B55" s="5" t="n">
        <v>164</v>
      </c>
      <c r="C55" s="5" t="s">
        <v>842</v>
      </c>
      <c r="D55" s="5" t="n">
        <v>2000</v>
      </c>
      <c r="E55" s="5" t="s">
        <v>843</v>
      </c>
      <c r="F55" s="5" t="s">
        <v>887</v>
      </c>
      <c r="G55" s="5" t="s">
        <v>3001</v>
      </c>
      <c r="H55" s="5" t="n">
        <v>26.067</v>
      </c>
      <c r="I55" s="5" t="n">
        <v>82.133</v>
      </c>
      <c r="J55" s="5" t="s">
        <v>83</v>
      </c>
      <c r="K55" s="5" t="s">
        <v>4822</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14</v>
      </c>
      <c r="BW55" s="5" t="n">
        <v>4</v>
      </c>
      <c r="BX55" s="5" t="n">
        <f aca="false">IF(AND(N(BV55)&gt;0,N(BW55)&gt;0),SQRT(2*BV55/BW55),"")</f>
        <v>2.64575131106459</v>
      </c>
      <c r="BY55" s="5"/>
      <c r="BZ55" s="5"/>
      <c r="CA55" s="5"/>
      <c r="CB55" s="5" t="n">
        <v>1100</v>
      </c>
      <c r="CC55" s="5" t="n">
        <v>26.067</v>
      </c>
      <c r="CD55" s="5" t="n">
        <v>5</v>
      </c>
      <c r="CE55" s="5"/>
      <c r="CF55" s="5"/>
      <c r="CG55" s="5"/>
      <c r="CH55" s="5" t="n">
        <v>3.7</v>
      </c>
      <c r="CI55" s="5"/>
      <c r="CJ55" s="5"/>
      <c r="CK55" s="5"/>
      <c r="CL55" s="5" t="s">
        <v>4809</v>
      </c>
      <c r="CM55" s="5" t="s">
        <v>2989</v>
      </c>
      <c r="CN55" s="5" t="s">
        <v>4823</v>
      </c>
      <c r="CO55" s="5" t="s">
        <v>3002</v>
      </c>
      <c r="CP55" s="5" t="s">
        <v>4844</v>
      </c>
      <c r="CQ55" s="23" t="s">
        <v>4845</v>
      </c>
      <c r="CR55" s="5" t="s">
        <v>858</v>
      </c>
      <c r="CS55" s="5" t="s">
        <v>4813</v>
      </c>
    </row>
    <row r="56" customFormat="false" ht="15" hidden="false" customHeight="true" outlineLevel="0" collapsed="false">
      <c r="A56" s="5" t="n">
        <v>164</v>
      </c>
      <c r="B56" s="5" t="n">
        <v>164</v>
      </c>
      <c r="C56" s="5" t="s">
        <v>842</v>
      </c>
      <c r="D56" s="5" t="n">
        <v>2000</v>
      </c>
      <c r="E56" s="5" t="s">
        <v>843</v>
      </c>
      <c r="F56" s="5" t="s">
        <v>887</v>
      </c>
      <c r="G56" s="5" t="s">
        <v>3001</v>
      </c>
      <c r="H56" s="5" t="n">
        <v>26.067</v>
      </c>
      <c r="I56" s="5" t="n">
        <v>82.133</v>
      </c>
      <c r="J56" s="5" t="s">
        <v>83</v>
      </c>
      <c r="K56" s="5" t="s">
        <v>4824</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14</v>
      </c>
      <c r="BW56" s="5" t="n">
        <v>4</v>
      </c>
      <c r="BX56" s="5" t="n">
        <f aca="false">IF(AND(N(BV56)&gt;0,N(BW56)&gt;0),SQRT(2*BV56/BW56),"")</f>
        <v>2.64575131106459</v>
      </c>
      <c r="BY56" s="5"/>
      <c r="BZ56" s="5"/>
      <c r="CA56" s="5"/>
      <c r="CB56" s="5" t="n">
        <v>1100</v>
      </c>
      <c r="CC56" s="5" t="n">
        <v>26.067</v>
      </c>
      <c r="CD56" s="5" t="n">
        <v>6</v>
      </c>
      <c r="CE56" s="5"/>
      <c r="CF56" s="5"/>
      <c r="CG56" s="5"/>
      <c r="CH56" s="5" t="n">
        <v>3.7</v>
      </c>
      <c r="CI56" s="5"/>
      <c r="CJ56" s="5"/>
      <c r="CK56" s="5"/>
      <c r="CL56" s="5" t="s">
        <v>4809</v>
      </c>
      <c r="CM56" s="5" t="s">
        <v>2989</v>
      </c>
      <c r="CN56" s="5" t="s">
        <v>4825</v>
      </c>
      <c r="CO56" s="5" t="s">
        <v>3002</v>
      </c>
      <c r="CP56" s="5" t="s">
        <v>4844</v>
      </c>
      <c r="CQ56" s="23" t="s">
        <v>4845</v>
      </c>
      <c r="CR56" s="5" t="s">
        <v>858</v>
      </c>
      <c r="CS56" s="5" t="s">
        <v>4813</v>
      </c>
    </row>
    <row r="57" customFormat="false" ht="15" hidden="false" customHeight="true" outlineLevel="0" collapsed="false">
      <c r="A57" s="5" t="n">
        <v>164</v>
      </c>
      <c r="B57" s="5" t="n">
        <v>164</v>
      </c>
      <c r="C57" s="5" t="s">
        <v>842</v>
      </c>
      <c r="D57" s="5" t="n">
        <v>2000</v>
      </c>
      <c r="E57" s="5" t="s">
        <v>843</v>
      </c>
      <c r="F57" s="5" t="s">
        <v>887</v>
      </c>
      <c r="G57" s="5" t="s">
        <v>3001</v>
      </c>
      <c r="H57" s="5" t="n">
        <v>26.067</v>
      </c>
      <c r="I57" s="5" t="n">
        <v>82.133</v>
      </c>
      <c r="J57" s="5" t="s">
        <v>83</v>
      </c>
      <c r="K57" s="5" t="s">
        <v>4826</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14</v>
      </c>
      <c r="BW57" s="5" t="n">
        <v>4</v>
      </c>
      <c r="BX57" s="5" t="n">
        <f aca="false">IF(AND(N(BV57)&gt;0,N(BW57)&gt;0),SQRT(2*BV57/BW57),"")</f>
        <v>2.64575131106459</v>
      </c>
      <c r="BY57" s="5"/>
      <c r="BZ57" s="5"/>
      <c r="CA57" s="5"/>
      <c r="CB57" s="5" t="n">
        <v>1100</v>
      </c>
      <c r="CC57" s="5" t="n">
        <v>26.067</v>
      </c>
      <c r="CD57" s="5" t="n">
        <v>7</v>
      </c>
      <c r="CE57" s="5"/>
      <c r="CF57" s="5"/>
      <c r="CG57" s="5"/>
      <c r="CH57" s="5" t="n">
        <v>3.7</v>
      </c>
      <c r="CI57" s="5"/>
      <c r="CJ57" s="5"/>
      <c r="CK57" s="5"/>
      <c r="CL57" s="5" t="s">
        <v>4809</v>
      </c>
      <c r="CM57" s="5" t="s">
        <v>2989</v>
      </c>
      <c r="CN57" s="5" t="s">
        <v>4827</v>
      </c>
      <c r="CO57" s="5" t="s">
        <v>3002</v>
      </c>
      <c r="CP57" s="5" t="s">
        <v>4844</v>
      </c>
      <c r="CQ57" s="23" t="s">
        <v>4845</v>
      </c>
      <c r="CR57" s="5" t="s">
        <v>858</v>
      </c>
      <c r="CS57" s="5" t="s">
        <v>4813</v>
      </c>
    </row>
    <row r="58" customFormat="false" ht="15" hidden="false" customHeight="true" outlineLevel="0" collapsed="false">
      <c r="A58" s="5" t="n">
        <v>164</v>
      </c>
      <c r="B58" s="5" t="n">
        <v>164</v>
      </c>
      <c r="C58" s="5" t="s">
        <v>842</v>
      </c>
      <c r="D58" s="5" t="n">
        <v>2000</v>
      </c>
      <c r="E58" s="5" t="s">
        <v>843</v>
      </c>
      <c r="F58" s="5" t="s">
        <v>887</v>
      </c>
      <c r="G58" s="5" t="s">
        <v>3001</v>
      </c>
      <c r="H58" s="5" t="n">
        <v>26.067</v>
      </c>
      <c r="I58" s="5" t="n">
        <v>82.133</v>
      </c>
      <c r="J58" s="5" t="s">
        <v>83</v>
      </c>
      <c r="K58" s="5" t="s">
        <v>4828</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14</v>
      </c>
      <c r="BW58" s="5" t="n">
        <v>4</v>
      </c>
      <c r="BX58" s="5" t="n">
        <f aca="false">IF(AND(N(BV58)&gt;0,N(BW58)&gt;0),SQRT(2*BV58/BW58),"")</f>
        <v>2.64575131106459</v>
      </c>
      <c r="BY58" s="5"/>
      <c r="BZ58" s="5"/>
      <c r="CA58" s="5"/>
      <c r="CB58" s="5" t="n">
        <v>1100</v>
      </c>
      <c r="CC58" s="5" t="n">
        <v>26.067</v>
      </c>
      <c r="CD58" s="5" t="n">
        <v>8</v>
      </c>
      <c r="CE58" s="5"/>
      <c r="CF58" s="5"/>
      <c r="CG58" s="5"/>
      <c r="CH58" s="5" t="n">
        <v>3.7</v>
      </c>
      <c r="CI58" s="5"/>
      <c r="CJ58" s="5"/>
      <c r="CK58" s="5"/>
      <c r="CL58" s="5" t="s">
        <v>4809</v>
      </c>
      <c r="CM58" s="5" t="s">
        <v>2989</v>
      </c>
      <c r="CN58" s="5" t="s">
        <v>4829</v>
      </c>
      <c r="CO58" s="5" t="s">
        <v>3002</v>
      </c>
      <c r="CP58" s="5" t="s">
        <v>4844</v>
      </c>
      <c r="CQ58" s="23" t="s">
        <v>4845</v>
      </c>
      <c r="CR58" s="5" t="s">
        <v>858</v>
      </c>
      <c r="CS58" s="5" t="s">
        <v>4813</v>
      </c>
    </row>
    <row r="59" customFormat="false" ht="15" hidden="false" customHeight="true" outlineLevel="0" collapsed="false">
      <c r="A59" s="5" t="n">
        <v>164</v>
      </c>
      <c r="B59" s="5" t="n">
        <v>164</v>
      </c>
      <c r="C59" s="5" t="s">
        <v>842</v>
      </c>
      <c r="D59" s="5" t="n">
        <v>2000</v>
      </c>
      <c r="E59" s="5" t="s">
        <v>843</v>
      </c>
      <c r="F59" s="5" t="s">
        <v>887</v>
      </c>
      <c r="G59" s="5" t="s">
        <v>3001</v>
      </c>
      <c r="H59" s="5" t="n">
        <v>26.067</v>
      </c>
      <c r="I59" s="5" t="n">
        <v>82.133</v>
      </c>
      <c r="J59" s="5" t="s">
        <v>83</v>
      </c>
      <c r="K59" s="5" t="s">
        <v>4830</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14</v>
      </c>
      <c r="BW59" s="5" t="n">
        <v>4</v>
      </c>
      <c r="BX59" s="5" t="n">
        <f aca="false">IF(AND(N(BV59)&gt;0,N(BW59)&gt;0),SQRT(2*BV59/BW59),"")</f>
        <v>2.64575131106459</v>
      </c>
      <c r="BY59" s="5"/>
      <c r="BZ59" s="5"/>
      <c r="CA59" s="5"/>
      <c r="CB59" s="5" t="n">
        <v>1100</v>
      </c>
      <c r="CC59" s="5" t="n">
        <v>26.067</v>
      </c>
      <c r="CD59" s="5" t="n">
        <v>9</v>
      </c>
      <c r="CE59" s="5"/>
      <c r="CF59" s="5"/>
      <c r="CG59" s="5"/>
      <c r="CH59" s="5" t="n">
        <v>3.7</v>
      </c>
      <c r="CI59" s="5"/>
      <c r="CJ59" s="5"/>
      <c r="CK59" s="5"/>
      <c r="CL59" s="5" t="s">
        <v>4809</v>
      </c>
      <c r="CM59" s="5" t="s">
        <v>2989</v>
      </c>
      <c r="CN59" s="5" t="s">
        <v>4831</v>
      </c>
      <c r="CO59" s="5" t="s">
        <v>3002</v>
      </c>
      <c r="CP59" s="5" t="s">
        <v>4844</v>
      </c>
      <c r="CQ59" s="23" t="s">
        <v>4845</v>
      </c>
      <c r="CR59" s="5" t="s">
        <v>858</v>
      </c>
      <c r="CS59" s="5" t="s">
        <v>4813</v>
      </c>
    </row>
    <row r="60" customFormat="false" ht="15" hidden="false" customHeight="true" outlineLevel="0" collapsed="false">
      <c r="A60" s="5" t="n">
        <v>164</v>
      </c>
      <c r="B60" s="5" t="n">
        <v>164</v>
      </c>
      <c r="C60" s="5" t="s">
        <v>842</v>
      </c>
      <c r="D60" s="5" t="n">
        <v>2000</v>
      </c>
      <c r="E60" s="5" t="s">
        <v>843</v>
      </c>
      <c r="F60" s="5" t="s">
        <v>887</v>
      </c>
      <c r="G60" s="5" t="s">
        <v>3001</v>
      </c>
      <c r="H60" s="5" t="n">
        <v>26.067</v>
      </c>
      <c r="I60" s="5" t="n">
        <v>82.133</v>
      </c>
      <c r="J60" s="5" t="s">
        <v>83</v>
      </c>
      <c r="K60" s="5" t="s">
        <v>4832</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14</v>
      </c>
      <c r="BW60" s="5" t="n">
        <v>4</v>
      </c>
      <c r="BX60" s="5" t="n">
        <f aca="false">IF(AND(N(BV60)&gt;0,N(BW60)&gt;0),SQRT(2*BV60/BW60),"")</f>
        <v>2.64575131106459</v>
      </c>
      <c r="BY60" s="5"/>
      <c r="BZ60" s="5"/>
      <c r="CA60" s="5"/>
      <c r="CB60" s="5" t="n">
        <v>1100</v>
      </c>
      <c r="CC60" s="5" t="n">
        <v>26.067</v>
      </c>
      <c r="CD60" s="5" t="n">
        <v>10</v>
      </c>
      <c r="CE60" s="5"/>
      <c r="CF60" s="5"/>
      <c r="CG60" s="5"/>
      <c r="CH60" s="5" t="n">
        <v>3.7</v>
      </c>
      <c r="CI60" s="5"/>
      <c r="CJ60" s="5"/>
      <c r="CK60" s="5"/>
      <c r="CL60" s="5" t="s">
        <v>4809</v>
      </c>
      <c r="CM60" s="5" t="s">
        <v>2989</v>
      </c>
      <c r="CN60" s="5" t="s">
        <v>4833</v>
      </c>
      <c r="CO60" s="5" t="s">
        <v>3002</v>
      </c>
      <c r="CP60" s="5" t="s">
        <v>4844</v>
      </c>
      <c r="CQ60" s="23" t="s">
        <v>4845</v>
      </c>
      <c r="CR60" s="5" t="s">
        <v>858</v>
      </c>
      <c r="CS60" s="5" t="s">
        <v>4813</v>
      </c>
    </row>
    <row r="61" customFormat="false" ht="15" hidden="false" customHeight="true" outlineLevel="0" collapsed="false">
      <c r="A61" s="5" t="n">
        <v>164</v>
      </c>
      <c r="B61" s="5" t="n">
        <v>164</v>
      </c>
      <c r="C61" s="5" t="s">
        <v>842</v>
      </c>
      <c r="D61" s="5" t="n">
        <v>2000</v>
      </c>
      <c r="E61" s="5" t="s">
        <v>843</v>
      </c>
      <c r="F61" s="5" t="s">
        <v>887</v>
      </c>
      <c r="G61" s="5" t="s">
        <v>3001</v>
      </c>
      <c r="H61" s="5" t="n">
        <v>26.067</v>
      </c>
      <c r="I61" s="5" t="n">
        <v>82.133</v>
      </c>
      <c r="J61" s="5" t="s">
        <v>83</v>
      </c>
      <c r="K61" s="5" t="s">
        <v>4834</v>
      </c>
      <c r="L61" s="5" t="s">
        <v>853</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14</v>
      </c>
      <c r="BW61" s="5" t="n">
        <v>4</v>
      </c>
      <c r="BX61" s="5" t="n">
        <f aca="false">IF(AND(N(BV61)&gt;0,N(BW61)&gt;0),SQRT(2*BV61/BW61),"")</f>
        <v>2.64575131106459</v>
      </c>
      <c r="BY61" s="5"/>
      <c r="BZ61" s="5"/>
      <c r="CA61" s="5"/>
      <c r="CB61" s="5" t="n">
        <v>1100</v>
      </c>
      <c r="CC61" s="5" t="n">
        <v>26.067</v>
      </c>
      <c r="CD61" s="5" t="n">
        <v>11</v>
      </c>
      <c r="CE61" s="5"/>
      <c r="CF61" s="5"/>
      <c r="CG61" s="5"/>
      <c r="CH61" s="5" t="n">
        <v>3.7</v>
      </c>
      <c r="CI61" s="5"/>
      <c r="CJ61" s="5"/>
      <c r="CK61" s="5"/>
      <c r="CL61" s="5" t="s">
        <v>4809</v>
      </c>
      <c r="CM61" s="5" t="s">
        <v>2989</v>
      </c>
      <c r="CN61" s="5" t="s">
        <v>4835</v>
      </c>
      <c r="CO61" s="5" t="s">
        <v>3002</v>
      </c>
      <c r="CP61" s="5" t="s">
        <v>4844</v>
      </c>
      <c r="CQ61" s="23" t="s">
        <v>4845</v>
      </c>
      <c r="CR61" s="5" t="s">
        <v>858</v>
      </c>
      <c r="CS61" s="5" t="s">
        <v>4813</v>
      </c>
    </row>
    <row r="62" customFormat="false" ht="14.25" hidden="false" customHeight="true" outlineLevel="0" collapsed="false">
      <c r="A62" s="5" t="n">
        <v>164</v>
      </c>
      <c r="B62" s="5" t="n">
        <v>164</v>
      </c>
      <c r="C62" s="5" t="s">
        <v>842</v>
      </c>
      <c r="D62" s="5" t="n">
        <v>2000</v>
      </c>
      <c r="E62" s="5" t="s">
        <v>843</v>
      </c>
      <c r="F62" s="5" t="s">
        <v>887</v>
      </c>
      <c r="G62" s="5" t="s">
        <v>3001</v>
      </c>
      <c r="H62" s="5" t="n">
        <v>26.067</v>
      </c>
      <c r="I62" s="5" t="n">
        <v>82.133</v>
      </c>
      <c r="J62" s="5" t="s">
        <v>83</v>
      </c>
      <c r="K62" s="5" t="s">
        <v>4836</v>
      </c>
      <c r="L62" s="5" t="s">
        <v>853</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14</v>
      </c>
      <c r="BW62" s="5" t="n">
        <v>4</v>
      </c>
      <c r="BX62" s="5" t="n">
        <f aca="false">IF(AND(N(BV62)&gt;0,N(BW62)&gt;0),SQRT(2*BV62/BW62),"")</f>
        <v>2.64575131106459</v>
      </c>
      <c r="BY62" s="5"/>
      <c r="BZ62" s="5"/>
      <c r="CA62" s="5"/>
      <c r="CB62" s="5" t="n">
        <v>1100</v>
      </c>
      <c r="CC62" s="5" t="n">
        <v>26.067</v>
      </c>
      <c r="CD62" s="5" t="n">
        <v>12</v>
      </c>
      <c r="CE62" s="5"/>
      <c r="CF62" s="5"/>
      <c r="CG62" s="5"/>
      <c r="CH62" s="5" t="n">
        <v>3.7</v>
      </c>
      <c r="CI62" s="5"/>
      <c r="CJ62" s="5"/>
      <c r="CK62" s="5"/>
      <c r="CL62" s="5" t="s">
        <v>4809</v>
      </c>
      <c r="CM62" s="5" t="s">
        <v>2989</v>
      </c>
      <c r="CN62" s="5" t="s">
        <v>4837</v>
      </c>
      <c r="CO62" s="5" t="s">
        <v>3002</v>
      </c>
      <c r="CP62" s="5" t="s">
        <v>4844</v>
      </c>
      <c r="CQ62" s="23" t="s">
        <v>4845</v>
      </c>
      <c r="CR62" s="5" t="s">
        <v>858</v>
      </c>
      <c r="CS62" s="5" t="s">
        <v>4813</v>
      </c>
    </row>
    <row r="63" customFormat="false" ht="14.25" hidden="false" customHeight="true" outlineLevel="0" collapsed="false">
      <c r="A63" s="5" t="n">
        <v>164</v>
      </c>
      <c r="B63" s="5" t="n">
        <v>164</v>
      </c>
      <c r="C63" s="5" t="s">
        <v>842</v>
      </c>
      <c r="D63" s="5" t="n">
        <v>2000</v>
      </c>
      <c r="E63" s="5" t="s">
        <v>843</v>
      </c>
      <c r="F63" s="5" t="s">
        <v>887</v>
      </c>
      <c r="G63" s="5" t="s">
        <v>3001</v>
      </c>
      <c r="H63" s="5" t="n">
        <v>26.067</v>
      </c>
      <c r="I63" s="5" t="n">
        <v>82.133</v>
      </c>
      <c r="J63" s="5" t="s">
        <v>83</v>
      </c>
      <c r="K63" s="5" t="s">
        <v>2150</v>
      </c>
      <c r="L63" s="5" t="s">
        <v>853</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14</v>
      </c>
      <c r="BW63" s="5" t="n">
        <v>4</v>
      </c>
      <c r="BX63" s="5" t="n">
        <f aca="false">IF(AND(N(BV63)&gt;0,N(BW63)&gt;0),SQRT(2*BV63/BW63),"")</f>
        <v>2.64575131106459</v>
      </c>
      <c r="BY63" s="5"/>
      <c r="BZ63" s="5"/>
      <c r="CA63" s="5"/>
      <c r="CB63" s="5" t="n">
        <v>1100</v>
      </c>
      <c r="CC63" s="5" t="n">
        <v>26.067</v>
      </c>
      <c r="CD63" s="5" t="n">
        <v>13</v>
      </c>
      <c r="CE63" s="5"/>
      <c r="CF63" s="5"/>
      <c r="CG63" s="5"/>
      <c r="CH63" s="5" t="n">
        <v>3.7</v>
      </c>
      <c r="CI63" s="5"/>
      <c r="CJ63" s="5"/>
      <c r="CK63" s="5"/>
      <c r="CL63" s="5" t="s">
        <v>4809</v>
      </c>
      <c r="CM63" s="5" t="s">
        <v>2989</v>
      </c>
      <c r="CN63" s="5" t="s">
        <v>4838</v>
      </c>
      <c r="CO63" s="5" t="s">
        <v>3002</v>
      </c>
      <c r="CP63" s="5" t="s">
        <v>4844</v>
      </c>
      <c r="CQ63" s="23" t="s">
        <v>4846</v>
      </c>
      <c r="CR63" s="5" t="s">
        <v>858</v>
      </c>
      <c r="CS63" s="5" t="s">
        <v>4813</v>
      </c>
    </row>
    <row r="64" customFormat="false" ht="14.25" hidden="false" customHeight="true" outlineLevel="0" collapsed="false">
      <c r="A64" s="5" t="n">
        <v>164</v>
      </c>
      <c r="B64" s="5" t="n">
        <v>164</v>
      </c>
      <c r="C64" s="5" t="s">
        <v>842</v>
      </c>
      <c r="D64" s="5" t="n">
        <v>2000</v>
      </c>
      <c r="E64" s="5" t="s">
        <v>843</v>
      </c>
      <c r="F64" s="5" t="s">
        <v>887</v>
      </c>
      <c r="G64" s="5" t="s">
        <v>3001</v>
      </c>
      <c r="H64" s="5" t="n">
        <v>26.067</v>
      </c>
      <c r="I64" s="5" t="n">
        <v>82.133</v>
      </c>
      <c r="J64" s="5" t="s">
        <v>83</v>
      </c>
      <c r="K64" s="5" t="s">
        <v>2988</v>
      </c>
      <c r="L64" s="5" t="s">
        <v>853</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14</v>
      </c>
      <c r="BW64" s="5" t="n">
        <v>4</v>
      </c>
      <c r="BX64" s="5" t="n">
        <f aca="false">IF(AND(N(BV64)&gt;0,N(BW64)&gt;0),SQRT(2*BV64/BW64),"")</f>
        <v>2.64575131106459</v>
      </c>
      <c r="BY64" s="5"/>
      <c r="BZ64" s="5"/>
      <c r="CA64" s="5"/>
      <c r="CB64" s="5" t="n">
        <v>1100</v>
      </c>
      <c r="CC64" s="5" t="n">
        <v>26.067</v>
      </c>
      <c r="CD64" s="5" t="n">
        <v>14</v>
      </c>
      <c r="CE64" s="5"/>
      <c r="CF64" s="5"/>
      <c r="CG64" s="5"/>
      <c r="CH64" s="5" t="n">
        <v>3.7</v>
      </c>
      <c r="CI64" s="5"/>
      <c r="CJ64" s="5"/>
      <c r="CK64" s="5"/>
      <c r="CL64" s="5" t="s">
        <v>4809</v>
      </c>
      <c r="CM64" s="5" t="s">
        <v>2989</v>
      </c>
      <c r="CN64" s="5" t="s">
        <v>4839</v>
      </c>
      <c r="CO64" s="5" t="s">
        <v>3002</v>
      </c>
      <c r="CP64" s="5" t="s">
        <v>4844</v>
      </c>
      <c r="CQ64" s="23" t="s">
        <v>4847</v>
      </c>
      <c r="CR64" s="5" t="s">
        <v>858</v>
      </c>
      <c r="CS64" s="5" t="s">
        <v>4813</v>
      </c>
    </row>
    <row r="65" customFormat="false" ht="14.25" hidden="false" customHeight="true" outlineLevel="0" collapsed="false">
      <c r="A65" s="5" t="n">
        <v>164</v>
      </c>
      <c r="B65" s="5" t="n">
        <v>164</v>
      </c>
      <c r="C65" s="5" t="s">
        <v>842</v>
      </c>
      <c r="D65" s="5" t="n">
        <v>2000</v>
      </c>
      <c r="E65" s="5" t="s">
        <v>843</v>
      </c>
      <c r="F65" s="5" t="s">
        <v>1976</v>
      </c>
      <c r="G65" s="5" t="s">
        <v>3004</v>
      </c>
      <c r="H65" s="5" t="n">
        <v>25.233</v>
      </c>
      <c r="I65" s="5" t="n">
        <v>87.067</v>
      </c>
      <c r="J65" s="5" t="s">
        <v>83</v>
      </c>
      <c r="K65" s="5" t="s">
        <v>4814</v>
      </c>
      <c r="L65" s="5" t="s">
        <v>872</v>
      </c>
      <c r="M65" s="5" t="s">
        <v>3005</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12</v>
      </c>
      <c r="BW65" s="5" t="n">
        <v>4</v>
      </c>
      <c r="BX65" s="5" t="n">
        <f aca="false">IF(AND(N(BV65)&gt;0,N(BW65)&gt;0),SQRT(2*BV65/BW65),"")</f>
        <v>2.44948974278318</v>
      </c>
      <c r="BY65" s="5"/>
      <c r="BZ65" s="5"/>
      <c r="CA65" s="5"/>
      <c r="CB65" s="5" t="n">
        <v>1358</v>
      </c>
      <c r="CC65" s="5" t="n">
        <v>25.233</v>
      </c>
      <c r="CD65" s="5" t="n">
        <v>1</v>
      </c>
      <c r="CE65" s="5"/>
      <c r="CF65" s="5"/>
      <c r="CG65" s="5"/>
      <c r="CH65" s="5" t="n">
        <v>4.6</v>
      </c>
      <c r="CI65" s="5"/>
      <c r="CJ65" s="5"/>
      <c r="CK65" s="5"/>
      <c r="CL65" s="5" t="s">
        <v>4809</v>
      </c>
      <c r="CM65" s="5" t="s">
        <v>2989</v>
      </c>
      <c r="CN65" s="5" t="s">
        <v>4815</v>
      </c>
      <c r="CO65" s="5" t="s">
        <v>3006</v>
      </c>
      <c r="CP65" s="5" t="s">
        <v>4848</v>
      </c>
      <c r="CQ65" s="23" t="s">
        <v>4849</v>
      </c>
      <c r="CR65" s="5" t="s">
        <v>858</v>
      </c>
      <c r="CS65" s="5" t="s">
        <v>4813</v>
      </c>
    </row>
    <row r="66" customFormat="false" ht="14.25" hidden="false" customHeight="true" outlineLevel="0" collapsed="false">
      <c r="A66" s="5" t="n">
        <v>164</v>
      </c>
      <c r="B66" s="5" t="n">
        <v>164</v>
      </c>
      <c r="C66" s="5" t="s">
        <v>842</v>
      </c>
      <c r="D66" s="5" t="n">
        <v>2000</v>
      </c>
      <c r="E66" s="5" t="s">
        <v>843</v>
      </c>
      <c r="F66" s="5" t="s">
        <v>1976</v>
      </c>
      <c r="G66" s="5" t="s">
        <v>3004</v>
      </c>
      <c r="H66" s="5" t="n">
        <v>25.233</v>
      </c>
      <c r="I66" s="5" t="n">
        <v>87.067</v>
      </c>
      <c r="J66" s="5" t="s">
        <v>83</v>
      </c>
      <c r="K66" s="5" t="s">
        <v>4816</v>
      </c>
      <c r="L66" s="5" t="s">
        <v>872</v>
      </c>
      <c r="M66" s="5" t="s">
        <v>3005</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12</v>
      </c>
      <c r="BW66" s="5" t="n">
        <v>4</v>
      </c>
      <c r="BX66" s="5" t="n">
        <f aca="false">IF(AND(N(BV66)&gt;0,N(BW66)&gt;0),SQRT(2*BV66/BW66),"")</f>
        <v>2.44948974278318</v>
      </c>
      <c r="BY66" s="5"/>
      <c r="BZ66" s="5"/>
      <c r="CA66" s="5"/>
      <c r="CB66" s="5" t="n">
        <v>1358</v>
      </c>
      <c r="CC66" s="5" t="n">
        <v>25.233</v>
      </c>
      <c r="CD66" s="5" t="n">
        <v>2</v>
      </c>
      <c r="CE66" s="5"/>
      <c r="CF66" s="5"/>
      <c r="CG66" s="5"/>
      <c r="CH66" s="5" t="n">
        <v>4.6</v>
      </c>
      <c r="CI66" s="5"/>
      <c r="CJ66" s="5"/>
      <c r="CK66" s="5"/>
      <c r="CL66" s="5" t="s">
        <v>4809</v>
      </c>
      <c r="CM66" s="5" t="s">
        <v>2989</v>
      </c>
      <c r="CN66" s="5" t="s">
        <v>4817</v>
      </c>
      <c r="CO66" s="5" t="s">
        <v>3006</v>
      </c>
      <c r="CP66" s="5" t="s">
        <v>4848</v>
      </c>
      <c r="CQ66" s="23" t="s">
        <v>4849</v>
      </c>
      <c r="CR66" s="5" t="s">
        <v>858</v>
      </c>
      <c r="CS66" s="5" t="s">
        <v>4813</v>
      </c>
    </row>
    <row r="67" customFormat="false" ht="14.25" hidden="false" customHeight="true" outlineLevel="0" collapsed="false">
      <c r="A67" s="5" t="n">
        <v>164</v>
      </c>
      <c r="B67" s="5" t="n">
        <v>164</v>
      </c>
      <c r="C67" s="5" t="s">
        <v>842</v>
      </c>
      <c r="D67" s="5" t="n">
        <v>2000</v>
      </c>
      <c r="E67" s="5" t="s">
        <v>843</v>
      </c>
      <c r="F67" s="5" t="s">
        <v>1976</v>
      </c>
      <c r="G67" s="5" t="s">
        <v>3004</v>
      </c>
      <c r="H67" s="5" t="n">
        <v>25.233</v>
      </c>
      <c r="I67" s="5" t="n">
        <v>87.067</v>
      </c>
      <c r="J67" s="5" t="s">
        <v>83</v>
      </c>
      <c r="K67" s="5" t="s">
        <v>4818</v>
      </c>
      <c r="L67" s="5" t="s">
        <v>872</v>
      </c>
      <c r="M67" s="5" t="s">
        <v>3005</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12</v>
      </c>
      <c r="BW67" s="5" t="n">
        <v>4</v>
      </c>
      <c r="BX67" s="5" t="n">
        <f aca="false">IF(AND(N(BV67)&gt;0,N(BW67)&gt;0),SQRT(2*BV67/BW67),"")</f>
        <v>2.44948974278318</v>
      </c>
      <c r="BY67" s="5"/>
      <c r="BZ67" s="5"/>
      <c r="CA67" s="5"/>
      <c r="CB67" s="5" t="n">
        <v>1358</v>
      </c>
      <c r="CC67" s="5" t="n">
        <v>25.233</v>
      </c>
      <c r="CD67" s="5" t="n">
        <v>3</v>
      </c>
      <c r="CE67" s="5"/>
      <c r="CF67" s="5"/>
      <c r="CG67" s="5"/>
      <c r="CH67" s="5" t="n">
        <v>4.6</v>
      </c>
      <c r="CI67" s="5"/>
      <c r="CJ67" s="5"/>
      <c r="CK67" s="5"/>
      <c r="CL67" s="5" t="s">
        <v>4809</v>
      </c>
      <c r="CM67" s="5" t="s">
        <v>2989</v>
      </c>
      <c r="CN67" s="5" t="s">
        <v>4819</v>
      </c>
      <c r="CO67" s="5" t="s">
        <v>3006</v>
      </c>
      <c r="CP67" s="5" t="s">
        <v>4848</v>
      </c>
      <c r="CQ67" s="23" t="s">
        <v>4849</v>
      </c>
      <c r="CR67" s="5" t="s">
        <v>858</v>
      </c>
      <c r="CS67" s="5" t="s">
        <v>4813</v>
      </c>
    </row>
    <row r="68" customFormat="false" ht="14.25" hidden="false" customHeight="true" outlineLevel="0" collapsed="false">
      <c r="A68" s="5" t="n">
        <v>164</v>
      </c>
      <c r="B68" s="5" t="n">
        <v>164</v>
      </c>
      <c r="C68" s="5" t="s">
        <v>842</v>
      </c>
      <c r="D68" s="5" t="n">
        <v>2000</v>
      </c>
      <c r="E68" s="5" t="s">
        <v>843</v>
      </c>
      <c r="F68" s="5" t="s">
        <v>1976</v>
      </c>
      <c r="G68" s="5" t="s">
        <v>3004</v>
      </c>
      <c r="H68" s="5" t="n">
        <v>25.233</v>
      </c>
      <c r="I68" s="5" t="n">
        <v>87.067</v>
      </c>
      <c r="J68" s="5" t="s">
        <v>83</v>
      </c>
      <c r="K68" s="5" t="s">
        <v>4820</v>
      </c>
      <c r="L68" s="5" t="s">
        <v>84</v>
      </c>
      <c r="M68" s="5" t="s">
        <v>3005</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12</v>
      </c>
      <c r="BW68" s="5" t="n">
        <v>4</v>
      </c>
      <c r="BX68" s="5" t="n">
        <f aca="false">IF(AND(N(BV68)&gt;0,N(BW68)&gt;0),SQRT(2*BV68/BW68),"")</f>
        <v>2.44948974278318</v>
      </c>
      <c r="BY68" s="5"/>
      <c r="BZ68" s="5"/>
      <c r="CA68" s="5"/>
      <c r="CB68" s="5" t="n">
        <v>1358</v>
      </c>
      <c r="CC68" s="5" t="n">
        <v>25.233</v>
      </c>
      <c r="CD68" s="5" t="n">
        <v>4</v>
      </c>
      <c r="CE68" s="5"/>
      <c r="CF68" s="5"/>
      <c r="CG68" s="5"/>
      <c r="CH68" s="5" t="n">
        <v>4.6</v>
      </c>
      <c r="CI68" s="5"/>
      <c r="CJ68" s="5"/>
      <c r="CK68" s="5"/>
      <c r="CL68" s="5" t="s">
        <v>4809</v>
      </c>
      <c r="CM68" s="5" t="s">
        <v>2989</v>
      </c>
      <c r="CN68" s="5" t="s">
        <v>4821</v>
      </c>
      <c r="CO68" s="5" t="s">
        <v>3006</v>
      </c>
      <c r="CP68" s="5" t="s">
        <v>4848</v>
      </c>
      <c r="CQ68" s="23" t="s">
        <v>4849</v>
      </c>
      <c r="CR68" s="5" t="s">
        <v>858</v>
      </c>
      <c r="CS68" s="5" t="s">
        <v>4813</v>
      </c>
    </row>
    <row r="69" customFormat="false" ht="14.25" hidden="false" customHeight="true" outlineLevel="0" collapsed="false">
      <c r="A69" s="5" t="n">
        <v>164</v>
      </c>
      <c r="B69" s="5" t="n">
        <v>164</v>
      </c>
      <c r="C69" s="5" t="s">
        <v>842</v>
      </c>
      <c r="D69" s="5" t="n">
        <v>2000</v>
      </c>
      <c r="E69" s="5" t="s">
        <v>843</v>
      </c>
      <c r="F69" s="5" t="s">
        <v>1976</v>
      </c>
      <c r="G69" s="5" t="s">
        <v>3004</v>
      </c>
      <c r="H69" s="5" t="n">
        <v>25.233</v>
      </c>
      <c r="I69" s="5" t="n">
        <v>87.067</v>
      </c>
      <c r="J69" s="5" t="s">
        <v>83</v>
      </c>
      <c r="K69" s="5" t="s">
        <v>4822</v>
      </c>
      <c r="L69" s="5" t="s">
        <v>84</v>
      </c>
      <c r="M69" s="5" t="s">
        <v>3005</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12</v>
      </c>
      <c r="BW69" s="5" t="n">
        <v>4</v>
      </c>
      <c r="BX69" s="5" t="n">
        <f aca="false">IF(AND(N(BV69)&gt;0,N(BW69)&gt;0),SQRT(2*BV69/BW69),"")</f>
        <v>2.44948974278318</v>
      </c>
      <c r="BY69" s="5"/>
      <c r="BZ69" s="5"/>
      <c r="CA69" s="5"/>
      <c r="CB69" s="5" t="n">
        <v>1358</v>
      </c>
      <c r="CC69" s="5" t="n">
        <v>25.233</v>
      </c>
      <c r="CD69" s="5" t="n">
        <v>5</v>
      </c>
      <c r="CE69" s="5"/>
      <c r="CF69" s="5"/>
      <c r="CG69" s="5"/>
      <c r="CH69" s="5" t="n">
        <v>4.6</v>
      </c>
      <c r="CI69" s="5"/>
      <c r="CJ69" s="5"/>
      <c r="CK69" s="5"/>
      <c r="CL69" s="5" t="s">
        <v>4809</v>
      </c>
      <c r="CM69" s="5" t="s">
        <v>2989</v>
      </c>
      <c r="CN69" s="5" t="s">
        <v>4823</v>
      </c>
      <c r="CO69" s="5" t="s">
        <v>3006</v>
      </c>
      <c r="CP69" s="5" t="s">
        <v>4848</v>
      </c>
      <c r="CQ69" s="23" t="s">
        <v>4849</v>
      </c>
      <c r="CR69" s="5" t="s">
        <v>858</v>
      </c>
      <c r="CS69" s="5" t="s">
        <v>4813</v>
      </c>
    </row>
    <row r="70" customFormat="false" ht="14.25" hidden="false" customHeight="true" outlineLevel="0" collapsed="false">
      <c r="A70" s="5" t="n">
        <v>164</v>
      </c>
      <c r="B70" s="5" t="n">
        <v>164</v>
      </c>
      <c r="C70" s="5" t="s">
        <v>842</v>
      </c>
      <c r="D70" s="5" t="n">
        <v>2000</v>
      </c>
      <c r="E70" s="5" t="s">
        <v>843</v>
      </c>
      <c r="F70" s="5" t="s">
        <v>1976</v>
      </c>
      <c r="G70" s="5" t="s">
        <v>3004</v>
      </c>
      <c r="H70" s="5" t="n">
        <v>25.233</v>
      </c>
      <c r="I70" s="5" t="n">
        <v>87.067</v>
      </c>
      <c r="J70" s="5" t="s">
        <v>83</v>
      </c>
      <c r="K70" s="5" t="s">
        <v>4824</v>
      </c>
      <c r="L70" s="5" t="s">
        <v>84</v>
      </c>
      <c r="M70" s="5" t="s">
        <v>3005</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12</v>
      </c>
      <c r="BW70" s="5" t="n">
        <v>4</v>
      </c>
      <c r="BX70" s="5" t="n">
        <f aca="false">IF(AND(N(BV70)&gt;0,N(BW70)&gt;0),SQRT(2*BV70/BW70),"")</f>
        <v>2.44948974278318</v>
      </c>
      <c r="BY70" s="5"/>
      <c r="BZ70" s="5"/>
      <c r="CA70" s="5"/>
      <c r="CB70" s="5" t="n">
        <v>1358</v>
      </c>
      <c r="CC70" s="5" t="n">
        <v>25.233</v>
      </c>
      <c r="CD70" s="5" t="n">
        <v>6</v>
      </c>
      <c r="CE70" s="5"/>
      <c r="CF70" s="5"/>
      <c r="CG70" s="5"/>
      <c r="CH70" s="5" t="n">
        <v>4.6</v>
      </c>
      <c r="CI70" s="5"/>
      <c r="CJ70" s="5"/>
      <c r="CK70" s="5"/>
      <c r="CL70" s="5" t="s">
        <v>4809</v>
      </c>
      <c r="CM70" s="5" t="s">
        <v>2989</v>
      </c>
      <c r="CN70" s="5" t="s">
        <v>4825</v>
      </c>
      <c r="CO70" s="5" t="s">
        <v>3006</v>
      </c>
      <c r="CP70" s="5" t="s">
        <v>4848</v>
      </c>
      <c r="CQ70" s="23" t="s">
        <v>4849</v>
      </c>
      <c r="CR70" s="5" t="s">
        <v>858</v>
      </c>
      <c r="CS70" s="5" t="s">
        <v>4813</v>
      </c>
    </row>
    <row r="71" customFormat="false" ht="14.25" hidden="false" customHeight="true" outlineLevel="0" collapsed="false">
      <c r="A71" s="5" t="n">
        <v>164</v>
      </c>
      <c r="B71" s="5" t="n">
        <v>164</v>
      </c>
      <c r="C71" s="5" t="s">
        <v>842</v>
      </c>
      <c r="D71" s="5" t="n">
        <v>2000</v>
      </c>
      <c r="E71" s="5" t="s">
        <v>843</v>
      </c>
      <c r="F71" s="5" t="s">
        <v>1976</v>
      </c>
      <c r="G71" s="5" t="s">
        <v>3004</v>
      </c>
      <c r="H71" s="5" t="n">
        <v>25.233</v>
      </c>
      <c r="I71" s="5" t="n">
        <v>87.067</v>
      </c>
      <c r="J71" s="5" t="s">
        <v>83</v>
      </c>
      <c r="K71" s="5" t="s">
        <v>4826</v>
      </c>
      <c r="L71" s="5" t="s">
        <v>84</v>
      </c>
      <c r="M71" s="5" t="s">
        <v>3005</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12</v>
      </c>
      <c r="BW71" s="5" t="n">
        <v>4</v>
      </c>
      <c r="BX71" s="5" t="n">
        <f aca="false">IF(AND(N(BV71)&gt;0,N(BW71)&gt;0),SQRT(2*BV71/BW71),"")</f>
        <v>2.44948974278318</v>
      </c>
      <c r="BY71" s="5"/>
      <c r="BZ71" s="5"/>
      <c r="CA71" s="5"/>
      <c r="CB71" s="5" t="n">
        <v>1358</v>
      </c>
      <c r="CC71" s="5" t="n">
        <v>25.233</v>
      </c>
      <c r="CD71" s="5" t="n">
        <v>7</v>
      </c>
      <c r="CE71" s="5"/>
      <c r="CF71" s="5"/>
      <c r="CG71" s="5"/>
      <c r="CH71" s="5" t="n">
        <v>4.6</v>
      </c>
      <c r="CI71" s="5"/>
      <c r="CJ71" s="5"/>
      <c r="CK71" s="5"/>
      <c r="CL71" s="5" t="s">
        <v>4809</v>
      </c>
      <c r="CM71" s="5" t="s">
        <v>2989</v>
      </c>
      <c r="CN71" s="5" t="s">
        <v>4827</v>
      </c>
      <c r="CO71" s="5" t="s">
        <v>3006</v>
      </c>
      <c r="CP71" s="5" t="s">
        <v>4848</v>
      </c>
      <c r="CQ71" s="23" t="s">
        <v>4849</v>
      </c>
      <c r="CR71" s="5" t="s">
        <v>858</v>
      </c>
      <c r="CS71" s="5" t="s">
        <v>4813</v>
      </c>
    </row>
    <row r="72" customFormat="false" ht="14.25" hidden="false" customHeight="true" outlineLevel="0" collapsed="false">
      <c r="A72" s="5" t="n">
        <v>164</v>
      </c>
      <c r="B72" s="5" t="n">
        <v>164</v>
      </c>
      <c r="C72" s="5" t="s">
        <v>842</v>
      </c>
      <c r="D72" s="5" t="n">
        <v>2000</v>
      </c>
      <c r="E72" s="5" t="s">
        <v>843</v>
      </c>
      <c r="F72" s="5" t="s">
        <v>1976</v>
      </c>
      <c r="G72" s="5" t="s">
        <v>3004</v>
      </c>
      <c r="H72" s="5" t="n">
        <v>25.233</v>
      </c>
      <c r="I72" s="5" t="n">
        <v>87.067</v>
      </c>
      <c r="J72" s="5" t="s">
        <v>83</v>
      </c>
      <c r="K72" s="5" t="s">
        <v>4828</v>
      </c>
      <c r="L72" s="5" t="s">
        <v>84</v>
      </c>
      <c r="M72" s="5" t="s">
        <v>3005</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12</v>
      </c>
      <c r="BW72" s="5" t="n">
        <v>4</v>
      </c>
      <c r="BX72" s="5" t="n">
        <f aca="false">IF(AND(N(BV72)&gt;0,N(BW72)&gt;0),SQRT(2*BV72/BW72),"")</f>
        <v>2.44948974278318</v>
      </c>
      <c r="BY72" s="5"/>
      <c r="BZ72" s="5"/>
      <c r="CA72" s="5"/>
      <c r="CB72" s="5" t="n">
        <v>1358</v>
      </c>
      <c r="CC72" s="5" t="n">
        <v>25.233</v>
      </c>
      <c r="CD72" s="5" t="n">
        <v>8</v>
      </c>
      <c r="CE72" s="5"/>
      <c r="CF72" s="5"/>
      <c r="CG72" s="5"/>
      <c r="CH72" s="5" t="n">
        <v>4.6</v>
      </c>
      <c r="CI72" s="5"/>
      <c r="CJ72" s="5"/>
      <c r="CK72" s="5"/>
      <c r="CL72" s="5" t="s">
        <v>4809</v>
      </c>
      <c r="CM72" s="5" t="s">
        <v>2989</v>
      </c>
      <c r="CN72" s="5" t="s">
        <v>4829</v>
      </c>
      <c r="CO72" s="5" t="s">
        <v>3006</v>
      </c>
      <c r="CP72" s="5" t="s">
        <v>4848</v>
      </c>
      <c r="CQ72" s="23" t="s">
        <v>4849</v>
      </c>
      <c r="CR72" s="5" t="s">
        <v>858</v>
      </c>
      <c r="CS72" s="5" t="s">
        <v>4813</v>
      </c>
    </row>
    <row r="73" customFormat="false" ht="14.25" hidden="false" customHeight="true" outlineLevel="0" collapsed="false">
      <c r="A73" s="5" t="n">
        <v>164</v>
      </c>
      <c r="B73" s="5" t="n">
        <v>164</v>
      </c>
      <c r="C73" s="5" t="s">
        <v>842</v>
      </c>
      <c r="D73" s="5" t="n">
        <v>2000</v>
      </c>
      <c r="E73" s="5" t="s">
        <v>843</v>
      </c>
      <c r="F73" s="5" t="s">
        <v>1976</v>
      </c>
      <c r="G73" s="5" t="s">
        <v>3004</v>
      </c>
      <c r="H73" s="5" t="n">
        <v>25.233</v>
      </c>
      <c r="I73" s="5" t="n">
        <v>87.067</v>
      </c>
      <c r="J73" s="5" t="s">
        <v>83</v>
      </c>
      <c r="K73" s="5" t="s">
        <v>4830</v>
      </c>
      <c r="L73" s="5" t="s">
        <v>84</v>
      </c>
      <c r="M73" s="5" t="s">
        <v>3005</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12</v>
      </c>
      <c r="BW73" s="5" t="n">
        <v>4</v>
      </c>
      <c r="BX73" s="5" t="n">
        <f aca="false">IF(AND(N(BV73)&gt;0,N(BW73)&gt;0),SQRT(2*BV73/BW73),"")</f>
        <v>2.44948974278318</v>
      </c>
      <c r="BY73" s="5"/>
      <c r="BZ73" s="5"/>
      <c r="CA73" s="5"/>
      <c r="CB73" s="5" t="n">
        <v>1358</v>
      </c>
      <c r="CC73" s="5" t="n">
        <v>25.233</v>
      </c>
      <c r="CD73" s="5" t="n">
        <v>9</v>
      </c>
      <c r="CE73" s="5"/>
      <c r="CF73" s="5"/>
      <c r="CG73" s="5"/>
      <c r="CH73" s="5" t="n">
        <v>4.6</v>
      </c>
      <c r="CI73" s="5"/>
      <c r="CJ73" s="5"/>
      <c r="CK73" s="5"/>
      <c r="CL73" s="5" t="s">
        <v>4809</v>
      </c>
      <c r="CM73" s="5" t="s">
        <v>2989</v>
      </c>
      <c r="CN73" s="5" t="s">
        <v>4831</v>
      </c>
      <c r="CO73" s="5" t="s">
        <v>3006</v>
      </c>
      <c r="CP73" s="5" t="s">
        <v>4848</v>
      </c>
      <c r="CQ73" s="23" t="s">
        <v>4849</v>
      </c>
      <c r="CR73" s="5" t="s">
        <v>858</v>
      </c>
      <c r="CS73" s="5" t="s">
        <v>4813</v>
      </c>
    </row>
    <row r="74" customFormat="false" ht="14.25" hidden="false" customHeight="true" outlineLevel="0" collapsed="false">
      <c r="A74" s="5" t="n">
        <v>164</v>
      </c>
      <c r="B74" s="5" t="n">
        <v>164</v>
      </c>
      <c r="C74" s="5" t="s">
        <v>842</v>
      </c>
      <c r="D74" s="5" t="n">
        <v>2000</v>
      </c>
      <c r="E74" s="5" t="s">
        <v>843</v>
      </c>
      <c r="F74" s="5" t="s">
        <v>1976</v>
      </c>
      <c r="G74" s="5" t="s">
        <v>3004</v>
      </c>
      <c r="H74" s="5" t="n">
        <v>25.233</v>
      </c>
      <c r="I74" s="5" t="n">
        <v>87.067</v>
      </c>
      <c r="J74" s="5" t="s">
        <v>83</v>
      </c>
      <c r="K74" s="5" t="s">
        <v>4850</v>
      </c>
      <c r="L74" s="5" t="s">
        <v>853</v>
      </c>
      <c r="M74" s="5" t="s">
        <v>3005</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12</v>
      </c>
      <c r="BW74" s="5" t="n">
        <v>4</v>
      </c>
      <c r="BX74" s="5" t="n">
        <f aca="false">IF(AND(N(BV74)&gt;0,N(BW74)&gt;0),SQRT(2*BV74/BW74),"")</f>
        <v>2.44948974278318</v>
      </c>
      <c r="BY74" s="5"/>
      <c r="BZ74" s="5"/>
      <c r="CA74" s="5"/>
      <c r="CB74" s="5" t="n">
        <v>1358</v>
      </c>
      <c r="CC74" s="5" t="n">
        <v>25.233</v>
      </c>
      <c r="CD74" s="5" t="n">
        <v>11</v>
      </c>
      <c r="CE74" s="5"/>
      <c r="CF74" s="5"/>
      <c r="CG74" s="5"/>
      <c r="CH74" s="5" t="n">
        <v>4.6</v>
      </c>
      <c r="CI74" s="5"/>
      <c r="CJ74" s="5"/>
      <c r="CK74" s="5"/>
      <c r="CL74" s="5" t="s">
        <v>4809</v>
      </c>
      <c r="CM74" s="5" t="s">
        <v>2989</v>
      </c>
      <c r="CN74" s="5" t="s">
        <v>4851</v>
      </c>
      <c r="CO74" s="5" t="s">
        <v>3006</v>
      </c>
      <c r="CP74" s="5" t="s">
        <v>4848</v>
      </c>
      <c r="CQ74" s="23" t="s">
        <v>4849</v>
      </c>
      <c r="CR74" s="5" t="s">
        <v>858</v>
      </c>
      <c r="CS74" s="5" t="s">
        <v>4813</v>
      </c>
    </row>
    <row r="75" customFormat="false" ht="14.25" hidden="false" customHeight="true" outlineLevel="0" collapsed="false">
      <c r="A75" s="5" t="n">
        <v>164</v>
      </c>
      <c r="B75" s="5" t="n">
        <v>164</v>
      </c>
      <c r="C75" s="5" t="s">
        <v>842</v>
      </c>
      <c r="D75" s="5" t="n">
        <v>2000</v>
      </c>
      <c r="E75" s="5" t="s">
        <v>843</v>
      </c>
      <c r="F75" s="5" t="s">
        <v>1976</v>
      </c>
      <c r="G75" s="5" t="s">
        <v>3004</v>
      </c>
      <c r="H75" s="5" t="n">
        <v>25.233</v>
      </c>
      <c r="I75" s="5" t="n">
        <v>87.067</v>
      </c>
      <c r="J75" s="5" t="s">
        <v>83</v>
      </c>
      <c r="K75" s="5" t="s">
        <v>2150</v>
      </c>
      <c r="L75" s="5" t="s">
        <v>853</v>
      </c>
      <c r="M75" s="5" t="s">
        <v>3005</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12</v>
      </c>
      <c r="BW75" s="5" t="n">
        <v>4</v>
      </c>
      <c r="BX75" s="5" t="n">
        <f aca="false">IF(AND(N(BV75)&gt;0,N(BW75)&gt;0),SQRT(2*BV75/BW75),"")</f>
        <v>2.44948974278318</v>
      </c>
      <c r="BY75" s="5"/>
      <c r="BZ75" s="5"/>
      <c r="CA75" s="5"/>
      <c r="CB75" s="5" t="n">
        <v>1358</v>
      </c>
      <c r="CC75" s="5" t="n">
        <v>25.233</v>
      </c>
      <c r="CD75" s="5" t="n">
        <v>13</v>
      </c>
      <c r="CE75" s="5"/>
      <c r="CF75" s="5"/>
      <c r="CG75" s="5"/>
      <c r="CH75" s="5" t="n">
        <v>4.6</v>
      </c>
      <c r="CI75" s="5"/>
      <c r="CJ75" s="5"/>
      <c r="CK75" s="5"/>
      <c r="CL75" s="5" t="s">
        <v>4809</v>
      </c>
      <c r="CM75" s="5" t="s">
        <v>2989</v>
      </c>
      <c r="CN75" s="5" t="s">
        <v>4838</v>
      </c>
      <c r="CO75" s="5" t="s">
        <v>3006</v>
      </c>
      <c r="CP75" s="5" t="s">
        <v>4848</v>
      </c>
      <c r="CQ75" s="23" t="s">
        <v>4849</v>
      </c>
      <c r="CR75" s="5" t="s">
        <v>858</v>
      </c>
      <c r="CS75" s="5" t="s">
        <v>4813</v>
      </c>
    </row>
    <row r="76" customFormat="false" ht="14.25" hidden="false" customHeight="true" outlineLevel="0" collapsed="false">
      <c r="A76" s="5" t="n">
        <v>164</v>
      </c>
      <c r="B76" s="5" t="n">
        <v>164</v>
      </c>
      <c r="C76" s="5" t="s">
        <v>842</v>
      </c>
      <c r="D76" s="5" t="n">
        <v>2000</v>
      </c>
      <c r="E76" s="5" t="s">
        <v>843</v>
      </c>
      <c r="F76" s="5" t="s">
        <v>1976</v>
      </c>
      <c r="G76" s="5" t="s">
        <v>3004</v>
      </c>
      <c r="H76" s="5" t="n">
        <v>25.233</v>
      </c>
      <c r="I76" s="5" t="n">
        <v>87.067</v>
      </c>
      <c r="J76" s="5" t="s">
        <v>83</v>
      </c>
      <c r="K76" s="5" t="s">
        <v>2988</v>
      </c>
      <c r="L76" s="5" t="s">
        <v>853</v>
      </c>
      <c r="M76" s="5" t="s">
        <v>3005</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12</v>
      </c>
      <c r="BW76" s="5" t="n">
        <v>4</v>
      </c>
      <c r="BX76" s="5" t="n">
        <f aca="false">IF(AND(N(BV76)&gt;0,N(BW76)&gt;0),SQRT(2*BV76/BW76),"")</f>
        <v>2.44948974278318</v>
      </c>
      <c r="BY76" s="5"/>
      <c r="BZ76" s="5"/>
      <c r="CA76" s="5"/>
      <c r="CB76" s="5" t="n">
        <v>1358</v>
      </c>
      <c r="CC76" s="5" t="n">
        <v>25.233</v>
      </c>
      <c r="CD76" s="5" t="n">
        <v>14</v>
      </c>
      <c r="CE76" s="5"/>
      <c r="CF76" s="5"/>
      <c r="CG76" s="5"/>
      <c r="CH76" s="5" t="n">
        <v>4.6</v>
      </c>
      <c r="CI76" s="5"/>
      <c r="CJ76" s="5"/>
      <c r="CK76" s="5"/>
      <c r="CL76" s="5" t="s">
        <v>4809</v>
      </c>
      <c r="CM76" s="5" t="s">
        <v>2989</v>
      </c>
      <c r="CN76" s="5" t="s">
        <v>4839</v>
      </c>
      <c r="CO76" s="5" t="s">
        <v>3006</v>
      </c>
      <c r="CP76" s="5" t="s">
        <v>4848</v>
      </c>
      <c r="CQ76" s="23" t="s">
        <v>4849</v>
      </c>
      <c r="CR76" s="5" t="s">
        <v>858</v>
      </c>
      <c r="CS76" s="5" t="s">
        <v>4813</v>
      </c>
    </row>
    <row r="77" customFormat="false" ht="14.25" hidden="false" customHeight="true" outlineLevel="0" collapsed="false">
      <c r="A77" s="5" t="n">
        <v>164</v>
      </c>
      <c r="B77" s="5" t="n">
        <v>164</v>
      </c>
      <c r="C77" s="5" t="s">
        <v>842</v>
      </c>
      <c r="D77" s="5" t="n">
        <v>2000</v>
      </c>
      <c r="E77" s="5" t="s">
        <v>843</v>
      </c>
      <c r="F77" s="5" t="s">
        <v>1980</v>
      </c>
      <c r="G77" s="5" t="s">
        <v>3008</v>
      </c>
      <c r="H77" s="5" t="n">
        <v>23</v>
      </c>
      <c r="I77" s="5" t="n">
        <v>89</v>
      </c>
      <c r="J77" s="5" t="s">
        <v>83</v>
      </c>
      <c r="K77" s="5" t="s">
        <v>4818</v>
      </c>
      <c r="L77" s="5" t="s">
        <v>872</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13</v>
      </c>
      <c r="BW77" s="5" t="n">
        <v>4</v>
      </c>
      <c r="BX77" s="5" t="n">
        <f aca="false">IF(AND(N(BV77)&gt;0,N(BW77)&gt;0),SQRT(2*BV77/BW77),"")</f>
        <v>2.54950975679639</v>
      </c>
      <c r="BY77" s="5"/>
      <c r="BZ77" s="5"/>
      <c r="CA77" s="5"/>
      <c r="CB77" s="5"/>
      <c r="CC77" s="5" t="n">
        <v>23</v>
      </c>
      <c r="CD77" s="5" t="n">
        <v>1</v>
      </c>
      <c r="CE77" s="5"/>
      <c r="CF77" s="5"/>
      <c r="CG77" s="5"/>
      <c r="CH77" s="5" t="n">
        <v>9.2</v>
      </c>
      <c r="CI77" s="5"/>
      <c r="CJ77" s="5"/>
      <c r="CK77" s="5"/>
      <c r="CL77" s="5" t="s">
        <v>4809</v>
      </c>
      <c r="CM77" s="5" t="s">
        <v>2989</v>
      </c>
      <c r="CN77" s="5" t="s">
        <v>4819</v>
      </c>
      <c r="CO77" s="5" t="s">
        <v>3011</v>
      </c>
      <c r="CP77" s="5" t="s">
        <v>4852</v>
      </c>
      <c r="CQ77" s="23" t="s">
        <v>4853</v>
      </c>
      <c r="CR77" s="5" t="s">
        <v>858</v>
      </c>
      <c r="CS77" s="5" t="s">
        <v>4813</v>
      </c>
    </row>
    <row r="78" customFormat="false" ht="14.25" hidden="false" customHeight="true" outlineLevel="0" collapsed="false">
      <c r="A78" s="5" t="n">
        <v>164</v>
      </c>
      <c r="B78" s="5" t="n">
        <v>164</v>
      </c>
      <c r="C78" s="5" t="s">
        <v>842</v>
      </c>
      <c r="D78" s="5" t="n">
        <v>2000</v>
      </c>
      <c r="E78" s="5" t="s">
        <v>843</v>
      </c>
      <c r="F78" s="5" t="s">
        <v>1980</v>
      </c>
      <c r="G78" s="5" t="s">
        <v>3008</v>
      </c>
      <c r="H78" s="5" t="n">
        <v>23</v>
      </c>
      <c r="I78" s="5" t="n">
        <v>89</v>
      </c>
      <c r="J78" s="5" t="s">
        <v>83</v>
      </c>
      <c r="K78" s="5" t="s">
        <v>4820</v>
      </c>
      <c r="L78" s="5" t="s">
        <v>872</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13</v>
      </c>
      <c r="BW78" s="5" t="n">
        <v>4</v>
      </c>
      <c r="BX78" s="5" t="n">
        <f aca="false">IF(AND(N(BV78)&gt;0,N(BW78)&gt;0),SQRT(2*BV78/BW78),"")</f>
        <v>2.54950975679639</v>
      </c>
      <c r="BY78" s="5"/>
      <c r="BZ78" s="5"/>
      <c r="CA78" s="5"/>
      <c r="CB78" s="5"/>
      <c r="CC78" s="5" t="n">
        <v>23</v>
      </c>
      <c r="CD78" s="5" t="n">
        <v>2</v>
      </c>
      <c r="CE78" s="5"/>
      <c r="CF78" s="5"/>
      <c r="CG78" s="5"/>
      <c r="CH78" s="5" t="n">
        <v>9.2</v>
      </c>
      <c r="CI78" s="5"/>
      <c r="CJ78" s="5"/>
      <c r="CK78" s="5"/>
      <c r="CL78" s="5" t="s">
        <v>4809</v>
      </c>
      <c r="CM78" s="5" t="s">
        <v>2989</v>
      </c>
      <c r="CN78" s="5" t="s">
        <v>4821</v>
      </c>
      <c r="CO78" s="5" t="s">
        <v>3011</v>
      </c>
      <c r="CP78" s="5" t="s">
        <v>4852</v>
      </c>
      <c r="CQ78" s="23" t="s">
        <v>4853</v>
      </c>
      <c r="CR78" s="5" t="s">
        <v>858</v>
      </c>
      <c r="CS78" s="5" t="s">
        <v>4813</v>
      </c>
    </row>
    <row r="79" customFormat="false" ht="14.25" hidden="false" customHeight="true" outlineLevel="0" collapsed="false">
      <c r="A79" s="5" t="n">
        <v>164</v>
      </c>
      <c r="B79" s="5" t="n">
        <v>164</v>
      </c>
      <c r="C79" s="5" t="s">
        <v>842</v>
      </c>
      <c r="D79" s="5" t="n">
        <v>2000</v>
      </c>
      <c r="E79" s="5" t="s">
        <v>843</v>
      </c>
      <c r="F79" s="5" t="s">
        <v>1980</v>
      </c>
      <c r="G79" s="5" t="s">
        <v>3008</v>
      </c>
      <c r="H79" s="5" t="n">
        <v>23</v>
      </c>
      <c r="I79" s="5" t="n">
        <v>89</v>
      </c>
      <c r="J79" s="5" t="s">
        <v>83</v>
      </c>
      <c r="K79" s="5" t="s">
        <v>4822</v>
      </c>
      <c r="L79" s="5" t="s">
        <v>872</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13</v>
      </c>
      <c r="BW79" s="5" t="n">
        <v>4</v>
      </c>
      <c r="BX79" s="5" t="n">
        <f aca="false">IF(AND(N(BV79)&gt;0,N(BW79)&gt;0),SQRT(2*BV79/BW79),"")</f>
        <v>2.54950975679639</v>
      </c>
      <c r="BY79" s="5"/>
      <c r="BZ79" s="5"/>
      <c r="CA79" s="5"/>
      <c r="CB79" s="5"/>
      <c r="CC79" s="5" t="n">
        <v>23</v>
      </c>
      <c r="CD79" s="5" t="n">
        <v>3</v>
      </c>
      <c r="CE79" s="5"/>
      <c r="CF79" s="5"/>
      <c r="CG79" s="5"/>
      <c r="CH79" s="5" t="n">
        <v>9.2</v>
      </c>
      <c r="CI79" s="5"/>
      <c r="CJ79" s="5"/>
      <c r="CK79" s="5"/>
      <c r="CL79" s="5" t="s">
        <v>4809</v>
      </c>
      <c r="CM79" s="5" t="s">
        <v>2989</v>
      </c>
      <c r="CN79" s="5" t="s">
        <v>4823</v>
      </c>
      <c r="CO79" s="5" t="s">
        <v>3011</v>
      </c>
      <c r="CP79" s="5" t="s">
        <v>4852</v>
      </c>
      <c r="CQ79" s="23" t="s">
        <v>4853</v>
      </c>
      <c r="CR79" s="5" t="s">
        <v>858</v>
      </c>
      <c r="CS79" s="5" t="s">
        <v>4813</v>
      </c>
    </row>
    <row r="80" customFormat="false" ht="14.25" hidden="false" customHeight="true" outlineLevel="0" collapsed="false">
      <c r="A80" s="5" t="n">
        <v>164</v>
      </c>
      <c r="B80" s="5" t="n">
        <v>164</v>
      </c>
      <c r="C80" s="5" t="s">
        <v>842</v>
      </c>
      <c r="D80" s="5" t="n">
        <v>2000</v>
      </c>
      <c r="E80" s="5" t="s">
        <v>843</v>
      </c>
      <c r="F80" s="5" t="s">
        <v>1980</v>
      </c>
      <c r="G80" s="5" t="s">
        <v>3008</v>
      </c>
      <c r="H80" s="5" t="n">
        <v>23</v>
      </c>
      <c r="I80" s="5" t="n">
        <v>89</v>
      </c>
      <c r="J80" s="5" t="s">
        <v>83</v>
      </c>
      <c r="K80" s="5" t="s">
        <v>4824</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13</v>
      </c>
      <c r="BW80" s="5" t="n">
        <v>4</v>
      </c>
      <c r="BX80" s="5" t="n">
        <f aca="false">IF(AND(N(BV80)&gt;0,N(BW80)&gt;0),SQRT(2*BV80/BW80),"")</f>
        <v>2.54950975679639</v>
      </c>
      <c r="BY80" s="5"/>
      <c r="BZ80" s="5"/>
      <c r="CA80" s="5"/>
      <c r="CB80" s="5"/>
      <c r="CC80" s="5" t="n">
        <v>23</v>
      </c>
      <c r="CD80" s="5" t="n">
        <v>4</v>
      </c>
      <c r="CE80" s="5"/>
      <c r="CF80" s="5"/>
      <c r="CG80" s="5"/>
      <c r="CH80" s="5" t="n">
        <v>9.2</v>
      </c>
      <c r="CI80" s="5"/>
      <c r="CJ80" s="5"/>
      <c r="CK80" s="5"/>
      <c r="CL80" s="5" t="s">
        <v>4809</v>
      </c>
      <c r="CM80" s="5" t="s">
        <v>2989</v>
      </c>
      <c r="CN80" s="5" t="s">
        <v>4825</v>
      </c>
      <c r="CO80" s="5" t="s">
        <v>3011</v>
      </c>
      <c r="CP80" s="5" t="s">
        <v>4852</v>
      </c>
      <c r="CQ80" s="23" t="s">
        <v>4853</v>
      </c>
      <c r="CR80" s="5" t="s">
        <v>858</v>
      </c>
      <c r="CS80" s="5" t="s">
        <v>4813</v>
      </c>
    </row>
    <row r="81" customFormat="false" ht="14.25" hidden="false" customHeight="true" outlineLevel="0" collapsed="false">
      <c r="A81" s="5" t="n">
        <v>164</v>
      </c>
      <c r="B81" s="5" t="n">
        <v>164</v>
      </c>
      <c r="C81" s="5" t="s">
        <v>842</v>
      </c>
      <c r="D81" s="5" t="n">
        <v>2000</v>
      </c>
      <c r="E81" s="5" t="s">
        <v>843</v>
      </c>
      <c r="F81" s="5" t="s">
        <v>1980</v>
      </c>
      <c r="G81" s="5" t="s">
        <v>3008</v>
      </c>
      <c r="H81" s="5" t="n">
        <v>23</v>
      </c>
      <c r="I81" s="5" t="n">
        <v>89</v>
      </c>
      <c r="J81" s="5" t="s">
        <v>83</v>
      </c>
      <c r="K81" s="5" t="s">
        <v>4826</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13</v>
      </c>
      <c r="BW81" s="5" t="n">
        <v>4</v>
      </c>
      <c r="BX81" s="5" t="n">
        <f aca="false">IF(AND(N(BV81)&gt;0,N(BW81)&gt;0),SQRT(2*BV81/BW81),"")</f>
        <v>2.54950975679639</v>
      </c>
      <c r="BY81" s="5"/>
      <c r="BZ81" s="5"/>
      <c r="CA81" s="5"/>
      <c r="CB81" s="5"/>
      <c r="CC81" s="5" t="n">
        <v>23</v>
      </c>
      <c r="CD81" s="5" t="n">
        <v>5</v>
      </c>
      <c r="CE81" s="5"/>
      <c r="CF81" s="5"/>
      <c r="CG81" s="5"/>
      <c r="CH81" s="5" t="n">
        <v>9.2</v>
      </c>
      <c r="CI81" s="5"/>
      <c r="CJ81" s="5"/>
      <c r="CK81" s="5"/>
      <c r="CL81" s="5" t="s">
        <v>4809</v>
      </c>
      <c r="CM81" s="5" t="s">
        <v>2989</v>
      </c>
      <c r="CN81" s="5" t="s">
        <v>4827</v>
      </c>
      <c r="CO81" s="5" t="s">
        <v>3011</v>
      </c>
      <c r="CP81" s="5" t="s">
        <v>4852</v>
      </c>
      <c r="CQ81" s="23" t="s">
        <v>4853</v>
      </c>
      <c r="CR81" s="5" t="s">
        <v>858</v>
      </c>
      <c r="CS81" s="5" t="s">
        <v>4813</v>
      </c>
    </row>
    <row r="82" customFormat="false" ht="14.25" hidden="false" customHeight="true" outlineLevel="0" collapsed="false">
      <c r="A82" s="5" t="n">
        <v>164</v>
      </c>
      <c r="B82" s="5" t="n">
        <v>164</v>
      </c>
      <c r="C82" s="5" t="s">
        <v>842</v>
      </c>
      <c r="D82" s="5" t="n">
        <v>2000</v>
      </c>
      <c r="E82" s="5" t="s">
        <v>843</v>
      </c>
      <c r="F82" s="5" t="s">
        <v>1980</v>
      </c>
      <c r="G82" s="5" t="s">
        <v>3008</v>
      </c>
      <c r="H82" s="5" t="n">
        <v>23</v>
      </c>
      <c r="I82" s="5" t="n">
        <v>89</v>
      </c>
      <c r="J82" s="5" t="s">
        <v>83</v>
      </c>
      <c r="K82" s="5" t="s">
        <v>4828</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13</v>
      </c>
      <c r="BW82" s="5" t="n">
        <v>4</v>
      </c>
      <c r="BX82" s="5" t="n">
        <f aca="false">IF(AND(N(BV82)&gt;0,N(BW82)&gt;0),SQRT(2*BV82/BW82),"")</f>
        <v>2.54950975679639</v>
      </c>
      <c r="BY82" s="5"/>
      <c r="BZ82" s="5"/>
      <c r="CA82" s="5"/>
      <c r="CB82" s="5"/>
      <c r="CC82" s="5" t="n">
        <v>23</v>
      </c>
      <c r="CD82" s="5" t="n">
        <v>6</v>
      </c>
      <c r="CE82" s="5"/>
      <c r="CF82" s="5"/>
      <c r="CG82" s="5"/>
      <c r="CH82" s="5" t="n">
        <v>9.2</v>
      </c>
      <c r="CI82" s="5"/>
      <c r="CJ82" s="5"/>
      <c r="CK82" s="5"/>
      <c r="CL82" s="5" t="s">
        <v>4809</v>
      </c>
      <c r="CM82" s="5" t="s">
        <v>2989</v>
      </c>
      <c r="CN82" s="5" t="s">
        <v>4829</v>
      </c>
      <c r="CO82" s="5" t="s">
        <v>3011</v>
      </c>
      <c r="CP82" s="5" t="s">
        <v>4852</v>
      </c>
      <c r="CQ82" s="23" t="s">
        <v>4853</v>
      </c>
      <c r="CR82" s="5" t="s">
        <v>858</v>
      </c>
      <c r="CS82" s="5" t="s">
        <v>4813</v>
      </c>
    </row>
    <row r="83" customFormat="false" ht="14.25" hidden="false" customHeight="true" outlineLevel="0" collapsed="false">
      <c r="A83" s="5" t="n">
        <v>164</v>
      </c>
      <c r="B83" s="5" t="n">
        <v>164</v>
      </c>
      <c r="C83" s="5" t="s">
        <v>842</v>
      </c>
      <c r="D83" s="5" t="n">
        <v>2000</v>
      </c>
      <c r="E83" s="5" t="s">
        <v>843</v>
      </c>
      <c r="F83" s="5" t="s">
        <v>1980</v>
      </c>
      <c r="G83" s="5" t="s">
        <v>3008</v>
      </c>
      <c r="H83" s="5" t="n">
        <v>23</v>
      </c>
      <c r="I83" s="5" t="n">
        <v>89</v>
      </c>
      <c r="J83" s="5" t="s">
        <v>83</v>
      </c>
      <c r="K83" s="5" t="s">
        <v>4830</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13</v>
      </c>
      <c r="BW83" s="5" t="n">
        <v>4</v>
      </c>
      <c r="BX83" s="5" t="n">
        <f aca="false">IF(AND(N(BV83)&gt;0,N(BW83)&gt;0),SQRT(2*BV83/BW83),"")</f>
        <v>2.54950975679639</v>
      </c>
      <c r="BY83" s="5"/>
      <c r="BZ83" s="5"/>
      <c r="CA83" s="5"/>
      <c r="CB83" s="5"/>
      <c r="CC83" s="5" t="n">
        <v>23</v>
      </c>
      <c r="CD83" s="5" t="n">
        <v>7</v>
      </c>
      <c r="CE83" s="5"/>
      <c r="CF83" s="5"/>
      <c r="CG83" s="5"/>
      <c r="CH83" s="5" t="n">
        <v>9.2</v>
      </c>
      <c r="CI83" s="5"/>
      <c r="CJ83" s="5"/>
      <c r="CK83" s="5"/>
      <c r="CL83" s="5" t="s">
        <v>4809</v>
      </c>
      <c r="CM83" s="5" t="s">
        <v>2989</v>
      </c>
      <c r="CN83" s="5" t="s">
        <v>4831</v>
      </c>
      <c r="CO83" s="5" t="s">
        <v>3011</v>
      </c>
      <c r="CP83" s="5" t="s">
        <v>4852</v>
      </c>
      <c r="CQ83" s="23" t="s">
        <v>4853</v>
      </c>
      <c r="CR83" s="5" t="s">
        <v>858</v>
      </c>
      <c r="CS83" s="5" t="s">
        <v>4813</v>
      </c>
    </row>
    <row r="84" customFormat="false" ht="14.25" hidden="false" customHeight="true" outlineLevel="0" collapsed="false">
      <c r="A84" s="5" t="n">
        <v>164</v>
      </c>
      <c r="B84" s="5" t="n">
        <v>164</v>
      </c>
      <c r="C84" s="5" t="s">
        <v>842</v>
      </c>
      <c r="D84" s="5" t="n">
        <v>2000</v>
      </c>
      <c r="E84" s="5" t="s">
        <v>843</v>
      </c>
      <c r="F84" s="5" t="s">
        <v>1980</v>
      </c>
      <c r="G84" s="5" t="s">
        <v>3008</v>
      </c>
      <c r="H84" s="5" t="n">
        <v>23</v>
      </c>
      <c r="I84" s="5" t="n">
        <v>89</v>
      </c>
      <c r="J84" s="5" t="s">
        <v>83</v>
      </c>
      <c r="K84" s="5" t="s">
        <v>4832</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13</v>
      </c>
      <c r="BW84" s="5" t="n">
        <v>4</v>
      </c>
      <c r="BX84" s="5" t="n">
        <f aca="false">IF(AND(N(BV84)&gt;0,N(BW84)&gt;0),SQRT(2*BV84/BW84),"")</f>
        <v>2.54950975679639</v>
      </c>
      <c r="BY84" s="5"/>
      <c r="BZ84" s="5"/>
      <c r="CA84" s="5"/>
      <c r="CB84" s="5"/>
      <c r="CC84" s="5" t="n">
        <v>23</v>
      </c>
      <c r="CD84" s="5" t="n">
        <v>8</v>
      </c>
      <c r="CE84" s="5"/>
      <c r="CF84" s="5"/>
      <c r="CG84" s="5"/>
      <c r="CH84" s="5" t="n">
        <v>9.2</v>
      </c>
      <c r="CI84" s="5"/>
      <c r="CJ84" s="5"/>
      <c r="CK84" s="5"/>
      <c r="CL84" s="5" t="s">
        <v>4809</v>
      </c>
      <c r="CM84" s="5" t="s">
        <v>2989</v>
      </c>
      <c r="CN84" s="5" t="s">
        <v>4833</v>
      </c>
      <c r="CO84" s="5" t="s">
        <v>3011</v>
      </c>
      <c r="CP84" s="5" t="s">
        <v>4852</v>
      </c>
      <c r="CQ84" s="23" t="s">
        <v>4853</v>
      </c>
      <c r="CR84" s="5" t="s">
        <v>858</v>
      </c>
      <c r="CS84" s="5" t="s">
        <v>4813</v>
      </c>
    </row>
    <row r="85" customFormat="false" ht="14.25" hidden="false" customHeight="true" outlineLevel="0" collapsed="false">
      <c r="A85" s="5" t="n">
        <v>164</v>
      </c>
      <c r="B85" s="5" t="n">
        <v>164</v>
      </c>
      <c r="C85" s="5" t="s">
        <v>842</v>
      </c>
      <c r="D85" s="5" t="n">
        <v>2000</v>
      </c>
      <c r="E85" s="5" t="s">
        <v>843</v>
      </c>
      <c r="F85" s="5" t="s">
        <v>1980</v>
      </c>
      <c r="G85" s="5" t="s">
        <v>3008</v>
      </c>
      <c r="H85" s="5" t="n">
        <v>23</v>
      </c>
      <c r="I85" s="5" t="n">
        <v>89</v>
      </c>
      <c r="J85" s="5" t="s">
        <v>83</v>
      </c>
      <c r="K85" s="5" t="s">
        <v>4834</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13</v>
      </c>
      <c r="BW85" s="5" t="n">
        <v>4</v>
      </c>
      <c r="BX85" s="5" t="n">
        <f aca="false">IF(AND(N(BV85)&gt;0,N(BW85)&gt;0),SQRT(2*BV85/BW85),"")</f>
        <v>2.54950975679639</v>
      </c>
      <c r="BY85" s="5"/>
      <c r="BZ85" s="5"/>
      <c r="CA85" s="5"/>
      <c r="CB85" s="5"/>
      <c r="CC85" s="5" t="n">
        <v>23</v>
      </c>
      <c r="CD85" s="5" t="n">
        <v>9</v>
      </c>
      <c r="CE85" s="5"/>
      <c r="CF85" s="5"/>
      <c r="CG85" s="5"/>
      <c r="CH85" s="5" t="n">
        <v>9.2</v>
      </c>
      <c r="CI85" s="5"/>
      <c r="CJ85" s="5"/>
      <c r="CK85" s="5"/>
      <c r="CL85" s="5" t="s">
        <v>4809</v>
      </c>
      <c r="CM85" s="5" t="s">
        <v>2989</v>
      </c>
      <c r="CN85" s="5" t="s">
        <v>4835</v>
      </c>
      <c r="CO85" s="5" t="s">
        <v>3011</v>
      </c>
      <c r="CP85" s="5" t="s">
        <v>4852</v>
      </c>
      <c r="CQ85" s="23" t="s">
        <v>4853</v>
      </c>
      <c r="CR85" s="5" t="s">
        <v>858</v>
      </c>
      <c r="CS85" s="5" t="s">
        <v>4813</v>
      </c>
    </row>
    <row r="86" customFormat="false" ht="14.25" hidden="false" customHeight="true" outlineLevel="0" collapsed="false">
      <c r="A86" s="5" t="n">
        <v>164</v>
      </c>
      <c r="B86" s="5" t="n">
        <v>164</v>
      </c>
      <c r="C86" s="5" t="s">
        <v>842</v>
      </c>
      <c r="D86" s="5" t="n">
        <v>2000</v>
      </c>
      <c r="E86" s="5" t="s">
        <v>843</v>
      </c>
      <c r="F86" s="5" t="s">
        <v>1980</v>
      </c>
      <c r="G86" s="5" t="s">
        <v>3008</v>
      </c>
      <c r="H86" s="5" t="n">
        <v>23</v>
      </c>
      <c r="I86" s="5" t="n">
        <v>89</v>
      </c>
      <c r="J86" s="5" t="s">
        <v>83</v>
      </c>
      <c r="K86" s="5" t="s">
        <v>4836</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13</v>
      </c>
      <c r="BW86" s="5" t="n">
        <v>4</v>
      </c>
      <c r="BX86" s="5" t="n">
        <f aca="false">IF(AND(N(BV86)&gt;0,N(BW86)&gt;0),SQRT(2*BV86/BW86),"")</f>
        <v>2.54950975679639</v>
      </c>
      <c r="BY86" s="5"/>
      <c r="BZ86" s="5"/>
      <c r="CA86" s="5"/>
      <c r="CB86" s="5"/>
      <c r="CC86" s="5" t="n">
        <v>23</v>
      </c>
      <c r="CD86" s="5" t="n">
        <v>10</v>
      </c>
      <c r="CE86" s="5"/>
      <c r="CF86" s="5"/>
      <c r="CG86" s="5"/>
      <c r="CH86" s="5" t="n">
        <v>9.2</v>
      </c>
      <c r="CI86" s="5"/>
      <c r="CJ86" s="5"/>
      <c r="CK86" s="5"/>
      <c r="CL86" s="5" t="s">
        <v>4809</v>
      </c>
      <c r="CM86" s="5" t="s">
        <v>2989</v>
      </c>
      <c r="CN86" s="5" t="s">
        <v>4837</v>
      </c>
      <c r="CO86" s="5" t="s">
        <v>3011</v>
      </c>
      <c r="CP86" s="5" t="s">
        <v>4852</v>
      </c>
      <c r="CQ86" s="23" t="s">
        <v>4853</v>
      </c>
      <c r="CR86" s="5" t="s">
        <v>858</v>
      </c>
      <c r="CS86" s="5" t="s">
        <v>4813</v>
      </c>
    </row>
    <row r="87" customFormat="false" ht="14.25" hidden="false" customHeight="true" outlineLevel="0" collapsed="false">
      <c r="A87" s="5" t="n">
        <v>164</v>
      </c>
      <c r="B87" s="5" t="n">
        <v>164</v>
      </c>
      <c r="C87" s="5" t="s">
        <v>842</v>
      </c>
      <c r="D87" s="5" t="n">
        <v>2000</v>
      </c>
      <c r="E87" s="5" t="s">
        <v>843</v>
      </c>
      <c r="F87" s="5" t="s">
        <v>1980</v>
      </c>
      <c r="G87" s="5" t="s">
        <v>3008</v>
      </c>
      <c r="H87" s="5" t="n">
        <v>23</v>
      </c>
      <c r="I87" s="5" t="n">
        <v>89</v>
      </c>
      <c r="J87" s="5" t="s">
        <v>83</v>
      </c>
      <c r="K87" s="5" t="s">
        <v>2150</v>
      </c>
      <c r="L87" s="5" t="s">
        <v>853</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13</v>
      </c>
      <c r="BW87" s="5" t="n">
        <v>4</v>
      </c>
      <c r="BX87" s="5" t="n">
        <f aca="false">IF(AND(N(BV87)&gt;0,N(BW87)&gt;0),SQRT(2*BV87/BW87),"")</f>
        <v>2.54950975679639</v>
      </c>
      <c r="BY87" s="5"/>
      <c r="BZ87" s="5"/>
      <c r="CA87" s="5"/>
      <c r="CB87" s="5"/>
      <c r="CC87" s="5" t="n">
        <v>23</v>
      </c>
      <c r="CD87" s="5" t="n">
        <v>11</v>
      </c>
      <c r="CE87" s="5"/>
      <c r="CF87" s="5"/>
      <c r="CG87" s="5"/>
      <c r="CH87" s="5" t="n">
        <v>9.2</v>
      </c>
      <c r="CI87" s="5"/>
      <c r="CJ87" s="5"/>
      <c r="CK87" s="5"/>
      <c r="CL87" s="5" t="s">
        <v>4809</v>
      </c>
      <c r="CM87" s="5" t="s">
        <v>2989</v>
      </c>
      <c r="CN87" s="5" t="s">
        <v>4838</v>
      </c>
      <c r="CO87" s="5" t="s">
        <v>3011</v>
      </c>
      <c r="CP87" s="5" t="s">
        <v>4852</v>
      </c>
      <c r="CQ87" s="23" t="s">
        <v>4853</v>
      </c>
      <c r="CR87" s="5" t="s">
        <v>858</v>
      </c>
      <c r="CS87" s="5" t="s">
        <v>4813</v>
      </c>
    </row>
    <row r="88" customFormat="false" ht="14.25" hidden="false" customHeight="true" outlineLevel="0" collapsed="false">
      <c r="A88" s="5" t="n">
        <v>164</v>
      </c>
      <c r="B88" s="5" t="n">
        <v>164</v>
      </c>
      <c r="C88" s="5" t="s">
        <v>842</v>
      </c>
      <c r="D88" s="5" t="n">
        <v>2000</v>
      </c>
      <c r="E88" s="5" t="s">
        <v>843</v>
      </c>
      <c r="F88" s="5" t="s">
        <v>1980</v>
      </c>
      <c r="G88" s="5" t="s">
        <v>3008</v>
      </c>
      <c r="H88" s="5" t="n">
        <v>23</v>
      </c>
      <c r="I88" s="5" t="n">
        <v>89</v>
      </c>
      <c r="J88" s="5" t="s">
        <v>83</v>
      </c>
      <c r="K88" s="5" t="s">
        <v>2988</v>
      </c>
      <c r="L88" s="5" t="s">
        <v>853</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13</v>
      </c>
      <c r="BW88" s="5" t="n">
        <v>4</v>
      </c>
      <c r="BX88" s="5" t="n">
        <f aca="false">IF(AND(N(BV88)&gt;0,N(BW88)&gt;0),SQRT(2*BV88/BW88),"")</f>
        <v>2.54950975679639</v>
      </c>
      <c r="BY88" s="5"/>
      <c r="BZ88" s="5"/>
      <c r="CA88" s="5"/>
      <c r="CB88" s="5"/>
      <c r="CC88" s="5" t="n">
        <v>23</v>
      </c>
      <c r="CD88" s="5" t="n">
        <v>12</v>
      </c>
      <c r="CE88" s="5"/>
      <c r="CF88" s="5"/>
      <c r="CG88" s="5"/>
      <c r="CH88" s="5" t="n">
        <v>9.2</v>
      </c>
      <c r="CI88" s="5"/>
      <c r="CJ88" s="5"/>
      <c r="CK88" s="5"/>
      <c r="CL88" s="5" t="s">
        <v>4809</v>
      </c>
      <c r="CM88" s="5" t="s">
        <v>2989</v>
      </c>
      <c r="CN88" s="5" t="s">
        <v>4839</v>
      </c>
      <c r="CO88" s="5" t="s">
        <v>3011</v>
      </c>
      <c r="CP88" s="5" t="s">
        <v>4852</v>
      </c>
      <c r="CQ88" s="23" t="s">
        <v>4853</v>
      </c>
      <c r="CR88" s="5" t="s">
        <v>858</v>
      </c>
      <c r="CS88" s="5" t="s">
        <v>4813</v>
      </c>
    </row>
    <row r="89" customFormat="false" ht="14.25" hidden="false" customHeight="true" outlineLevel="0" collapsed="false">
      <c r="A89" s="5" t="n">
        <v>164</v>
      </c>
      <c r="B89" s="5" t="n">
        <v>164</v>
      </c>
      <c r="C89" s="5" t="s">
        <v>842</v>
      </c>
      <c r="D89" s="5" t="n">
        <v>2000</v>
      </c>
      <c r="E89" s="5" t="s">
        <v>843</v>
      </c>
      <c r="F89" s="5" t="s">
        <v>1980</v>
      </c>
      <c r="G89" s="5" t="s">
        <v>3008</v>
      </c>
      <c r="H89" s="5" t="n">
        <v>23</v>
      </c>
      <c r="I89" s="5" t="n">
        <v>89</v>
      </c>
      <c r="J89" s="5" t="s">
        <v>83</v>
      </c>
      <c r="K89" s="5" t="s">
        <v>3009</v>
      </c>
      <c r="L89" s="5" t="s">
        <v>853</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13</v>
      </c>
      <c r="BW89" s="5" t="n">
        <v>4</v>
      </c>
      <c r="BX89" s="5" t="n">
        <f aca="false">IF(AND(N(BV89)&gt;0,N(BW89)&gt;0),SQRT(2*BV89/BW89),"")</f>
        <v>2.54950975679639</v>
      </c>
      <c r="BY89" s="5"/>
      <c r="BZ89" s="5"/>
      <c r="CA89" s="5"/>
      <c r="CB89" s="5"/>
      <c r="CC89" s="5" t="n">
        <v>23</v>
      </c>
      <c r="CD89" s="5" t="n">
        <v>13</v>
      </c>
      <c r="CE89" s="5"/>
      <c r="CF89" s="5"/>
      <c r="CG89" s="5"/>
      <c r="CH89" s="5" t="n">
        <v>9.2</v>
      </c>
      <c r="CI89" s="5"/>
      <c r="CJ89" s="5"/>
      <c r="CK89" s="5"/>
      <c r="CL89" s="5" t="s">
        <v>4809</v>
      </c>
      <c r="CM89" s="5" t="s">
        <v>2989</v>
      </c>
      <c r="CN89" s="5" t="s">
        <v>4854</v>
      </c>
      <c r="CO89" s="5" t="s">
        <v>3011</v>
      </c>
      <c r="CP89" s="5" t="s">
        <v>4852</v>
      </c>
      <c r="CQ89" s="23" t="s">
        <v>4853</v>
      </c>
      <c r="CR89" s="5" t="s">
        <v>858</v>
      </c>
      <c r="CS89" s="5" t="s">
        <v>4813</v>
      </c>
    </row>
    <row r="90" customFormat="false" ht="14.25" hidden="false" customHeight="true" outlineLevel="0" collapsed="false">
      <c r="A90" s="5" t="n">
        <v>164</v>
      </c>
      <c r="B90" s="5" t="n">
        <v>164</v>
      </c>
      <c r="C90" s="5" t="s">
        <v>842</v>
      </c>
      <c r="D90" s="5" t="n">
        <v>2000</v>
      </c>
      <c r="E90" s="5" t="s">
        <v>843</v>
      </c>
      <c r="F90" s="5" t="s">
        <v>1985</v>
      </c>
      <c r="G90" s="5" t="s">
        <v>3013</v>
      </c>
      <c r="H90" s="5" t="n">
        <v>23.167</v>
      </c>
      <c r="I90" s="5" t="n">
        <v>79.95</v>
      </c>
      <c r="J90" s="5" t="s">
        <v>83</v>
      </c>
      <c r="K90" s="5" t="s">
        <v>4816</v>
      </c>
      <c r="L90" s="5" t="s">
        <v>872</v>
      </c>
      <c r="M90" s="5" t="s">
        <v>3005</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13</v>
      </c>
      <c r="BW90" s="5" t="n">
        <v>4</v>
      </c>
      <c r="BX90" s="5" t="n">
        <f aca="false">IF(AND(N(BV90)&gt;0,N(BW90)&gt;0),SQRT(2*BV90/BW90),"")</f>
        <v>2.54950975679639</v>
      </c>
      <c r="BY90" s="5"/>
      <c r="BZ90" s="5"/>
      <c r="CA90" s="5"/>
      <c r="CB90" s="5" t="n">
        <v>850</v>
      </c>
      <c r="CC90" s="5" t="n">
        <v>23.167</v>
      </c>
      <c r="CD90" s="5" t="n">
        <v>1</v>
      </c>
      <c r="CE90" s="5"/>
      <c r="CF90" s="5"/>
      <c r="CG90" s="5"/>
      <c r="CH90" s="5" t="n">
        <v>6.9</v>
      </c>
      <c r="CI90" s="5"/>
      <c r="CJ90" s="5"/>
      <c r="CK90" s="5"/>
      <c r="CL90" s="5" t="s">
        <v>4809</v>
      </c>
      <c r="CM90" s="5" t="s">
        <v>2989</v>
      </c>
      <c r="CN90" s="5" t="s">
        <v>4817</v>
      </c>
      <c r="CO90" s="5" t="s">
        <v>3014</v>
      </c>
      <c r="CP90" s="5" t="s">
        <v>4855</v>
      </c>
      <c r="CQ90" s="23" t="s">
        <v>4856</v>
      </c>
      <c r="CR90" s="5" t="s">
        <v>858</v>
      </c>
      <c r="CS90" s="5" t="s">
        <v>4813</v>
      </c>
    </row>
    <row r="91" customFormat="false" ht="14.25" hidden="false" customHeight="true" outlineLevel="0" collapsed="false">
      <c r="A91" s="5" t="n">
        <v>164</v>
      </c>
      <c r="B91" s="5" t="n">
        <v>164</v>
      </c>
      <c r="C91" s="5" t="s">
        <v>842</v>
      </c>
      <c r="D91" s="5" t="n">
        <v>2000</v>
      </c>
      <c r="E91" s="5" t="s">
        <v>843</v>
      </c>
      <c r="F91" s="5" t="s">
        <v>1985</v>
      </c>
      <c r="G91" s="5" t="s">
        <v>3013</v>
      </c>
      <c r="H91" s="5" t="n">
        <v>23.167</v>
      </c>
      <c r="I91" s="5" t="n">
        <v>79.95</v>
      </c>
      <c r="J91" s="5" t="s">
        <v>83</v>
      </c>
      <c r="K91" s="5" t="s">
        <v>4818</v>
      </c>
      <c r="L91" s="5" t="s">
        <v>872</v>
      </c>
      <c r="M91" s="5" t="s">
        <v>3005</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13</v>
      </c>
      <c r="BW91" s="5" t="n">
        <v>4</v>
      </c>
      <c r="BX91" s="5" t="n">
        <f aca="false">IF(AND(N(BV91)&gt;0,N(BW91)&gt;0),SQRT(2*BV91/BW91),"")</f>
        <v>2.54950975679639</v>
      </c>
      <c r="BY91" s="5"/>
      <c r="BZ91" s="5"/>
      <c r="CA91" s="5"/>
      <c r="CB91" s="5" t="n">
        <v>850</v>
      </c>
      <c r="CC91" s="5" t="n">
        <v>23.167</v>
      </c>
      <c r="CD91" s="5" t="n">
        <v>2</v>
      </c>
      <c r="CE91" s="5"/>
      <c r="CF91" s="5"/>
      <c r="CG91" s="5"/>
      <c r="CH91" s="5" t="n">
        <v>6.9</v>
      </c>
      <c r="CI91" s="5"/>
      <c r="CJ91" s="5"/>
      <c r="CK91" s="5"/>
      <c r="CL91" s="5" t="s">
        <v>4809</v>
      </c>
      <c r="CM91" s="5" t="s">
        <v>2989</v>
      </c>
      <c r="CN91" s="5" t="s">
        <v>4819</v>
      </c>
      <c r="CO91" s="5" t="s">
        <v>3014</v>
      </c>
      <c r="CP91" s="5" t="s">
        <v>4855</v>
      </c>
      <c r="CQ91" s="23" t="s">
        <v>4856</v>
      </c>
      <c r="CR91" s="5" t="s">
        <v>858</v>
      </c>
      <c r="CS91" s="5" t="s">
        <v>4813</v>
      </c>
    </row>
    <row r="92" customFormat="false" ht="14.25" hidden="false" customHeight="true" outlineLevel="0" collapsed="false">
      <c r="A92" s="5" t="n">
        <v>164</v>
      </c>
      <c r="B92" s="5" t="n">
        <v>164</v>
      </c>
      <c r="C92" s="5" t="s">
        <v>842</v>
      </c>
      <c r="D92" s="5" t="n">
        <v>2000</v>
      </c>
      <c r="E92" s="5" t="s">
        <v>843</v>
      </c>
      <c r="F92" s="5" t="s">
        <v>1985</v>
      </c>
      <c r="G92" s="5" t="s">
        <v>3013</v>
      </c>
      <c r="H92" s="5" t="n">
        <v>23.167</v>
      </c>
      <c r="I92" s="5" t="n">
        <v>79.95</v>
      </c>
      <c r="J92" s="5" t="s">
        <v>83</v>
      </c>
      <c r="K92" s="5" t="s">
        <v>4820</v>
      </c>
      <c r="L92" s="5" t="s">
        <v>872</v>
      </c>
      <c r="M92" s="5" t="s">
        <v>3005</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13</v>
      </c>
      <c r="BW92" s="5" t="n">
        <v>4</v>
      </c>
      <c r="BX92" s="5" t="n">
        <f aca="false">IF(AND(N(BV92)&gt;0,N(BW92)&gt;0),SQRT(2*BV92/BW92),"")</f>
        <v>2.54950975679639</v>
      </c>
      <c r="BY92" s="5"/>
      <c r="BZ92" s="5"/>
      <c r="CA92" s="5"/>
      <c r="CB92" s="5" t="n">
        <v>850</v>
      </c>
      <c r="CC92" s="5" t="n">
        <v>23.167</v>
      </c>
      <c r="CD92" s="5" t="n">
        <v>3</v>
      </c>
      <c r="CE92" s="5"/>
      <c r="CF92" s="5"/>
      <c r="CG92" s="5"/>
      <c r="CH92" s="5" t="n">
        <v>6.9</v>
      </c>
      <c r="CI92" s="5"/>
      <c r="CJ92" s="5"/>
      <c r="CK92" s="5"/>
      <c r="CL92" s="5" t="s">
        <v>4809</v>
      </c>
      <c r="CM92" s="5" t="s">
        <v>2989</v>
      </c>
      <c r="CN92" s="5" t="s">
        <v>4821</v>
      </c>
      <c r="CO92" s="5" t="s">
        <v>3014</v>
      </c>
      <c r="CP92" s="5" t="s">
        <v>4855</v>
      </c>
      <c r="CQ92" s="23" t="s">
        <v>4856</v>
      </c>
      <c r="CR92" s="5" t="s">
        <v>858</v>
      </c>
      <c r="CS92" s="5" t="s">
        <v>4813</v>
      </c>
    </row>
    <row r="93" customFormat="false" ht="14.25" hidden="false" customHeight="true" outlineLevel="0" collapsed="false">
      <c r="A93" s="5" t="n">
        <v>164</v>
      </c>
      <c r="B93" s="5" t="n">
        <v>164</v>
      </c>
      <c r="C93" s="5" t="s">
        <v>842</v>
      </c>
      <c r="D93" s="5" t="n">
        <v>2000</v>
      </c>
      <c r="E93" s="5" t="s">
        <v>843</v>
      </c>
      <c r="F93" s="5" t="s">
        <v>1985</v>
      </c>
      <c r="G93" s="5" t="s">
        <v>3013</v>
      </c>
      <c r="H93" s="5" t="n">
        <v>23.167</v>
      </c>
      <c r="I93" s="5" t="n">
        <v>79.95</v>
      </c>
      <c r="J93" s="5" t="s">
        <v>83</v>
      </c>
      <c r="K93" s="5" t="s">
        <v>4822</v>
      </c>
      <c r="L93" s="5" t="s">
        <v>84</v>
      </c>
      <c r="M93" s="5" t="s">
        <v>3005</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13</v>
      </c>
      <c r="BW93" s="5" t="n">
        <v>4</v>
      </c>
      <c r="BX93" s="5" t="n">
        <f aca="false">IF(AND(N(BV93)&gt;0,N(BW93)&gt;0),SQRT(2*BV93/BW93),"")</f>
        <v>2.54950975679639</v>
      </c>
      <c r="BY93" s="5"/>
      <c r="BZ93" s="5"/>
      <c r="CA93" s="5"/>
      <c r="CB93" s="5" t="n">
        <v>850</v>
      </c>
      <c r="CC93" s="5" t="n">
        <v>23.167</v>
      </c>
      <c r="CD93" s="5" t="n">
        <v>4</v>
      </c>
      <c r="CE93" s="5"/>
      <c r="CF93" s="5"/>
      <c r="CG93" s="5"/>
      <c r="CH93" s="5" t="n">
        <v>6.9</v>
      </c>
      <c r="CI93" s="5"/>
      <c r="CJ93" s="5"/>
      <c r="CK93" s="5"/>
      <c r="CL93" s="5" t="s">
        <v>4809</v>
      </c>
      <c r="CM93" s="5" t="s">
        <v>2989</v>
      </c>
      <c r="CN93" s="5" t="s">
        <v>4823</v>
      </c>
      <c r="CO93" s="5" t="s">
        <v>3014</v>
      </c>
      <c r="CP93" s="5" t="s">
        <v>4855</v>
      </c>
      <c r="CQ93" s="23" t="s">
        <v>4857</v>
      </c>
      <c r="CR93" s="5" t="s">
        <v>858</v>
      </c>
      <c r="CS93" s="5" t="s">
        <v>4813</v>
      </c>
    </row>
    <row r="94" customFormat="false" ht="14.25" hidden="false" customHeight="true" outlineLevel="0" collapsed="false">
      <c r="A94" s="5" t="n">
        <v>164</v>
      </c>
      <c r="B94" s="5" t="n">
        <v>164</v>
      </c>
      <c r="C94" s="5" t="s">
        <v>842</v>
      </c>
      <c r="D94" s="5" t="n">
        <v>2000</v>
      </c>
      <c r="E94" s="5" t="s">
        <v>843</v>
      </c>
      <c r="F94" s="5" t="s">
        <v>1985</v>
      </c>
      <c r="G94" s="5" t="s">
        <v>3013</v>
      </c>
      <c r="H94" s="5" t="n">
        <v>23.167</v>
      </c>
      <c r="I94" s="5" t="n">
        <v>79.95</v>
      </c>
      <c r="J94" s="5" t="s">
        <v>83</v>
      </c>
      <c r="K94" s="5" t="s">
        <v>4824</v>
      </c>
      <c r="L94" s="5" t="s">
        <v>84</v>
      </c>
      <c r="M94" s="5" t="s">
        <v>3005</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13</v>
      </c>
      <c r="BW94" s="5" t="n">
        <v>4</v>
      </c>
      <c r="BX94" s="5" t="n">
        <f aca="false">IF(AND(N(BV94)&gt;0,N(BW94)&gt;0),SQRT(2*BV94/BW94),"")</f>
        <v>2.54950975679639</v>
      </c>
      <c r="BY94" s="5"/>
      <c r="BZ94" s="5"/>
      <c r="CA94" s="5"/>
      <c r="CB94" s="5" t="n">
        <v>850</v>
      </c>
      <c r="CC94" s="5" t="n">
        <v>23.167</v>
      </c>
      <c r="CD94" s="5" t="n">
        <v>5</v>
      </c>
      <c r="CE94" s="5"/>
      <c r="CF94" s="5"/>
      <c r="CG94" s="5"/>
      <c r="CH94" s="5" t="n">
        <v>6.9</v>
      </c>
      <c r="CI94" s="5"/>
      <c r="CJ94" s="5"/>
      <c r="CK94" s="5"/>
      <c r="CL94" s="5" t="s">
        <v>4809</v>
      </c>
      <c r="CM94" s="5" t="s">
        <v>2989</v>
      </c>
      <c r="CN94" s="5" t="s">
        <v>4825</v>
      </c>
      <c r="CO94" s="5" t="s">
        <v>3014</v>
      </c>
      <c r="CP94" s="5" t="s">
        <v>4855</v>
      </c>
      <c r="CQ94" s="23" t="s">
        <v>4858</v>
      </c>
      <c r="CR94" s="5" t="s">
        <v>858</v>
      </c>
      <c r="CS94" s="5" t="s">
        <v>4813</v>
      </c>
    </row>
    <row r="95" customFormat="false" ht="14.25" hidden="false" customHeight="true" outlineLevel="0" collapsed="false">
      <c r="A95" s="5" t="n">
        <v>164</v>
      </c>
      <c r="B95" s="5" t="n">
        <v>164</v>
      </c>
      <c r="C95" s="5" t="s">
        <v>842</v>
      </c>
      <c r="D95" s="5" t="n">
        <v>2000</v>
      </c>
      <c r="E95" s="5" t="s">
        <v>843</v>
      </c>
      <c r="F95" s="5" t="s">
        <v>1985</v>
      </c>
      <c r="G95" s="5" t="s">
        <v>3013</v>
      </c>
      <c r="H95" s="5" t="n">
        <v>23.167</v>
      </c>
      <c r="I95" s="5" t="n">
        <v>79.95</v>
      </c>
      <c r="J95" s="5" t="s">
        <v>83</v>
      </c>
      <c r="K95" s="5" t="s">
        <v>4826</v>
      </c>
      <c r="L95" s="5" t="s">
        <v>84</v>
      </c>
      <c r="M95" s="5" t="s">
        <v>3005</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13</v>
      </c>
      <c r="BW95" s="5" t="n">
        <v>4</v>
      </c>
      <c r="BX95" s="5" t="n">
        <f aca="false">IF(AND(N(BV95)&gt;0,N(BW95)&gt;0),SQRT(2*BV95/BW95),"")</f>
        <v>2.54950975679639</v>
      </c>
      <c r="BY95" s="5"/>
      <c r="BZ95" s="5"/>
      <c r="CA95" s="5"/>
      <c r="CB95" s="5" t="n">
        <v>850</v>
      </c>
      <c r="CC95" s="5" t="n">
        <v>23.167</v>
      </c>
      <c r="CD95" s="5" t="n">
        <v>6</v>
      </c>
      <c r="CE95" s="5"/>
      <c r="CF95" s="5"/>
      <c r="CG95" s="5"/>
      <c r="CH95" s="5" t="n">
        <v>6.9</v>
      </c>
      <c r="CI95" s="5"/>
      <c r="CJ95" s="5"/>
      <c r="CK95" s="5"/>
      <c r="CL95" s="5" t="s">
        <v>4809</v>
      </c>
      <c r="CM95" s="5" t="s">
        <v>2989</v>
      </c>
      <c r="CN95" s="5" t="s">
        <v>4827</v>
      </c>
      <c r="CO95" s="5" t="s">
        <v>3014</v>
      </c>
      <c r="CP95" s="5" t="s">
        <v>4855</v>
      </c>
      <c r="CQ95" s="23" t="s">
        <v>4856</v>
      </c>
      <c r="CR95" s="5" t="s">
        <v>858</v>
      </c>
      <c r="CS95" s="5" t="s">
        <v>4813</v>
      </c>
    </row>
    <row r="96" customFormat="false" ht="14.25" hidden="false" customHeight="true" outlineLevel="0" collapsed="false">
      <c r="A96" s="5" t="n">
        <v>164</v>
      </c>
      <c r="B96" s="5" t="n">
        <v>164</v>
      </c>
      <c r="C96" s="5" t="s">
        <v>842</v>
      </c>
      <c r="D96" s="5" t="n">
        <v>2000</v>
      </c>
      <c r="E96" s="5" t="s">
        <v>843</v>
      </c>
      <c r="F96" s="5" t="s">
        <v>1985</v>
      </c>
      <c r="G96" s="5" t="s">
        <v>3013</v>
      </c>
      <c r="H96" s="5" t="n">
        <v>23.167</v>
      </c>
      <c r="I96" s="5" t="n">
        <v>79.95</v>
      </c>
      <c r="J96" s="5" t="s">
        <v>83</v>
      </c>
      <c r="K96" s="5" t="s">
        <v>4828</v>
      </c>
      <c r="L96" s="5" t="s">
        <v>84</v>
      </c>
      <c r="M96" s="5" t="s">
        <v>3005</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13</v>
      </c>
      <c r="BW96" s="5" t="n">
        <v>4</v>
      </c>
      <c r="BX96" s="5" t="n">
        <f aca="false">IF(AND(N(BV96)&gt;0,N(BW96)&gt;0),SQRT(2*BV96/BW96),"")</f>
        <v>2.54950975679639</v>
      </c>
      <c r="BY96" s="5"/>
      <c r="BZ96" s="5"/>
      <c r="CA96" s="5"/>
      <c r="CB96" s="5" t="n">
        <v>850</v>
      </c>
      <c r="CC96" s="5" t="n">
        <v>23.167</v>
      </c>
      <c r="CD96" s="5" t="n">
        <v>7</v>
      </c>
      <c r="CE96" s="5"/>
      <c r="CF96" s="5"/>
      <c r="CG96" s="5"/>
      <c r="CH96" s="5" t="n">
        <v>6.9</v>
      </c>
      <c r="CI96" s="5"/>
      <c r="CJ96" s="5"/>
      <c r="CK96" s="5"/>
      <c r="CL96" s="5" t="s">
        <v>4809</v>
      </c>
      <c r="CM96" s="5" t="s">
        <v>2989</v>
      </c>
      <c r="CN96" s="5" t="s">
        <v>4829</v>
      </c>
      <c r="CO96" s="5" t="s">
        <v>3014</v>
      </c>
      <c r="CP96" s="5" t="s">
        <v>4855</v>
      </c>
      <c r="CQ96" s="23" t="s">
        <v>4856</v>
      </c>
      <c r="CR96" s="5" t="s">
        <v>858</v>
      </c>
      <c r="CS96" s="5" t="s">
        <v>4813</v>
      </c>
    </row>
    <row r="97" customFormat="false" ht="14.25" hidden="false" customHeight="true" outlineLevel="0" collapsed="false">
      <c r="A97" s="5" t="n">
        <v>164</v>
      </c>
      <c r="B97" s="5" t="n">
        <v>164</v>
      </c>
      <c r="C97" s="5" t="s">
        <v>842</v>
      </c>
      <c r="D97" s="5" t="n">
        <v>2000</v>
      </c>
      <c r="E97" s="5" t="s">
        <v>843</v>
      </c>
      <c r="F97" s="5" t="s">
        <v>1985</v>
      </c>
      <c r="G97" s="5" t="s">
        <v>3013</v>
      </c>
      <c r="H97" s="5" t="n">
        <v>23.167</v>
      </c>
      <c r="I97" s="5" t="n">
        <v>79.95</v>
      </c>
      <c r="J97" s="5" t="s">
        <v>83</v>
      </c>
      <c r="K97" s="5" t="s">
        <v>4830</v>
      </c>
      <c r="L97" s="5" t="s">
        <v>84</v>
      </c>
      <c r="M97" s="5" t="s">
        <v>3005</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13</v>
      </c>
      <c r="BW97" s="5" t="n">
        <v>4</v>
      </c>
      <c r="BX97" s="5" t="n">
        <f aca="false">IF(AND(N(BV97)&gt;0,N(BW97)&gt;0),SQRT(2*BV97/BW97),"")</f>
        <v>2.54950975679639</v>
      </c>
      <c r="BY97" s="5"/>
      <c r="BZ97" s="5"/>
      <c r="CA97" s="5"/>
      <c r="CB97" s="5" t="n">
        <v>850</v>
      </c>
      <c r="CC97" s="5" t="n">
        <v>23.167</v>
      </c>
      <c r="CD97" s="5" t="n">
        <v>8</v>
      </c>
      <c r="CE97" s="5"/>
      <c r="CF97" s="5"/>
      <c r="CG97" s="5"/>
      <c r="CH97" s="5" t="n">
        <v>6.9</v>
      </c>
      <c r="CI97" s="5"/>
      <c r="CJ97" s="5"/>
      <c r="CK97" s="5"/>
      <c r="CL97" s="5" t="s">
        <v>4809</v>
      </c>
      <c r="CM97" s="5" t="s">
        <v>2989</v>
      </c>
      <c r="CN97" s="5" t="s">
        <v>4831</v>
      </c>
      <c r="CO97" s="5" t="s">
        <v>3014</v>
      </c>
      <c r="CP97" s="5" t="s">
        <v>4855</v>
      </c>
      <c r="CQ97" s="23" t="s">
        <v>4856</v>
      </c>
      <c r="CR97" s="5" t="s">
        <v>858</v>
      </c>
      <c r="CS97" s="5" t="s">
        <v>4813</v>
      </c>
    </row>
    <row r="98" customFormat="false" ht="14.25" hidden="false" customHeight="true" outlineLevel="0" collapsed="false">
      <c r="A98" s="5" t="n">
        <v>164</v>
      </c>
      <c r="B98" s="5" t="n">
        <v>164</v>
      </c>
      <c r="C98" s="5" t="s">
        <v>842</v>
      </c>
      <c r="D98" s="5" t="n">
        <v>2000</v>
      </c>
      <c r="E98" s="5" t="s">
        <v>843</v>
      </c>
      <c r="F98" s="5" t="s">
        <v>1985</v>
      </c>
      <c r="G98" s="5" t="s">
        <v>3013</v>
      </c>
      <c r="H98" s="5" t="n">
        <v>23.167</v>
      </c>
      <c r="I98" s="5" t="n">
        <v>79.95</v>
      </c>
      <c r="J98" s="5" t="s">
        <v>83</v>
      </c>
      <c r="K98" s="5" t="s">
        <v>4832</v>
      </c>
      <c r="L98" s="5" t="s">
        <v>84</v>
      </c>
      <c r="M98" s="5" t="s">
        <v>3005</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13</v>
      </c>
      <c r="BW98" s="5" t="n">
        <v>4</v>
      </c>
      <c r="BX98" s="5" t="n">
        <f aca="false">IF(AND(N(BV98)&gt;0,N(BW98)&gt;0),SQRT(2*BV98/BW98),"")</f>
        <v>2.54950975679639</v>
      </c>
      <c r="BY98" s="5"/>
      <c r="BZ98" s="5"/>
      <c r="CA98" s="5"/>
      <c r="CB98" s="5" t="n">
        <v>850</v>
      </c>
      <c r="CC98" s="5" t="n">
        <v>23.167</v>
      </c>
      <c r="CD98" s="5" t="n">
        <v>9</v>
      </c>
      <c r="CE98" s="5"/>
      <c r="CF98" s="5"/>
      <c r="CG98" s="5"/>
      <c r="CH98" s="5" t="n">
        <v>6.9</v>
      </c>
      <c r="CI98" s="5"/>
      <c r="CJ98" s="5"/>
      <c r="CK98" s="5"/>
      <c r="CL98" s="5" t="s">
        <v>4809</v>
      </c>
      <c r="CM98" s="5" t="s">
        <v>2989</v>
      </c>
      <c r="CN98" s="5" t="s">
        <v>4833</v>
      </c>
      <c r="CO98" s="5" t="s">
        <v>3014</v>
      </c>
      <c r="CP98" s="5" t="s">
        <v>4855</v>
      </c>
      <c r="CQ98" s="23" t="s">
        <v>4856</v>
      </c>
      <c r="CR98" s="5" t="s">
        <v>858</v>
      </c>
      <c r="CS98" s="5" t="s">
        <v>4813</v>
      </c>
    </row>
    <row r="99" customFormat="false" ht="14.25" hidden="false" customHeight="true" outlineLevel="0" collapsed="false">
      <c r="A99" s="5" t="n">
        <v>164</v>
      </c>
      <c r="B99" s="5" t="n">
        <v>164</v>
      </c>
      <c r="C99" s="5" t="s">
        <v>842</v>
      </c>
      <c r="D99" s="5" t="n">
        <v>2000</v>
      </c>
      <c r="E99" s="5" t="s">
        <v>843</v>
      </c>
      <c r="F99" s="5" t="s">
        <v>1985</v>
      </c>
      <c r="G99" s="5" t="s">
        <v>3013</v>
      </c>
      <c r="H99" s="5" t="n">
        <v>23.167</v>
      </c>
      <c r="I99" s="5" t="n">
        <v>79.95</v>
      </c>
      <c r="J99" s="5" t="s">
        <v>83</v>
      </c>
      <c r="K99" s="5" t="s">
        <v>4834</v>
      </c>
      <c r="L99" s="5" t="s">
        <v>84</v>
      </c>
      <c r="M99" s="5" t="s">
        <v>3005</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13</v>
      </c>
      <c r="BW99" s="5" t="n">
        <v>4</v>
      </c>
      <c r="BX99" s="5" t="n">
        <f aca="false">IF(AND(N(BV99)&gt;0,N(BW99)&gt;0),SQRT(2*BV99/BW99),"")</f>
        <v>2.54950975679639</v>
      </c>
      <c r="BY99" s="5"/>
      <c r="BZ99" s="5"/>
      <c r="CA99" s="5"/>
      <c r="CB99" s="5" t="n">
        <v>850</v>
      </c>
      <c r="CC99" s="5" t="n">
        <v>23.167</v>
      </c>
      <c r="CD99" s="5" t="n">
        <v>10</v>
      </c>
      <c r="CE99" s="5"/>
      <c r="CF99" s="5"/>
      <c r="CG99" s="5"/>
      <c r="CH99" s="5" t="n">
        <v>6.9</v>
      </c>
      <c r="CI99" s="5"/>
      <c r="CJ99" s="5"/>
      <c r="CK99" s="5"/>
      <c r="CL99" s="5" t="s">
        <v>4809</v>
      </c>
      <c r="CM99" s="5" t="s">
        <v>2989</v>
      </c>
      <c r="CN99" s="5" t="s">
        <v>4835</v>
      </c>
      <c r="CO99" s="5" t="s">
        <v>3014</v>
      </c>
      <c r="CP99" s="5" t="s">
        <v>4855</v>
      </c>
      <c r="CQ99" s="23" t="s">
        <v>4856</v>
      </c>
      <c r="CR99" s="5" t="s">
        <v>858</v>
      </c>
      <c r="CS99" s="5" t="s">
        <v>4813</v>
      </c>
    </row>
    <row r="100" customFormat="false" ht="14.25" hidden="false" customHeight="true" outlineLevel="0" collapsed="false">
      <c r="A100" s="5" t="n">
        <v>164</v>
      </c>
      <c r="B100" s="5" t="n">
        <v>164</v>
      </c>
      <c r="C100" s="5" t="s">
        <v>842</v>
      </c>
      <c r="D100" s="5" t="n">
        <v>2000</v>
      </c>
      <c r="E100" s="5" t="s">
        <v>843</v>
      </c>
      <c r="F100" s="5" t="s">
        <v>1985</v>
      </c>
      <c r="G100" s="5" t="s">
        <v>3013</v>
      </c>
      <c r="H100" s="5" t="n">
        <v>23.167</v>
      </c>
      <c r="I100" s="5" t="n">
        <v>79.95</v>
      </c>
      <c r="J100" s="5" t="s">
        <v>83</v>
      </c>
      <c r="K100" s="5" t="s">
        <v>4836</v>
      </c>
      <c r="L100" s="5" t="s">
        <v>853</v>
      </c>
      <c r="M100" s="5" t="s">
        <v>3005</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13</v>
      </c>
      <c r="BW100" s="5" t="n">
        <v>4</v>
      </c>
      <c r="BX100" s="5" t="n">
        <f aca="false">IF(AND(N(BV100)&gt;0,N(BW100)&gt;0),SQRT(2*BV100/BW100),"")</f>
        <v>2.54950975679639</v>
      </c>
      <c r="BY100" s="5"/>
      <c r="BZ100" s="5"/>
      <c r="CA100" s="5"/>
      <c r="CB100" s="5" t="n">
        <v>850</v>
      </c>
      <c r="CC100" s="5" t="n">
        <v>23.167</v>
      </c>
      <c r="CD100" s="5" t="n">
        <v>11</v>
      </c>
      <c r="CE100" s="5"/>
      <c r="CF100" s="5"/>
      <c r="CG100" s="5"/>
      <c r="CH100" s="5" t="n">
        <v>6.9</v>
      </c>
      <c r="CI100" s="5"/>
      <c r="CJ100" s="5"/>
      <c r="CK100" s="5"/>
      <c r="CL100" s="5" t="s">
        <v>4809</v>
      </c>
      <c r="CM100" s="5" t="s">
        <v>2989</v>
      </c>
      <c r="CN100" s="5" t="s">
        <v>4837</v>
      </c>
      <c r="CO100" s="5" t="s">
        <v>3014</v>
      </c>
      <c r="CP100" s="5" t="s">
        <v>4855</v>
      </c>
      <c r="CQ100" s="23" t="s">
        <v>4856</v>
      </c>
      <c r="CR100" s="5" t="s">
        <v>858</v>
      </c>
      <c r="CS100" s="5" t="s">
        <v>4813</v>
      </c>
    </row>
    <row r="101" customFormat="false" ht="14.25" hidden="false" customHeight="true" outlineLevel="0" collapsed="false">
      <c r="A101" s="5" t="n">
        <v>164</v>
      </c>
      <c r="B101" s="5" t="n">
        <v>164</v>
      </c>
      <c r="C101" s="5" t="s">
        <v>842</v>
      </c>
      <c r="D101" s="5" t="n">
        <v>2000</v>
      </c>
      <c r="E101" s="5" t="s">
        <v>843</v>
      </c>
      <c r="F101" s="5" t="s">
        <v>1985</v>
      </c>
      <c r="G101" s="5" t="s">
        <v>3013</v>
      </c>
      <c r="H101" s="5" t="n">
        <v>23.167</v>
      </c>
      <c r="I101" s="5" t="n">
        <v>79.95</v>
      </c>
      <c r="J101" s="5" t="s">
        <v>83</v>
      </c>
      <c r="K101" s="5" t="s">
        <v>2150</v>
      </c>
      <c r="L101" s="5" t="s">
        <v>853</v>
      </c>
      <c r="M101" s="5" t="s">
        <v>3005</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13</v>
      </c>
      <c r="BW101" s="5" t="n">
        <v>4</v>
      </c>
      <c r="BX101" s="5" t="n">
        <f aca="false">IF(AND(N(BV101)&gt;0,N(BW101)&gt;0),SQRT(2*BV101/BW101),"")</f>
        <v>2.54950975679639</v>
      </c>
      <c r="BY101" s="5"/>
      <c r="BZ101" s="5"/>
      <c r="CA101" s="5"/>
      <c r="CB101" s="5" t="n">
        <v>850</v>
      </c>
      <c r="CC101" s="5" t="n">
        <v>23.167</v>
      </c>
      <c r="CD101" s="5" t="n">
        <v>12</v>
      </c>
      <c r="CE101" s="5"/>
      <c r="CF101" s="5"/>
      <c r="CG101" s="5"/>
      <c r="CH101" s="5" t="n">
        <v>6.9</v>
      </c>
      <c r="CI101" s="5"/>
      <c r="CJ101" s="5"/>
      <c r="CK101" s="5"/>
      <c r="CL101" s="5" t="s">
        <v>4809</v>
      </c>
      <c r="CM101" s="5" t="s">
        <v>2989</v>
      </c>
      <c r="CN101" s="5" t="s">
        <v>4838</v>
      </c>
      <c r="CO101" s="5" t="s">
        <v>3014</v>
      </c>
      <c r="CP101" s="5" t="s">
        <v>4855</v>
      </c>
      <c r="CQ101" s="23" t="s">
        <v>4856</v>
      </c>
      <c r="CR101" s="5" t="s">
        <v>858</v>
      </c>
      <c r="CS101" s="5" t="s">
        <v>4813</v>
      </c>
    </row>
    <row r="102" customFormat="false" ht="14.25" hidden="false" customHeight="true" outlineLevel="0" collapsed="false">
      <c r="A102" s="5" t="n">
        <v>164</v>
      </c>
      <c r="B102" s="5" t="n">
        <v>164</v>
      </c>
      <c r="C102" s="5" t="s">
        <v>842</v>
      </c>
      <c r="D102" s="5" t="n">
        <v>2000</v>
      </c>
      <c r="E102" s="5" t="s">
        <v>843</v>
      </c>
      <c r="F102" s="5" t="s">
        <v>1985</v>
      </c>
      <c r="G102" s="5" t="s">
        <v>3013</v>
      </c>
      <c r="H102" s="5" t="n">
        <v>23.167</v>
      </c>
      <c r="I102" s="5" t="n">
        <v>79.95</v>
      </c>
      <c r="J102" s="5" t="s">
        <v>83</v>
      </c>
      <c r="K102" s="5" t="s">
        <v>2988</v>
      </c>
      <c r="L102" s="5" t="s">
        <v>853</v>
      </c>
      <c r="M102" s="5" t="s">
        <v>3005</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13</v>
      </c>
      <c r="BW102" s="5" t="n">
        <v>4</v>
      </c>
      <c r="BX102" s="5" t="n">
        <f aca="false">IF(AND(N(BV102)&gt;0,N(BW102)&gt;0),SQRT(2*BV102/BW102),"")</f>
        <v>2.54950975679639</v>
      </c>
      <c r="BY102" s="5"/>
      <c r="BZ102" s="5"/>
      <c r="CA102" s="5"/>
      <c r="CB102" s="5" t="n">
        <v>850</v>
      </c>
      <c r="CC102" s="5" t="n">
        <v>23.167</v>
      </c>
      <c r="CD102" s="5" t="n">
        <v>13</v>
      </c>
      <c r="CE102" s="5"/>
      <c r="CF102" s="5"/>
      <c r="CG102" s="5"/>
      <c r="CH102" s="5" t="n">
        <v>6.9</v>
      </c>
      <c r="CI102" s="5"/>
      <c r="CJ102" s="5"/>
      <c r="CK102" s="5"/>
      <c r="CL102" s="5" t="s">
        <v>4809</v>
      </c>
      <c r="CM102" s="5" t="s">
        <v>2989</v>
      </c>
      <c r="CN102" s="5" t="s">
        <v>4839</v>
      </c>
      <c r="CO102" s="5" t="s">
        <v>3014</v>
      </c>
      <c r="CP102" s="5" t="s">
        <v>4855</v>
      </c>
      <c r="CQ102" s="23" t="s">
        <v>4856</v>
      </c>
      <c r="CR102" s="5" t="s">
        <v>858</v>
      </c>
      <c r="CS102" s="5" t="s">
        <v>4813</v>
      </c>
    </row>
    <row r="103" customFormat="false" ht="14.25" hidden="false" customHeight="true" outlineLevel="0" collapsed="false">
      <c r="A103" s="5" t="s">
        <v>982</v>
      </c>
      <c r="B103" s="5" t="s">
        <v>982</v>
      </c>
      <c r="C103" s="5" t="s">
        <v>983</v>
      </c>
      <c r="D103" s="5" t="n">
        <v>2023</v>
      </c>
      <c r="E103" s="5" t="s">
        <v>984</v>
      </c>
      <c r="F103" s="5" t="s">
        <v>987</v>
      </c>
      <c r="G103" s="5" t="s">
        <v>988</v>
      </c>
      <c r="H103" s="5" t="n">
        <v>35.27</v>
      </c>
      <c r="I103" s="5" t="n">
        <v>119.38</v>
      </c>
      <c r="J103" s="5" t="s">
        <v>921</v>
      </c>
      <c r="K103" s="5" t="s">
        <v>4859</v>
      </c>
      <c r="L103" s="5" t="s">
        <v>872</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4860</v>
      </c>
      <c r="CM103" s="5" t="s">
        <v>2063</v>
      </c>
      <c r="CN103" s="5" t="s">
        <v>4861</v>
      </c>
      <c r="CO103" s="5" t="s">
        <v>2065</v>
      </c>
      <c r="CP103" s="5" t="s">
        <v>4862</v>
      </c>
      <c r="CQ103" s="23" t="s">
        <v>4863</v>
      </c>
      <c r="CR103" s="5" t="s">
        <v>998</v>
      </c>
      <c r="CS103" s="5" t="s">
        <v>4864</v>
      </c>
    </row>
    <row r="104" customFormat="false" ht="14.25" hidden="false" customHeight="true" outlineLevel="0" collapsed="false">
      <c r="A104" s="5" t="s">
        <v>938</v>
      </c>
      <c r="B104" s="5" t="s">
        <v>938</v>
      </c>
      <c r="C104" s="5" t="s">
        <v>939</v>
      </c>
      <c r="D104" s="5" t="n">
        <v>2019</v>
      </c>
      <c r="E104" s="5" t="s">
        <v>884</v>
      </c>
      <c r="F104" s="5" t="s">
        <v>942</v>
      </c>
      <c r="G104" s="5" t="s">
        <v>943</v>
      </c>
      <c r="H104" s="5" t="n">
        <v>29.7</v>
      </c>
      <c r="I104" s="5" t="n">
        <v>76.96</v>
      </c>
      <c r="J104" s="5" t="s">
        <v>83</v>
      </c>
      <c r="K104" s="5" t="s">
        <v>4865</v>
      </c>
      <c r="L104" s="5" t="s">
        <v>872</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6</v>
      </c>
      <c r="BW104" s="5" t="n">
        <v>3</v>
      </c>
      <c r="BX104" s="5" t="n">
        <f aca="false">IF(AND(N(BV104)&gt;0,N(BW104)&gt;0),SQRT(2*BV104/BW104),"")</f>
        <v>2</v>
      </c>
      <c r="BY104" s="5"/>
      <c r="BZ104" s="5" t="n">
        <v>2</v>
      </c>
      <c r="CA104" s="5" t="n">
        <v>42.5</v>
      </c>
      <c r="CB104" s="5" t="n">
        <v>700</v>
      </c>
      <c r="CC104" s="5" t="n">
        <v>29.7</v>
      </c>
      <c r="CD104" s="5" t="n">
        <v>1</v>
      </c>
      <c r="CE104" s="5"/>
      <c r="CF104" s="5"/>
      <c r="CG104" s="5"/>
      <c r="CH104" s="5"/>
      <c r="CI104" s="5"/>
      <c r="CJ104" s="5"/>
      <c r="CK104" s="5"/>
      <c r="CL104" s="5" t="s">
        <v>4866</v>
      </c>
      <c r="CM104" s="5" t="s">
        <v>2337</v>
      </c>
      <c r="CN104" s="5" t="s">
        <v>4867</v>
      </c>
      <c r="CO104" s="5" t="s">
        <v>2339</v>
      </c>
      <c r="CP104" s="5" t="s">
        <v>4868</v>
      </c>
      <c r="CQ104" s="23" t="s">
        <v>4869</v>
      </c>
      <c r="CR104" s="5" t="s">
        <v>952</v>
      </c>
      <c r="CS104" s="5" t="s">
        <v>4870</v>
      </c>
    </row>
    <row r="105" customFormat="false" ht="14.25" hidden="false" customHeight="true" outlineLevel="0" collapsed="false">
      <c r="A105" s="5" t="s">
        <v>938</v>
      </c>
      <c r="B105" s="5" t="s">
        <v>938</v>
      </c>
      <c r="C105" s="5" t="s">
        <v>939</v>
      </c>
      <c r="D105" s="5" t="n">
        <v>2019</v>
      </c>
      <c r="E105" s="5" t="s">
        <v>884</v>
      </c>
      <c r="F105" s="5" t="s">
        <v>942</v>
      </c>
      <c r="G105" s="5" t="s">
        <v>943</v>
      </c>
      <c r="H105" s="5" t="n">
        <v>29.7</v>
      </c>
      <c r="I105" s="5" t="n">
        <v>76.96</v>
      </c>
      <c r="J105" s="5" t="s">
        <v>83</v>
      </c>
      <c r="K105" s="5" t="s">
        <v>4871</v>
      </c>
      <c r="L105" s="5" t="s">
        <v>872</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6</v>
      </c>
      <c r="BW105" s="5" t="n">
        <v>3</v>
      </c>
      <c r="BX105" s="5" t="n">
        <f aca="false">IF(AND(N(BV105)&gt;0,N(BW105)&gt;0),SQRT(2*BV105/BW105),"")</f>
        <v>2</v>
      </c>
      <c r="BY105" s="5"/>
      <c r="BZ105" s="5" t="n">
        <v>2</v>
      </c>
      <c r="CA105" s="5" t="n">
        <v>42.5</v>
      </c>
      <c r="CB105" s="5" t="n">
        <v>700</v>
      </c>
      <c r="CC105" s="5" t="n">
        <v>29.7</v>
      </c>
      <c r="CD105" s="5" t="n">
        <v>2</v>
      </c>
      <c r="CE105" s="5"/>
      <c r="CF105" s="5"/>
      <c r="CG105" s="5"/>
      <c r="CH105" s="5"/>
      <c r="CI105" s="5"/>
      <c r="CJ105" s="5"/>
      <c r="CK105" s="5"/>
      <c r="CL105" s="5" t="s">
        <v>4866</v>
      </c>
      <c r="CM105" s="5" t="s">
        <v>2337</v>
      </c>
      <c r="CN105" s="5" t="s">
        <v>4872</v>
      </c>
      <c r="CO105" s="5" t="s">
        <v>2339</v>
      </c>
      <c r="CP105" s="5" t="s">
        <v>4868</v>
      </c>
      <c r="CQ105" s="23" t="s">
        <v>4873</v>
      </c>
      <c r="CR105" s="5" t="s">
        <v>952</v>
      </c>
      <c r="CS105" s="5" t="s">
        <v>4870</v>
      </c>
    </row>
    <row r="106" customFormat="false" ht="14.25" hidden="false" customHeight="true" outlineLevel="0" collapsed="false">
      <c r="A106" s="5" t="s">
        <v>938</v>
      </c>
      <c r="B106" s="5" t="s">
        <v>938</v>
      </c>
      <c r="C106" s="5" t="s">
        <v>939</v>
      </c>
      <c r="D106" s="5" t="n">
        <v>2019</v>
      </c>
      <c r="E106" s="5" t="s">
        <v>884</v>
      </c>
      <c r="F106" s="5" t="s">
        <v>942</v>
      </c>
      <c r="G106" s="5" t="s">
        <v>943</v>
      </c>
      <c r="H106" s="5" t="n">
        <v>29.7</v>
      </c>
      <c r="I106" s="5" t="n">
        <v>76.96</v>
      </c>
      <c r="J106" s="5" t="s">
        <v>83</v>
      </c>
      <c r="K106" s="5" t="s">
        <v>4874</v>
      </c>
      <c r="L106" s="5" t="s">
        <v>872</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6</v>
      </c>
      <c r="BW106" s="5" t="n">
        <v>3</v>
      </c>
      <c r="BX106" s="5" t="n">
        <f aca="false">IF(AND(N(BV106)&gt;0,N(BW106)&gt;0),SQRT(2*BV106/BW106),"")</f>
        <v>2</v>
      </c>
      <c r="BY106" s="5"/>
      <c r="BZ106" s="5" t="n">
        <v>2</v>
      </c>
      <c r="CA106" s="5" t="n">
        <v>42.5</v>
      </c>
      <c r="CB106" s="5" t="n">
        <v>700</v>
      </c>
      <c r="CC106" s="5" t="n">
        <v>29.7</v>
      </c>
      <c r="CD106" s="5" t="n">
        <v>3</v>
      </c>
      <c r="CE106" s="5"/>
      <c r="CF106" s="5"/>
      <c r="CG106" s="5"/>
      <c r="CH106" s="5"/>
      <c r="CI106" s="5"/>
      <c r="CJ106" s="5"/>
      <c r="CK106" s="5"/>
      <c r="CL106" s="5" t="s">
        <v>4866</v>
      </c>
      <c r="CM106" s="5" t="s">
        <v>2337</v>
      </c>
      <c r="CN106" s="5" t="s">
        <v>4875</v>
      </c>
      <c r="CO106" s="5" t="s">
        <v>2339</v>
      </c>
      <c r="CP106" s="5" t="s">
        <v>4868</v>
      </c>
      <c r="CQ106" s="23" t="s">
        <v>4876</v>
      </c>
      <c r="CR106" s="5" t="s">
        <v>952</v>
      </c>
      <c r="CS106" s="5" t="s">
        <v>4870</v>
      </c>
    </row>
    <row r="107" customFormat="false" ht="14.25" hidden="false" customHeight="true" outlineLevel="0" collapsed="false">
      <c r="A107" s="5" t="s">
        <v>938</v>
      </c>
      <c r="B107" s="5" t="s">
        <v>938</v>
      </c>
      <c r="C107" s="5" t="s">
        <v>939</v>
      </c>
      <c r="D107" s="5" t="n">
        <v>2019</v>
      </c>
      <c r="E107" s="5" t="s">
        <v>884</v>
      </c>
      <c r="F107" s="5" t="s">
        <v>942</v>
      </c>
      <c r="G107" s="5" t="s">
        <v>943</v>
      </c>
      <c r="H107" s="5" t="n">
        <v>29.7</v>
      </c>
      <c r="I107" s="5" t="n">
        <v>76.96</v>
      </c>
      <c r="J107" s="5" t="s">
        <v>83</v>
      </c>
      <c r="K107" s="5" t="s">
        <v>4877</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6</v>
      </c>
      <c r="BW107" s="5" t="n">
        <v>3</v>
      </c>
      <c r="BX107" s="5" t="n">
        <f aca="false">IF(AND(N(BV107)&gt;0,N(BW107)&gt;0),SQRT(2*BV107/BW107),"")</f>
        <v>2</v>
      </c>
      <c r="BY107" s="5"/>
      <c r="BZ107" s="5" t="n">
        <v>2</v>
      </c>
      <c r="CA107" s="5" t="n">
        <v>42.5</v>
      </c>
      <c r="CB107" s="5" t="n">
        <v>700</v>
      </c>
      <c r="CC107" s="5" t="n">
        <v>29.7</v>
      </c>
      <c r="CD107" s="5" t="n">
        <v>4</v>
      </c>
      <c r="CE107" s="5"/>
      <c r="CF107" s="5"/>
      <c r="CG107" s="5"/>
      <c r="CH107" s="5"/>
      <c r="CI107" s="5"/>
      <c r="CJ107" s="5"/>
      <c r="CK107" s="5"/>
      <c r="CL107" s="5" t="s">
        <v>4866</v>
      </c>
      <c r="CM107" s="5" t="s">
        <v>2337</v>
      </c>
      <c r="CN107" s="5" t="s">
        <v>4878</v>
      </c>
      <c r="CO107" s="5" t="s">
        <v>2339</v>
      </c>
      <c r="CP107" s="5" t="s">
        <v>4868</v>
      </c>
      <c r="CQ107" s="23" t="s">
        <v>4879</v>
      </c>
      <c r="CR107" s="5" t="s">
        <v>952</v>
      </c>
      <c r="CS107" s="5" t="s">
        <v>4870</v>
      </c>
    </row>
    <row r="108" customFormat="false" ht="14.25" hidden="false" customHeight="true" outlineLevel="0" collapsed="false">
      <c r="A108" s="5" t="s">
        <v>938</v>
      </c>
      <c r="B108" s="5" t="s">
        <v>938</v>
      </c>
      <c r="C108" s="5" t="s">
        <v>939</v>
      </c>
      <c r="D108" s="5" t="n">
        <v>2019</v>
      </c>
      <c r="E108" s="5" t="s">
        <v>884</v>
      </c>
      <c r="F108" s="5" t="s">
        <v>942</v>
      </c>
      <c r="G108" s="5" t="s">
        <v>943</v>
      </c>
      <c r="H108" s="5" t="n">
        <v>29.7</v>
      </c>
      <c r="I108" s="5" t="n">
        <v>76.96</v>
      </c>
      <c r="J108" s="5" t="s">
        <v>83</v>
      </c>
      <c r="K108" s="5" t="s">
        <v>4880</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6</v>
      </c>
      <c r="BW108" s="5" t="n">
        <v>3</v>
      </c>
      <c r="BX108" s="5" t="n">
        <f aca="false">IF(AND(N(BV108)&gt;0,N(BW108)&gt;0),SQRT(2*BV108/BW108),"")</f>
        <v>2</v>
      </c>
      <c r="BY108" s="5"/>
      <c r="BZ108" s="5" t="n">
        <v>2</v>
      </c>
      <c r="CA108" s="5" t="n">
        <v>42.5</v>
      </c>
      <c r="CB108" s="5" t="n">
        <v>700</v>
      </c>
      <c r="CC108" s="5" t="n">
        <v>29.7</v>
      </c>
      <c r="CD108" s="5" t="n">
        <v>5</v>
      </c>
      <c r="CE108" s="5"/>
      <c r="CF108" s="5"/>
      <c r="CG108" s="5"/>
      <c r="CH108" s="5"/>
      <c r="CI108" s="5"/>
      <c r="CJ108" s="5"/>
      <c r="CK108" s="5"/>
      <c r="CL108" s="5" t="s">
        <v>4866</v>
      </c>
      <c r="CM108" s="5" t="s">
        <v>2337</v>
      </c>
      <c r="CN108" s="5" t="s">
        <v>4881</v>
      </c>
      <c r="CO108" s="5" t="s">
        <v>2339</v>
      </c>
      <c r="CP108" s="5" t="s">
        <v>4868</v>
      </c>
      <c r="CQ108" s="23" t="s">
        <v>4882</v>
      </c>
      <c r="CR108" s="5" t="s">
        <v>952</v>
      </c>
      <c r="CS108" s="5" t="s">
        <v>4870</v>
      </c>
    </row>
    <row r="109" customFormat="false" ht="14.25" hidden="false" customHeight="true" outlineLevel="0" collapsed="false">
      <c r="A109" s="5" t="s">
        <v>938</v>
      </c>
      <c r="B109" s="5" t="s">
        <v>938</v>
      </c>
      <c r="C109" s="5" t="s">
        <v>939</v>
      </c>
      <c r="D109" s="5" t="n">
        <v>2019</v>
      </c>
      <c r="E109" s="5" t="s">
        <v>884</v>
      </c>
      <c r="F109" s="5" t="s">
        <v>942</v>
      </c>
      <c r="G109" s="5" t="s">
        <v>943</v>
      </c>
      <c r="H109" s="5" t="n">
        <v>29.7</v>
      </c>
      <c r="I109" s="5" t="n">
        <v>76.96</v>
      </c>
      <c r="J109" s="5" t="s">
        <v>83</v>
      </c>
      <c r="K109" s="5" t="s">
        <v>4883</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6</v>
      </c>
      <c r="BW109" s="5" t="n">
        <v>3</v>
      </c>
      <c r="BX109" s="5" t="n">
        <f aca="false">IF(AND(N(BV109)&gt;0,N(BW109)&gt;0),SQRT(2*BV109/BW109),"")</f>
        <v>2</v>
      </c>
      <c r="BY109" s="5"/>
      <c r="BZ109" s="5" t="n">
        <v>2</v>
      </c>
      <c r="CA109" s="5" t="n">
        <v>42.5</v>
      </c>
      <c r="CB109" s="5" t="n">
        <v>700</v>
      </c>
      <c r="CC109" s="5" t="n">
        <v>29.7</v>
      </c>
      <c r="CD109" s="5" t="n">
        <v>6</v>
      </c>
      <c r="CE109" s="5"/>
      <c r="CF109" s="5"/>
      <c r="CG109" s="5"/>
      <c r="CH109" s="5"/>
      <c r="CI109" s="5"/>
      <c r="CJ109" s="5"/>
      <c r="CK109" s="5"/>
      <c r="CL109" s="5" t="s">
        <v>4866</v>
      </c>
      <c r="CM109" s="5" t="s">
        <v>2337</v>
      </c>
      <c r="CN109" s="5" t="s">
        <v>4884</v>
      </c>
      <c r="CO109" s="5" t="s">
        <v>2339</v>
      </c>
      <c r="CP109" s="5" t="s">
        <v>4868</v>
      </c>
      <c r="CQ109" s="23" t="s">
        <v>4885</v>
      </c>
      <c r="CR109" s="5" t="s">
        <v>952</v>
      </c>
      <c r="CS109" s="5" t="s">
        <v>4870</v>
      </c>
    </row>
    <row r="110" customFormat="false" ht="14.25" hidden="false" customHeight="true" outlineLevel="0" collapsed="false">
      <c r="A110" s="5" t="s">
        <v>965</v>
      </c>
      <c r="B110" s="5" t="s">
        <v>965</v>
      </c>
      <c r="C110" s="5" t="s">
        <v>966</v>
      </c>
      <c r="D110" s="5" t="n">
        <v>2020</v>
      </c>
      <c r="E110" s="5" t="s">
        <v>967</v>
      </c>
      <c r="F110" s="5" t="s">
        <v>866</v>
      </c>
      <c r="G110" s="5" t="s">
        <v>970</v>
      </c>
      <c r="H110" s="5" t="n">
        <v>28.4</v>
      </c>
      <c r="I110" s="5" t="n">
        <v>77.1</v>
      </c>
      <c r="J110" s="5" t="s">
        <v>83</v>
      </c>
      <c r="K110" s="5" t="s">
        <v>4886</v>
      </c>
      <c r="L110" s="5" t="s">
        <v>853</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4887</v>
      </c>
      <c r="CM110" s="5" t="s">
        <v>2076</v>
      </c>
      <c r="CN110" s="5" t="s">
        <v>4888</v>
      </c>
      <c r="CO110" s="5" t="s">
        <v>2078</v>
      </c>
      <c r="CP110" s="5" t="s">
        <v>4557</v>
      </c>
      <c r="CQ110" s="23" t="s">
        <v>4889</v>
      </c>
      <c r="CR110" s="5" t="s">
        <v>979</v>
      </c>
      <c r="CS110" s="5" t="s">
        <v>4890</v>
      </c>
    </row>
    <row r="111" customFormat="false" ht="14.25" hidden="false" customHeight="true" outlineLevel="0" collapsed="false">
      <c r="A111" s="5" t="s">
        <v>965</v>
      </c>
      <c r="B111" s="5" t="s">
        <v>965</v>
      </c>
      <c r="C111" s="5" t="s">
        <v>966</v>
      </c>
      <c r="D111" s="5" t="n">
        <v>2020</v>
      </c>
      <c r="E111" s="5" t="s">
        <v>967</v>
      </c>
      <c r="F111" s="5" t="s">
        <v>866</v>
      </c>
      <c r="G111" s="5" t="s">
        <v>970</v>
      </c>
      <c r="H111" s="5" t="n">
        <v>28.4</v>
      </c>
      <c r="I111" s="5" t="n">
        <v>77.1</v>
      </c>
      <c r="J111" s="5" t="s">
        <v>83</v>
      </c>
      <c r="K111" s="5" t="s">
        <v>4886</v>
      </c>
      <c r="L111" s="5" t="s">
        <v>853</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4887</v>
      </c>
      <c r="CM111" s="5" t="s">
        <v>2082</v>
      </c>
      <c r="CN111" s="5" t="s">
        <v>4888</v>
      </c>
      <c r="CO111" s="5" t="s">
        <v>2078</v>
      </c>
      <c r="CP111" s="5" t="s">
        <v>4557</v>
      </c>
      <c r="CQ111" s="23" t="s">
        <v>4891</v>
      </c>
      <c r="CR111" s="5" t="s">
        <v>979</v>
      </c>
      <c r="CS111" s="5" t="s">
        <v>4890</v>
      </c>
    </row>
    <row r="112" customFormat="false" ht="14.25" hidden="false" customHeight="true" outlineLevel="0" collapsed="false">
      <c r="A112" s="5" t="s">
        <v>965</v>
      </c>
      <c r="B112" s="5" t="s">
        <v>965</v>
      </c>
      <c r="C112" s="5" t="s">
        <v>966</v>
      </c>
      <c r="D112" s="5" t="n">
        <v>2020</v>
      </c>
      <c r="E112" s="5" t="s">
        <v>967</v>
      </c>
      <c r="F112" s="5" t="s">
        <v>866</v>
      </c>
      <c r="G112" s="5" t="s">
        <v>970</v>
      </c>
      <c r="H112" s="5" t="n">
        <v>28.4</v>
      </c>
      <c r="I112" s="5" t="n">
        <v>77.1</v>
      </c>
      <c r="J112" s="5" t="s">
        <v>83</v>
      </c>
      <c r="K112" s="5" t="s">
        <v>4886</v>
      </c>
      <c r="L112" s="5" t="s">
        <v>853</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4887</v>
      </c>
      <c r="CM112" s="5" t="s">
        <v>2084</v>
      </c>
      <c r="CN112" s="5" t="s">
        <v>4888</v>
      </c>
      <c r="CO112" s="5" t="s">
        <v>2078</v>
      </c>
      <c r="CP112" s="5" t="s">
        <v>4557</v>
      </c>
      <c r="CQ112" s="23" t="s">
        <v>4892</v>
      </c>
      <c r="CR112" s="5" t="s">
        <v>979</v>
      </c>
      <c r="CS112" s="5" t="s">
        <v>4890</v>
      </c>
    </row>
    <row r="113" customFormat="false" ht="14.25" hidden="false" customHeight="true" outlineLevel="0" collapsed="false">
      <c r="A113" s="5" t="s">
        <v>965</v>
      </c>
      <c r="B113" s="5" t="s">
        <v>965</v>
      </c>
      <c r="C113" s="5" t="s">
        <v>966</v>
      </c>
      <c r="D113" s="5" t="n">
        <v>2020</v>
      </c>
      <c r="E113" s="5" t="s">
        <v>967</v>
      </c>
      <c r="F113" s="5" t="s">
        <v>866</v>
      </c>
      <c r="G113" s="5" t="s">
        <v>970</v>
      </c>
      <c r="H113" s="5" t="n">
        <v>28.4</v>
      </c>
      <c r="I113" s="5" t="n">
        <v>77.1</v>
      </c>
      <c r="J113" s="5" t="s">
        <v>83</v>
      </c>
      <c r="K113" s="5" t="s">
        <v>4886</v>
      </c>
      <c r="L113" s="5" t="s">
        <v>853</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4887</v>
      </c>
      <c r="CM113" s="5" t="s">
        <v>2086</v>
      </c>
      <c r="CN113" s="5" t="s">
        <v>4888</v>
      </c>
      <c r="CO113" s="5" t="s">
        <v>2078</v>
      </c>
      <c r="CP113" s="5" t="s">
        <v>4557</v>
      </c>
      <c r="CQ113" s="23" t="s">
        <v>4893</v>
      </c>
      <c r="CR113" s="5" t="s">
        <v>979</v>
      </c>
      <c r="CS113" s="5" t="s">
        <v>4890</v>
      </c>
    </row>
    <row r="114" customFormat="false" ht="14.25" hidden="false" customHeight="true" outlineLevel="0" collapsed="false">
      <c r="A114" s="5" t="s">
        <v>965</v>
      </c>
      <c r="B114" s="5" t="s">
        <v>965</v>
      </c>
      <c r="C114" s="5" t="s">
        <v>966</v>
      </c>
      <c r="D114" s="5" t="n">
        <v>2020</v>
      </c>
      <c r="E114" s="5" t="s">
        <v>967</v>
      </c>
      <c r="F114" s="5" t="s">
        <v>866</v>
      </c>
      <c r="G114" s="5" t="s">
        <v>970</v>
      </c>
      <c r="H114" s="5" t="n">
        <v>28.4</v>
      </c>
      <c r="I114" s="5" t="n">
        <v>77.1</v>
      </c>
      <c r="J114" s="5" t="s">
        <v>83</v>
      </c>
      <c r="K114" s="5" t="s">
        <v>4886</v>
      </c>
      <c r="L114" s="5" t="s">
        <v>853</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4887</v>
      </c>
      <c r="CM114" s="5" t="s">
        <v>2088</v>
      </c>
      <c r="CN114" s="5" t="s">
        <v>4888</v>
      </c>
      <c r="CO114" s="5" t="s">
        <v>2078</v>
      </c>
      <c r="CP114" s="5" t="s">
        <v>4557</v>
      </c>
      <c r="CQ114" s="23" t="s">
        <v>4894</v>
      </c>
      <c r="CR114" s="5" t="s">
        <v>979</v>
      </c>
      <c r="CS114" s="5" t="s">
        <v>4890</v>
      </c>
    </row>
    <row r="115" customFormat="false" ht="14.25" hidden="false" customHeight="true" outlineLevel="0" collapsed="false">
      <c r="A115" s="5" t="s">
        <v>965</v>
      </c>
      <c r="B115" s="5" t="s">
        <v>965</v>
      </c>
      <c r="C115" s="5" t="s">
        <v>966</v>
      </c>
      <c r="D115" s="5" t="n">
        <v>2020</v>
      </c>
      <c r="E115" s="5" t="s">
        <v>967</v>
      </c>
      <c r="F115" s="5" t="s">
        <v>866</v>
      </c>
      <c r="G115" s="5" t="s">
        <v>970</v>
      </c>
      <c r="H115" s="5" t="n">
        <v>28.4</v>
      </c>
      <c r="I115" s="5" t="n">
        <v>77.1</v>
      </c>
      <c r="J115" s="5" t="s">
        <v>83</v>
      </c>
      <c r="K115" s="5" t="s">
        <v>4886</v>
      </c>
      <c r="L115" s="5" t="s">
        <v>853</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4887</v>
      </c>
      <c r="CM115" s="5" t="s">
        <v>2090</v>
      </c>
      <c r="CN115" s="5" t="s">
        <v>4888</v>
      </c>
      <c r="CO115" s="5" t="s">
        <v>2078</v>
      </c>
      <c r="CP115" s="5" t="s">
        <v>4557</v>
      </c>
      <c r="CQ115" s="23" t="s">
        <v>4895</v>
      </c>
      <c r="CR115" s="5" t="s">
        <v>979</v>
      </c>
      <c r="CS115" s="5" t="s">
        <v>4890</v>
      </c>
    </row>
    <row r="116" customFormat="false" ht="14.25" hidden="false" customHeight="true" outlineLevel="0" collapsed="false">
      <c r="A116" s="5" t="s">
        <v>965</v>
      </c>
      <c r="B116" s="5" t="s">
        <v>965</v>
      </c>
      <c r="C116" s="5" t="s">
        <v>966</v>
      </c>
      <c r="D116" s="5" t="n">
        <v>2020</v>
      </c>
      <c r="E116" s="5" t="s">
        <v>967</v>
      </c>
      <c r="F116" s="5" t="s">
        <v>866</v>
      </c>
      <c r="G116" s="5" t="s">
        <v>970</v>
      </c>
      <c r="H116" s="5" t="n">
        <v>28.4</v>
      </c>
      <c r="I116" s="5" t="n">
        <v>77.1</v>
      </c>
      <c r="J116" s="5" t="s">
        <v>83</v>
      </c>
      <c r="K116" s="5" t="s">
        <v>4886</v>
      </c>
      <c r="L116" s="5" t="s">
        <v>853</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4887</v>
      </c>
      <c r="CM116" s="5" t="s">
        <v>2092</v>
      </c>
      <c r="CN116" s="5" t="s">
        <v>4888</v>
      </c>
      <c r="CO116" s="5" t="s">
        <v>2078</v>
      </c>
      <c r="CP116" s="5" t="s">
        <v>4557</v>
      </c>
      <c r="CQ116" s="23" t="s">
        <v>4896</v>
      </c>
      <c r="CR116" s="5" t="s">
        <v>979</v>
      </c>
      <c r="CS116" s="5" t="s">
        <v>4890</v>
      </c>
    </row>
    <row r="117" customFormat="false" ht="14.25" hidden="false" customHeight="true" outlineLevel="0" collapsed="false">
      <c r="A117" s="5" t="s">
        <v>965</v>
      </c>
      <c r="B117" s="5" t="s">
        <v>965</v>
      </c>
      <c r="C117" s="5" t="s">
        <v>966</v>
      </c>
      <c r="D117" s="5" t="n">
        <v>2020</v>
      </c>
      <c r="E117" s="5" t="s">
        <v>967</v>
      </c>
      <c r="F117" s="5" t="s">
        <v>866</v>
      </c>
      <c r="G117" s="5" t="s">
        <v>970</v>
      </c>
      <c r="H117" s="5" t="n">
        <v>28.4</v>
      </c>
      <c r="I117" s="5" t="n">
        <v>77.1</v>
      </c>
      <c r="J117" s="5" t="s">
        <v>83</v>
      </c>
      <c r="K117" s="5" t="s">
        <v>4886</v>
      </c>
      <c r="L117" s="5" t="s">
        <v>853</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4887</v>
      </c>
      <c r="CM117" s="5" t="s">
        <v>2094</v>
      </c>
      <c r="CN117" s="5" t="s">
        <v>4888</v>
      </c>
      <c r="CO117" s="5" t="s">
        <v>2078</v>
      </c>
      <c r="CP117" s="5" t="s">
        <v>4557</v>
      </c>
      <c r="CQ117" s="23" t="s">
        <v>4897</v>
      </c>
      <c r="CR117" s="5" t="s">
        <v>979</v>
      </c>
      <c r="CS117" s="5" t="s">
        <v>4890</v>
      </c>
    </row>
    <row r="118" customFormat="false" ht="14.25" hidden="false" customHeight="true" outlineLevel="0" collapsed="false">
      <c r="A118" s="5" t="s">
        <v>1018</v>
      </c>
      <c r="B118" s="5" t="s">
        <v>1018</v>
      </c>
      <c r="C118" s="5" t="s">
        <v>1019</v>
      </c>
      <c r="D118" s="5" t="n">
        <v>2011</v>
      </c>
      <c r="E118" s="5" t="s">
        <v>1020</v>
      </c>
      <c r="F118" s="5" t="s">
        <v>887</v>
      </c>
      <c r="G118" s="5" t="s">
        <v>1023</v>
      </c>
      <c r="H118" s="5" t="n">
        <v>29.017</v>
      </c>
      <c r="I118" s="5" t="n">
        <v>77.75</v>
      </c>
      <c r="J118" s="5" t="s">
        <v>83</v>
      </c>
      <c r="K118" s="5" t="s">
        <v>4898</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4899</v>
      </c>
      <c r="CE118" s="5"/>
      <c r="CF118" s="5"/>
      <c r="CG118" s="5" t="n">
        <v>8.1</v>
      </c>
      <c r="CH118" s="5"/>
      <c r="CI118" s="5"/>
      <c r="CJ118" s="5" t="n">
        <v>55</v>
      </c>
      <c r="CK118" s="5" t="n">
        <v>26</v>
      </c>
      <c r="CL118" s="5" t="s">
        <v>4900</v>
      </c>
      <c r="CM118" s="5" t="s">
        <v>2099</v>
      </c>
      <c r="CN118" s="5" t="s">
        <v>4901</v>
      </c>
      <c r="CO118" s="5" t="s">
        <v>2101</v>
      </c>
      <c r="CP118" s="5" t="s">
        <v>2115</v>
      </c>
      <c r="CQ118" s="23" t="s">
        <v>4902</v>
      </c>
      <c r="CR118" s="5" t="s">
        <v>1038</v>
      </c>
      <c r="CS118" s="5" t="s">
        <v>4903</v>
      </c>
    </row>
    <row r="119" customFormat="false" ht="14.25" hidden="false" customHeight="true" outlineLevel="0" collapsed="false">
      <c r="A119" s="5" t="s">
        <v>1018</v>
      </c>
      <c r="B119" s="5" t="s">
        <v>1018</v>
      </c>
      <c r="C119" s="5" t="s">
        <v>1019</v>
      </c>
      <c r="D119" s="5" t="n">
        <v>2011</v>
      </c>
      <c r="E119" s="5" t="s">
        <v>1020</v>
      </c>
      <c r="F119" s="5" t="s">
        <v>887</v>
      </c>
      <c r="G119" s="5" t="s">
        <v>1023</v>
      </c>
      <c r="H119" s="5" t="n">
        <v>29.017</v>
      </c>
      <c r="I119" s="5" t="n">
        <v>77.75</v>
      </c>
      <c r="J119" s="5" t="s">
        <v>83</v>
      </c>
      <c r="K119" s="5" t="s">
        <v>4898</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4899</v>
      </c>
      <c r="CE119" s="5"/>
      <c r="CF119" s="5"/>
      <c r="CG119" s="5" t="n">
        <v>8.1</v>
      </c>
      <c r="CH119" s="5"/>
      <c r="CI119" s="5"/>
      <c r="CJ119" s="5" t="n">
        <v>55</v>
      </c>
      <c r="CK119" s="5" t="n">
        <v>26</v>
      </c>
      <c r="CL119" s="5" t="s">
        <v>4900</v>
      </c>
      <c r="CM119" s="5" t="s">
        <v>2099</v>
      </c>
      <c r="CN119" s="5" t="s">
        <v>4901</v>
      </c>
      <c r="CO119" s="5" t="s">
        <v>2101</v>
      </c>
      <c r="CP119" s="5" t="s">
        <v>2115</v>
      </c>
      <c r="CQ119" s="23" t="s">
        <v>4904</v>
      </c>
      <c r="CR119" s="5" t="s">
        <v>1038</v>
      </c>
      <c r="CS119" s="5" t="s">
        <v>4903</v>
      </c>
    </row>
    <row r="120" customFormat="false" ht="14.25" hidden="false" customHeight="true" outlineLevel="0" collapsed="false">
      <c r="A120" s="5" t="s">
        <v>1041</v>
      </c>
      <c r="B120" s="5" t="s">
        <v>1041</v>
      </c>
      <c r="C120" s="5" t="s">
        <v>1042</v>
      </c>
      <c r="D120" s="5" t="n">
        <v>2022</v>
      </c>
      <c r="E120" s="5" t="s">
        <v>843</v>
      </c>
      <c r="F120" s="5" t="s">
        <v>1045</v>
      </c>
      <c r="G120" s="5" t="s">
        <v>1046</v>
      </c>
      <c r="H120" s="5" t="n">
        <v>24.724</v>
      </c>
      <c r="I120" s="5" t="n">
        <v>90.437</v>
      </c>
      <c r="J120" s="5" t="s">
        <v>83</v>
      </c>
      <c r="K120" s="5" t="s">
        <v>4905</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5</v>
      </c>
      <c r="BW120" s="5" t="n">
        <v>3</v>
      </c>
      <c r="BX120" s="5" t="n">
        <f aca="false">IF(AND(N(BV120)&gt;0,N(BW120)&gt;0),SQRT(2*BV120/BW120),"")</f>
        <v>1.82574185835055</v>
      </c>
      <c r="BY120" s="5" t="n">
        <v>13</v>
      </c>
      <c r="BZ120" s="5"/>
      <c r="CA120" s="5"/>
      <c r="CB120" s="5" t="n">
        <v>2400</v>
      </c>
      <c r="CC120" s="5" t="n">
        <v>24.724</v>
      </c>
      <c r="CD120" s="5" t="n">
        <v>7</v>
      </c>
      <c r="CE120" s="5"/>
      <c r="CF120" s="5"/>
      <c r="CG120" s="5" t="n">
        <v>6.92</v>
      </c>
      <c r="CH120" s="5" t="n">
        <v>13.2</v>
      </c>
      <c r="CI120" s="5" t="n">
        <v>1.58</v>
      </c>
      <c r="CJ120" s="5" t="n">
        <v>11</v>
      </c>
      <c r="CK120" s="5" t="n">
        <v>76</v>
      </c>
      <c r="CL120" s="5" t="s">
        <v>4906</v>
      </c>
      <c r="CM120" s="5" t="s">
        <v>2112</v>
      </c>
      <c r="CN120" s="5" t="s">
        <v>4907</v>
      </c>
      <c r="CO120" s="5" t="s">
        <v>4908</v>
      </c>
      <c r="CP120" s="5" t="s">
        <v>2600</v>
      </c>
      <c r="CQ120" s="23" t="s">
        <v>4909</v>
      </c>
      <c r="CR120" s="5" t="s">
        <v>1060</v>
      </c>
      <c r="CS120" s="5" t="s">
        <v>4910</v>
      </c>
    </row>
    <row r="121" customFormat="false" ht="14.25" hidden="false" customHeight="true" outlineLevel="0" collapsed="false">
      <c r="A121" s="5" t="s">
        <v>1041</v>
      </c>
      <c r="B121" s="5" t="s">
        <v>1041</v>
      </c>
      <c r="C121" s="5" t="s">
        <v>1042</v>
      </c>
      <c r="D121" s="5" t="n">
        <v>2022</v>
      </c>
      <c r="E121" s="5" t="s">
        <v>843</v>
      </c>
      <c r="F121" s="5" t="s">
        <v>1045</v>
      </c>
      <c r="G121" s="5" t="s">
        <v>1046</v>
      </c>
      <c r="H121" s="5" t="n">
        <v>24.724</v>
      </c>
      <c r="I121" s="5" t="n">
        <v>90.437</v>
      </c>
      <c r="J121" s="5" t="s">
        <v>83</v>
      </c>
      <c r="K121" s="5" t="s">
        <v>4905</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5</v>
      </c>
      <c r="BW121" s="5" t="n">
        <v>3</v>
      </c>
      <c r="BX121" s="5" t="n">
        <f aca="false">IF(AND(N(BV121)&gt;0,N(BW121)&gt;0),SQRT(2*BV121/BW121),"")</f>
        <v>1.82574185835055</v>
      </c>
      <c r="BY121" s="5" t="n">
        <v>13</v>
      </c>
      <c r="BZ121" s="5"/>
      <c r="CA121" s="5"/>
      <c r="CB121" s="5" t="n">
        <v>2400</v>
      </c>
      <c r="CC121" s="5" t="n">
        <v>24.724</v>
      </c>
      <c r="CD121" s="5" t="n">
        <v>7</v>
      </c>
      <c r="CE121" s="5"/>
      <c r="CF121" s="5"/>
      <c r="CG121" s="5" t="n">
        <v>6.92</v>
      </c>
      <c r="CH121" s="5" t="n">
        <v>13.2</v>
      </c>
      <c r="CI121" s="5" t="n">
        <v>1.58</v>
      </c>
      <c r="CJ121" s="5" t="n">
        <v>11</v>
      </c>
      <c r="CK121" s="5" t="n">
        <v>76</v>
      </c>
      <c r="CL121" s="5" t="s">
        <v>4906</v>
      </c>
      <c r="CM121" s="5" t="s">
        <v>2112</v>
      </c>
      <c r="CN121" s="5" t="s">
        <v>4911</v>
      </c>
      <c r="CO121" s="5" t="s">
        <v>4912</v>
      </c>
      <c r="CP121" s="5" t="s">
        <v>2600</v>
      </c>
      <c r="CQ121" s="23" t="s">
        <v>4913</v>
      </c>
      <c r="CR121" s="5" t="s">
        <v>1060</v>
      </c>
      <c r="CS121" s="5" t="s">
        <v>4910</v>
      </c>
    </row>
    <row r="122" customFormat="false" ht="14.25" hidden="false" customHeight="true" outlineLevel="0" collapsed="false">
      <c r="A122" s="5" t="s">
        <v>1041</v>
      </c>
      <c r="B122" s="5" t="s">
        <v>1041</v>
      </c>
      <c r="C122" s="5" t="s">
        <v>1042</v>
      </c>
      <c r="D122" s="5" t="n">
        <v>2022</v>
      </c>
      <c r="E122" s="5" t="s">
        <v>843</v>
      </c>
      <c r="F122" s="5" t="s">
        <v>1045</v>
      </c>
      <c r="G122" s="5" t="s">
        <v>1046</v>
      </c>
      <c r="H122" s="5" t="n">
        <v>24.724</v>
      </c>
      <c r="I122" s="5" t="n">
        <v>90.437</v>
      </c>
      <c r="J122" s="5" t="s">
        <v>83</v>
      </c>
      <c r="K122" s="5" t="s">
        <v>4905</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5</v>
      </c>
      <c r="BW122" s="5" t="n">
        <v>3</v>
      </c>
      <c r="BX122" s="5" t="n">
        <f aca="false">IF(AND(N(BV122)&gt;0,N(BW122)&gt;0),SQRT(2*BV122/BW122),"")</f>
        <v>1.82574185835055</v>
      </c>
      <c r="BY122" s="5" t="n">
        <v>13</v>
      </c>
      <c r="BZ122" s="5"/>
      <c r="CA122" s="5"/>
      <c r="CB122" s="5" t="n">
        <v>2400</v>
      </c>
      <c r="CC122" s="5" t="n">
        <v>24.724</v>
      </c>
      <c r="CD122" s="5" t="n">
        <v>7</v>
      </c>
      <c r="CE122" s="5"/>
      <c r="CF122" s="5"/>
      <c r="CG122" s="5" t="n">
        <v>6.92</v>
      </c>
      <c r="CH122" s="5" t="n">
        <v>13.2</v>
      </c>
      <c r="CI122" s="5" t="n">
        <v>1.58</v>
      </c>
      <c r="CJ122" s="5" t="n">
        <v>11</v>
      </c>
      <c r="CK122" s="5" t="n">
        <v>76</v>
      </c>
      <c r="CL122" s="5" t="s">
        <v>4906</v>
      </c>
      <c r="CM122" s="5" t="s">
        <v>2112</v>
      </c>
      <c r="CN122" s="5" t="s">
        <v>4914</v>
      </c>
      <c r="CO122" s="5" t="s">
        <v>4915</v>
      </c>
      <c r="CP122" s="5" t="s">
        <v>2600</v>
      </c>
      <c r="CQ122" s="23" t="s">
        <v>4916</v>
      </c>
      <c r="CR122" s="5" t="s">
        <v>1060</v>
      </c>
      <c r="CS122" s="5" t="s">
        <v>4910</v>
      </c>
    </row>
    <row r="123" customFormat="false" ht="14.25" hidden="false" customHeight="true" outlineLevel="0" collapsed="false">
      <c r="A123" s="5" t="s">
        <v>1041</v>
      </c>
      <c r="B123" s="5" t="s">
        <v>1041</v>
      </c>
      <c r="C123" s="5" t="s">
        <v>1042</v>
      </c>
      <c r="D123" s="5" t="n">
        <v>2022</v>
      </c>
      <c r="E123" s="5" t="s">
        <v>843</v>
      </c>
      <c r="F123" s="5" t="s">
        <v>1045</v>
      </c>
      <c r="G123" s="5" t="s">
        <v>1046</v>
      </c>
      <c r="H123" s="5" t="n">
        <v>24.724</v>
      </c>
      <c r="I123" s="5" t="n">
        <v>90.437</v>
      </c>
      <c r="J123" s="5" t="s">
        <v>83</v>
      </c>
      <c r="K123" s="5" t="s">
        <v>4905</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5</v>
      </c>
      <c r="BW123" s="5" t="n">
        <v>3</v>
      </c>
      <c r="BX123" s="5" t="n">
        <f aca="false">IF(AND(N(BV123)&gt;0,N(BW123)&gt;0),SQRT(2*BV123/BW123),"")</f>
        <v>1.82574185835055</v>
      </c>
      <c r="BY123" s="5" t="n">
        <v>13</v>
      </c>
      <c r="BZ123" s="5"/>
      <c r="CA123" s="5"/>
      <c r="CB123" s="5" t="n">
        <v>2400</v>
      </c>
      <c r="CC123" s="5" t="n">
        <v>24.724</v>
      </c>
      <c r="CD123" s="5" t="n">
        <v>7</v>
      </c>
      <c r="CE123" s="5"/>
      <c r="CF123" s="5"/>
      <c r="CG123" s="5" t="n">
        <v>6.92</v>
      </c>
      <c r="CH123" s="5" t="n">
        <v>13.2</v>
      </c>
      <c r="CI123" s="5" t="n">
        <v>1.58</v>
      </c>
      <c r="CJ123" s="5" t="n">
        <v>11</v>
      </c>
      <c r="CK123" s="5" t="n">
        <v>76</v>
      </c>
      <c r="CL123" s="5" t="s">
        <v>4906</v>
      </c>
      <c r="CM123" s="5" t="s">
        <v>2112</v>
      </c>
      <c r="CN123" s="5" t="s">
        <v>4917</v>
      </c>
      <c r="CO123" s="5" t="s">
        <v>4918</v>
      </c>
      <c r="CP123" s="5" t="s">
        <v>2600</v>
      </c>
      <c r="CQ123" s="23" t="s">
        <v>4919</v>
      </c>
      <c r="CR123" s="5" t="s">
        <v>1060</v>
      </c>
      <c r="CS123" s="5" t="s">
        <v>4910</v>
      </c>
    </row>
    <row r="124" customFormat="false" ht="14.25" hidden="false" customHeight="true" outlineLevel="0" collapsed="false">
      <c r="A124" s="5" t="s">
        <v>1041</v>
      </c>
      <c r="B124" s="5" t="s">
        <v>1041</v>
      </c>
      <c r="C124" s="5" t="s">
        <v>1042</v>
      </c>
      <c r="D124" s="5" t="n">
        <v>2022</v>
      </c>
      <c r="E124" s="5" t="s">
        <v>843</v>
      </c>
      <c r="F124" s="5" t="s">
        <v>1045</v>
      </c>
      <c r="G124" s="5" t="s">
        <v>1046</v>
      </c>
      <c r="H124" s="5" t="n">
        <v>24.724</v>
      </c>
      <c r="I124" s="5" t="n">
        <v>90.437</v>
      </c>
      <c r="J124" s="5" t="s">
        <v>83</v>
      </c>
      <c r="K124" s="5" t="s">
        <v>4905</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5</v>
      </c>
      <c r="BW124" s="5" t="n">
        <v>3</v>
      </c>
      <c r="BX124" s="5" t="n">
        <f aca="false">IF(AND(N(BV124)&gt;0,N(BW124)&gt;0),SQRT(2*BV124/BW124),"")</f>
        <v>1.82574185835055</v>
      </c>
      <c r="BY124" s="5" t="n">
        <v>13</v>
      </c>
      <c r="BZ124" s="5"/>
      <c r="CA124" s="5"/>
      <c r="CB124" s="5" t="n">
        <v>2400</v>
      </c>
      <c r="CC124" s="5" t="n">
        <v>24.724</v>
      </c>
      <c r="CD124" s="5" t="n">
        <v>7</v>
      </c>
      <c r="CE124" s="5"/>
      <c r="CF124" s="5"/>
      <c r="CG124" s="5" t="n">
        <v>6.92</v>
      </c>
      <c r="CH124" s="5" t="n">
        <v>13.2</v>
      </c>
      <c r="CI124" s="5" t="n">
        <v>1.58</v>
      </c>
      <c r="CJ124" s="5" t="n">
        <v>11</v>
      </c>
      <c r="CK124" s="5" t="n">
        <v>76</v>
      </c>
      <c r="CL124" s="5" t="s">
        <v>4906</v>
      </c>
      <c r="CM124" s="5" t="s">
        <v>2112</v>
      </c>
      <c r="CN124" s="5" t="s">
        <v>4920</v>
      </c>
      <c r="CO124" s="5" t="s">
        <v>4921</v>
      </c>
      <c r="CP124" s="5" t="s">
        <v>2600</v>
      </c>
      <c r="CQ124" s="23" t="s">
        <v>4922</v>
      </c>
      <c r="CR124" s="5" t="s">
        <v>1060</v>
      </c>
      <c r="CS124" s="5" t="s">
        <v>4910</v>
      </c>
    </row>
    <row r="125" customFormat="false" ht="14.25" hidden="false" customHeight="true" outlineLevel="0" collapsed="false">
      <c r="A125" s="5" t="s">
        <v>1041</v>
      </c>
      <c r="B125" s="5" t="s">
        <v>1041</v>
      </c>
      <c r="C125" s="5" t="s">
        <v>1042</v>
      </c>
      <c r="D125" s="5" t="n">
        <v>2022</v>
      </c>
      <c r="E125" s="5" t="s">
        <v>843</v>
      </c>
      <c r="F125" s="5" t="s">
        <v>1045</v>
      </c>
      <c r="G125" s="5" t="s">
        <v>1046</v>
      </c>
      <c r="H125" s="5" t="n">
        <v>24.724</v>
      </c>
      <c r="I125" s="5" t="n">
        <v>90.437</v>
      </c>
      <c r="J125" s="5" t="s">
        <v>83</v>
      </c>
      <c r="K125" s="5" t="s">
        <v>4923</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5</v>
      </c>
      <c r="BW125" s="5" t="n">
        <v>3</v>
      </c>
      <c r="BX125" s="5" t="n">
        <f aca="false">IF(AND(N(BV125)&gt;0,N(BW125)&gt;0),SQRT(2*BV125/BW125),"")</f>
        <v>1.82574185835055</v>
      </c>
      <c r="BY125" s="5" t="n">
        <v>13</v>
      </c>
      <c r="BZ125" s="5"/>
      <c r="CA125" s="5"/>
      <c r="CB125" s="5" t="n">
        <v>2400</v>
      </c>
      <c r="CC125" s="5" t="n">
        <v>24.724</v>
      </c>
      <c r="CD125" s="5" t="n">
        <v>8</v>
      </c>
      <c r="CE125" s="5"/>
      <c r="CF125" s="5"/>
      <c r="CG125" s="5" t="n">
        <v>6.92</v>
      </c>
      <c r="CH125" s="5" t="n">
        <v>13.2</v>
      </c>
      <c r="CI125" s="5" t="n">
        <v>1.58</v>
      </c>
      <c r="CJ125" s="5" t="n">
        <v>11</v>
      </c>
      <c r="CK125" s="5" t="n">
        <v>76</v>
      </c>
      <c r="CL125" s="5" t="s">
        <v>4906</v>
      </c>
      <c r="CM125" s="5" t="s">
        <v>2112</v>
      </c>
      <c r="CN125" s="5" t="s">
        <v>4924</v>
      </c>
      <c r="CO125" s="5" t="s">
        <v>4908</v>
      </c>
      <c r="CP125" s="5" t="s">
        <v>2600</v>
      </c>
      <c r="CQ125" s="23" t="s">
        <v>4925</v>
      </c>
      <c r="CR125" s="5" t="s">
        <v>1060</v>
      </c>
      <c r="CS125" s="5" t="s">
        <v>4910</v>
      </c>
    </row>
    <row r="126" customFormat="false" ht="14.25" hidden="false" customHeight="true" outlineLevel="0" collapsed="false">
      <c r="A126" s="5" t="s">
        <v>1041</v>
      </c>
      <c r="B126" s="5" t="s">
        <v>1041</v>
      </c>
      <c r="C126" s="5" t="s">
        <v>1042</v>
      </c>
      <c r="D126" s="5" t="n">
        <v>2022</v>
      </c>
      <c r="E126" s="5" t="s">
        <v>843</v>
      </c>
      <c r="F126" s="5" t="s">
        <v>1045</v>
      </c>
      <c r="G126" s="5" t="s">
        <v>1046</v>
      </c>
      <c r="H126" s="5" t="n">
        <v>24.724</v>
      </c>
      <c r="I126" s="5" t="n">
        <v>90.437</v>
      </c>
      <c r="J126" s="5" t="s">
        <v>83</v>
      </c>
      <c r="K126" s="5" t="s">
        <v>4923</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5</v>
      </c>
      <c r="BW126" s="5" t="n">
        <v>3</v>
      </c>
      <c r="BX126" s="5" t="n">
        <f aca="false">IF(AND(N(BV126)&gt;0,N(BW126)&gt;0),SQRT(2*BV126/BW126),"")</f>
        <v>1.82574185835055</v>
      </c>
      <c r="BY126" s="5" t="n">
        <v>13</v>
      </c>
      <c r="BZ126" s="5"/>
      <c r="CA126" s="5"/>
      <c r="CB126" s="5" t="n">
        <v>2400</v>
      </c>
      <c r="CC126" s="5" t="n">
        <v>24.724</v>
      </c>
      <c r="CD126" s="5" t="n">
        <v>8</v>
      </c>
      <c r="CE126" s="5"/>
      <c r="CF126" s="5"/>
      <c r="CG126" s="5" t="n">
        <v>6.92</v>
      </c>
      <c r="CH126" s="5" t="n">
        <v>13.2</v>
      </c>
      <c r="CI126" s="5" t="n">
        <v>1.58</v>
      </c>
      <c r="CJ126" s="5" t="n">
        <v>11</v>
      </c>
      <c r="CK126" s="5" t="n">
        <v>76</v>
      </c>
      <c r="CL126" s="5" t="s">
        <v>4906</v>
      </c>
      <c r="CM126" s="5" t="s">
        <v>2112</v>
      </c>
      <c r="CN126" s="5" t="s">
        <v>4926</v>
      </c>
      <c r="CO126" s="5" t="s">
        <v>4912</v>
      </c>
      <c r="CP126" s="5" t="s">
        <v>2600</v>
      </c>
      <c r="CQ126" s="23" t="s">
        <v>4927</v>
      </c>
      <c r="CR126" s="5" t="s">
        <v>1060</v>
      </c>
      <c r="CS126" s="5" t="s">
        <v>4910</v>
      </c>
    </row>
    <row r="127" customFormat="false" ht="14.25" hidden="false" customHeight="true" outlineLevel="0" collapsed="false">
      <c r="A127" s="5" t="s">
        <v>1041</v>
      </c>
      <c r="B127" s="5" t="s">
        <v>1041</v>
      </c>
      <c r="C127" s="5" t="s">
        <v>1042</v>
      </c>
      <c r="D127" s="5" t="n">
        <v>2022</v>
      </c>
      <c r="E127" s="5" t="s">
        <v>843</v>
      </c>
      <c r="F127" s="5" t="s">
        <v>1045</v>
      </c>
      <c r="G127" s="5" t="s">
        <v>1046</v>
      </c>
      <c r="H127" s="5" t="n">
        <v>24.724</v>
      </c>
      <c r="I127" s="5" t="n">
        <v>90.437</v>
      </c>
      <c r="J127" s="5" t="s">
        <v>83</v>
      </c>
      <c r="K127" s="5" t="s">
        <v>4923</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5</v>
      </c>
      <c r="BW127" s="5" t="n">
        <v>3</v>
      </c>
      <c r="BX127" s="5" t="n">
        <f aca="false">IF(AND(N(BV127)&gt;0,N(BW127)&gt;0),SQRT(2*BV127/BW127),"")</f>
        <v>1.82574185835055</v>
      </c>
      <c r="BY127" s="5" t="n">
        <v>13</v>
      </c>
      <c r="BZ127" s="5"/>
      <c r="CA127" s="5"/>
      <c r="CB127" s="5" t="n">
        <v>2400</v>
      </c>
      <c r="CC127" s="5" t="n">
        <v>24.724</v>
      </c>
      <c r="CD127" s="5" t="n">
        <v>8</v>
      </c>
      <c r="CE127" s="5"/>
      <c r="CF127" s="5"/>
      <c r="CG127" s="5" t="n">
        <v>6.92</v>
      </c>
      <c r="CH127" s="5" t="n">
        <v>13.2</v>
      </c>
      <c r="CI127" s="5" t="n">
        <v>1.58</v>
      </c>
      <c r="CJ127" s="5" t="n">
        <v>11</v>
      </c>
      <c r="CK127" s="5" t="n">
        <v>76</v>
      </c>
      <c r="CL127" s="5" t="s">
        <v>4906</v>
      </c>
      <c r="CM127" s="5" t="s">
        <v>2112</v>
      </c>
      <c r="CN127" s="5" t="s">
        <v>4928</v>
      </c>
      <c r="CO127" s="5" t="s">
        <v>4915</v>
      </c>
      <c r="CP127" s="5" t="s">
        <v>2600</v>
      </c>
      <c r="CQ127" s="23" t="s">
        <v>4929</v>
      </c>
      <c r="CR127" s="5" t="s">
        <v>1060</v>
      </c>
      <c r="CS127" s="5" t="s">
        <v>4910</v>
      </c>
    </row>
    <row r="128" customFormat="false" ht="14.25" hidden="false" customHeight="true" outlineLevel="0" collapsed="false">
      <c r="A128" s="5" t="s">
        <v>1041</v>
      </c>
      <c r="B128" s="5" t="s">
        <v>1041</v>
      </c>
      <c r="C128" s="5" t="s">
        <v>1042</v>
      </c>
      <c r="D128" s="5" t="n">
        <v>2022</v>
      </c>
      <c r="E128" s="5" t="s">
        <v>843</v>
      </c>
      <c r="F128" s="5" t="s">
        <v>1045</v>
      </c>
      <c r="G128" s="5" t="s">
        <v>1046</v>
      </c>
      <c r="H128" s="5" t="n">
        <v>24.724</v>
      </c>
      <c r="I128" s="5" t="n">
        <v>90.437</v>
      </c>
      <c r="J128" s="5" t="s">
        <v>83</v>
      </c>
      <c r="K128" s="5" t="s">
        <v>4923</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5</v>
      </c>
      <c r="BW128" s="5" t="n">
        <v>3</v>
      </c>
      <c r="BX128" s="5" t="n">
        <f aca="false">IF(AND(N(BV128)&gt;0,N(BW128)&gt;0),SQRT(2*BV128/BW128),"")</f>
        <v>1.82574185835055</v>
      </c>
      <c r="BY128" s="5" t="n">
        <v>13</v>
      </c>
      <c r="BZ128" s="5"/>
      <c r="CA128" s="5"/>
      <c r="CB128" s="5" t="n">
        <v>2400</v>
      </c>
      <c r="CC128" s="5" t="n">
        <v>24.724</v>
      </c>
      <c r="CD128" s="5" t="n">
        <v>8</v>
      </c>
      <c r="CE128" s="5"/>
      <c r="CF128" s="5"/>
      <c r="CG128" s="5" t="n">
        <v>6.92</v>
      </c>
      <c r="CH128" s="5" t="n">
        <v>13.2</v>
      </c>
      <c r="CI128" s="5" t="n">
        <v>1.58</v>
      </c>
      <c r="CJ128" s="5" t="n">
        <v>11</v>
      </c>
      <c r="CK128" s="5" t="n">
        <v>76</v>
      </c>
      <c r="CL128" s="5" t="s">
        <v>4906</v>
      </c>
      <c r="CM128" s="5" t="s">
        <v>2112</v>
      </c>
      <c r="CN128" s="5" t="s">
        <v>4930</v>
      </c>
      <c r="CO128" s="5" t="s">
        <v>4918</v>
      </c>
      <c r="CP128" s="5" t="s">
        <v>2600</v>
      </c>
      <c r="CQ128" s="23" t="s">
        <v>4931</v>
      </c>
      <c r="CR128" s="5" t="s">
        <v>1060</v>
      </c>
      <c r="CS128" s="5" t="s">
        <v>4910</v>
      </c>
    </row>
    <row r="129" customFormat="false" ht="14.25" hidden="false" customHeight="true" outlineLevel="0" collapsed="false">
      <c r="A129" s="5" t="s">
        <v>1041</v>
      </c>
      <c r="B129" s="5" t="s">
        <v>1041</v>
      </c>
      <c r="C129" s="5" t="s">
        <v>1042</v>
      </c>
      <c r="D129" s="5" t="n">
        <v>2022</v>
      </c>
      <c r="E129" s="5" t="s">
        <v>843</v>
      </c>
      <c r="F129" s="5" t="s">
        <v>1045</v>
      </c>
      <c r="G129" s="5" t="s">
        <v>1046</v>
      </c>
      <c r="H129" s="5" t="n">
        <v>24.724</v>
      </c>
      <c r="I129" s="5" t="n">
        <v>90.437</v>
      </c>
      <c r="J129" s="5" t="s">
        <v>83</v>
      </c>
      <c r="K129" s="5" t="s">
        <v>4923</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5</v>
      </c>
      <c r="BW129" s="5" t="n">
        <v>3</v>
      </c>
      <c r="BX129" s="5" t="n">
        <f aca="false">IF(AND(N(BV129)&gt;0,N(BW129)&gt;0),SQRT(2*BV129/BW129),"")</f>
        <v>1.82574185835055</v>
      </c>
      <c r="BY129" s="5" t="n">
        <v>13</v>
      </c>
      <c r="BZ129" s="5"/>
      <c r="CA129" s="5"/>
      <c r="CB129" s="5" t="n">
        <v>2400</v>
      </c>
      <c r="CC129" s="5" t="n">
        <v>24.724</v>
      </c>
      <c r="CD129" s="5" t="n">
        <v>8</v>
      </c>
      <c r="CE129" s="5"/>
      <c r="CF129" s="5"/>
      <c r="CG129" s="5" t="n">
        <v>6.92</v>
      </c>
      <c r="CH129" s="5" t="n">
        <v>13.2</v>
      </c>
      <c r="CI129" s="5" t="n">
        <v>1.58</v>
      </c>
      <c r="CJ129" s="5" t="n">
        <v>11</v>
      </c>
      <c r="CK129" s="5" t="n">
        <v>76</v>
      </c>
      <c r="CL129" s="5" t="s">
        <v>4906</v>
      </c>
      <c r="CM129" s="5" t="s">
        <v>2112</v>
      </c>
      <c r="CN129" s="5" t="s">
        <v>4932</v>
      </c>
      <c r="CO129" s="5" t="s">
        <v>4921</v>
      </c>
      <c r="CP129" s="5" t="s">
        <v>2600</v>
      </c>
      <c r="CQ129" s="23" t="s">
        <v>4933</v>
      </c>
      <c r="CR129" s="5" t="s">
        <v>1060</v>
      </c>
      <c r="CS129" s="5" t="s">
        <v>4910</v>
      </c>
    </row>
    <row r="130" customFormat="false" ht="14.25" hidden="false" customHeight="true" outlineLevel="0" collapsed="false">
      <c r="A130" s="5" t="s">
        <v>1041</v>
      </c>
      <c r="B130" s="5" t="s">
        <v>1041</v>
      </c>
      <c r="C130" s="5" t="s">
        <v>1042</v>
      </c>
      <c r="D130" s="5" t="n">
        <v>2022</v>
      </c>
      <c r="E130" s="5" t="s">
        <v>843</v>
      </c>
      <c r="F130" s="5" t="s">
        <v>1045</v>
      </c>
      <c r="G130" s="5" t="s">
        <v>1046</v>
      </c>
      <c r="H130" s="5" t="n">
        <v>24.724</v>
      </c>
      <c r="I130" s="5" t="n">
        <v>90.437</v>
      </c>
      <c r="J130" s="5" t="s">
        <v>83</v>
      </c>
      <c r="K130" s="5" t="s">
        <v>4934</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5</v>
      </c>
      <c r="BW130" s="5" t="n">
        <v>3</v>
      </c>
      <c r="BX130" s="5" t="n">
        <f aca="false">IF(AND(N(BV130)&gt;0,N(BW130)&gt;0),SQRT(2*BV130/BW130),"")</f>
        <v>1.82574185835055</v>
      </c>
      <c r="BY130" s="5" t="n">
        <v>13</v>
      </c>
      <c r="BZ130" s="5"/>
      <c r="CA130" s="5"/>
      <c r="CB130" s="5" t="n">
        <v>2400</v>
      </c>
      <c r="CC130" s="5" t="n">
        <v>24.724</v>
      </c>
      <c r="CD130" s="5" t="n">
        <v>9</v>
      </c>
      <c r="CE130" s="5"/>
      <c r="CF130" s="5"/>
      <c r="CG130" s="5" t="n">
        <v>6.92</v>
      </c>
      <c r="CH130" s="5" t="n">
        <v>13.2</v>
      </c>
      <c r="CI130" s="5" t="n">
        <v>1.58</v>
      </c>
      <c r="CJ130" s="5" t="n">
        <v>11</v>
      </c>
      <c r="CK130" s="5" t="n">
        <v>76</v>
      </c>
      <c r="CL130" s="5" t="s">
        <v>4906</v>
      </c>
      <c r="CM130" s="5" t="s">
        <v>2112</v>
      </c>
      <c r="CN130" s="5" t="s">
        <v>4935</v>
      </c>
      <c r="CO130" s="5" t="s">
        <v>4908</v>
      </c>
      <c r="CP130" s="5" t="s">
        <v>2600</v>
      </c>
      <c r="CQ130" s="23" t="s">
        <v>4936</v>
      </c>
      <c r="CR130" s="5" t="s">
        <v>1060</v>
      </c>
      <c r="CS130" s="5" t="s">
        <v>4910</v>
      </c>
    </row>
    <row r="131" customFormat="false" ht="14.25" hidden="false" customHeight="true" outlineLevel="0" collapsed="false">
      <c r="A131" s="5" t="s">
        <v>1041</v>
      </c>
      <c r="B131" s="5" t="s">
        <v>1041</v>
      </c>
      <c r="C131" s="5" t="s">
        <v>1042</v>
      </c>
      <c r="D131" s="5" t="n">
        <v>2022</v>
      </c>
      <c r="E131" s="5" t="s">
        <v>843</v>
      </c>
      <c r="F131" s="5" t="s">
        <v>1045</v>
      </c>
      <c r="G131" s="5" t="s">
        <v>1046</v>
      </c>
      <c r="H131" s="5" t="n">
        <v>24.724</v>
      </c>
      <c r="I131" s="5" t="n">
        <v>90.437</v>
      </c>
      <c r="J131" s="5" t="s">
        <v>83</v>
      </c>
      <c r="K131" s="5" t="s">
        <v>4934</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5</v>
      </c>
      <c r="BW131" s="5" t="n">
        <v>3</v>
      </c>
      <c r="BX131" s="5" t="n">
        <f aca="false">IF(AND(N(BV131)&gt;0,N(BW131)&gt;0),SQRT(2*BV131/BW131),"")</f>
        <v>1.82574185835055</v>
      </c>
      <c r="BY131" s="5" t="n">
        <v>13</v>
      </c>
      <c r="BZ131" s="5"/>
      <c r="CA131" s="5"/>
      <c r="CB131" s="5" t="n">
        <v>2400</v>
      </c>
      <c r="CC131" s="5" t="n">
        <v>24.724</v>
      </c>
      <c r="CD131" s="5" t="n">
        <v>9</v>
      </c>
      <c r="CE131" s="5"/>
      <c r="CF131" s="5"/>
      <c r="CG131" s="5" t="n">
        <v>6.92</v>
      </c>
      <c r="CH131" s="5" t="n">
        <v>13.2</v>
      </c>
      <c r="CI131" s="5" t="n">
        <v>1.58</v>
      </c>
      <c r="CJ131" s="5" t="n">
        <v>11</v>
      </c>
      <c r="CK131" s="5" t="n">
        <v>76</v>
      </c>
      <c r="CL131" s="5" t="s">
        <v>4906</v>
      </c>
      <c r="CM131" s="5" t="s">
        <v>2112</v>
      </c>
      <c r="CN131" s="5" t="s">
        <v>4937</v>
      </c>
      <c r="CO131" s="5" t="s">
        <v>4912</v>
      </c>
      <c r="CP131" s="5" t="s">
        <v>2600</v>
      </c>
      <c r="CQ131" s="23" t="s">
        <v>4938</v>
      </c>
      <c r="CR131" s="5" t="s">
        <v>1060</v>
      </c>
      <c r="CS131" s="5" t="s">
        <v>4910</v>
      </c>
    </row>
    <row r="132" customFormat="false" ht="14.25" hidden="false" customHeight="true" outlineLevel="0" collapsed="false">
      <c r="A132" s="5" t="s">
        <v>1041</v>
      </c>
      <c r="B132" s="5" t="s">
        <v>1041</v>
      </c>
      <c r="C132" s="5" t="s">
        <v>1042</v>
      </c>
      <c r="D132" s="5" t="n">
        <v>2022</v>
      </c>
      <c r="E132" s="5" t="s">
        <v>843</v>
      </c>
      <c r="F132" s="5" t="s">
        <v>1045</v>
      </c>
      <c r="G132" s="5" t="s">
        <v>1046</v>
      </c>
      <c r="H132" s="5" t="n">
        <v>24.724</v>
      </c>
      <c r="I132" s="5" t="n">
        <v>90.437</v>
      </c>
      <c r="J132" s="5" t="s">
        <v>83</v>
      </c>
      <c r="K132" s="5" t="s">
        <v>4934</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5</v>
      </c>
      <c r="BW132" s="5" t="n">
        <v>3</v>
      </c>
      <c r="BX132" s="5" t="n">
        <f aca="false">IF(AND(N(BV132)&gt;0,N(BW132)&gt;0),SQRT(2*BV132/BW132),"")</f>
        <v>1.82574185835055</v>
      </c>
      <c r="BY132" s="5" t="n">
        <v>13</v>
      </c>
      <c r="BZ132" s="5"/>
      <c r="CA132" s="5"/>
      <c r="CB132" s="5" t="n">
        <v>2400</v>
      </c>
      <c r="CC132" s="5" t="n">
        <v>24.724</v>
      </c>
      <c r="CD132" s="5" t="n">
        <v>9</v>
      </c>
      <c r="CE132" s="5"/>
      <c r="CF132" s="5"/>
      <c r="CG132" s="5" t="n">
        <v>6.92</v>
      </c>
      <c r="CH132" s="5" t="n">
        <v>13.2</v>
      </c>
      <c r="CI132" s="5" t="n">
        <v>1.58</v>
      </c>
      <c r="CJ132" s="5" t="n">
        <v>11</v>
      </c>
      <c r="CK132" s="5" t="n">
        <v>76</v>
      </c>
      <c r="CL132" s="5" t="s">
        <v>4906</v>
      </c>
      <c r="CM132" s="5" t="s">
        <v>2112</v>
      </c>
      <c r="CN132" s="5" t="s">
        <v>4939</v>
      </c>
      <c r="CO132" s="5" t="s">
        <v>4915</v>
      </c>
      <c r="CP132" s="5" t="s">
        <v>2600</v>
      </c>
      <c r="CQ132" s="23" t="s">
        <v>4940</v>
      </c>
      <c r="CR132" s="5" t="s">
        <v>1060</v>
      </c>
      <c r="CS132" s="5" t="s">
        <v>4910</v>
      </c>
    </row>
    <row r="133" customFormat="false" ht="14.25" hidden="false" customHeight="true" outlineLevel="0" collapsed="false">
      <c r="A133" s="5" t="s">
        <v>1041</v>
      </c>
      <c r="B133" s="5" t="s">
        <v>1041</v>
      </c>
      <c r="C133" s="5" t="s">
        <v>1042</v>
      </c>
      <c r="D133" s="5" t="n">
        <v>2022</v>
      </c>
      <c r="E133" s="5" t="s">
        <v>843</v>
      </c>
      <c r="F133" s="5" t="s">
        <v>1045</v>
      </c>
      <c r="G133" s="5" t="s">
        <v>1046</v>
      </c>
      <c r="H133" s="5" t="n">
        <v>24.724</v>
      </c>
      <c r="I133" s="5" t="n">
        <v>90.437</v>
      </c>
      <c r="J133" s="5" t="s">
        <v>83</v>
      </c>
      <c r="K133" s="5" t="s">
        <v>4934</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5</v>
      </c>
      <c r="BW133" s="5" t="n">
        <v>3</v>
      </c>
      <c r="BX133" s="5" t="n">
        <f aca="false">IF(AND(N(BV133)&gt;0,N(BW133)&gt;0),SQRT(2*BV133/BW133),"")</f>
        <v>1.82574185835055</v>
      </c>
      <c r="BY133" s="5" t="n">
        <v>13</v>
      </c>
      <c r="BZ133" s="5"/>
      <c r="CA133" s="5"/>
      <c r="CB133" s="5" t="n">
        <v>2400</v>
      </c>
      <c r="CC133" s="5" t="n">
        <v>24.724</v>
      </c>
      <c r="CD133" s="5" t="n">
        <v>9</v>
      </c>
      <c r="CE133" s="5"/>
      <c r="CF133" s="5"/>
      <c r="CG133" s="5" t="n">
        <v>6.92</v>
      </c>
      <c r="CH133" s="5" t="n">
        <v>13.2</v>
      </c>
      <c r="CI133" s="5" t="n">
        <v>1.58</v>
      </c>
      <c r="CJ133" s="5" t="n">
        <v>11</v>
      </c>
      <c r="CK133" s="5" t="n">
        <v>76</v>
      </c>
      <c r="CL133" s="5" t="s">
        <v>4906</v>
      </c>
      <c r="CM133" s="5" t="s">
        <v>2112</v>
      </c>
      <c r="CN133" s="5" t="s">
        <v>4941</v>
      </c>
      <c r="CO133" s="5" t="s">
        <v>4918</v>
      </c>
      <c r="CP133" s="5" t="s">
        <v>2600</v>
      </c>
      <c r="CQ133" s="23" t="s">
        <v>4942</v>
      </c>
      <c r="CR133" s="5" t="s">
        <v>1060</v>
      </c>
      <c r="CS133" s="5" t="s">
        <v>4910</v>
      </c>
    </row>
    <row r="134" customFormat="false" ht="14.25" hidden="false" customHeight="true" outlineLevel="0" collapsed="false">
      <c r="A134" s="5" t="s">
        <v>1041</v>
      </c>
      <c r="B134" s="5" t="s">
        <v>1041</v>
      </c>
      <c r="C134" s="5" t="s">
        <v>1042</v>
      </c>
      <c r="D134" s="5" t="n">
        <v>2022</v>
      </c>
      <c r="E134" s="5" t="s">
        <v>843</v>
      </c>
      <c r="F134" s="5" t="s">
        <v>1045</v>
      </c>
      <c r="G134" s="5" t="s">
        <v>1046</v>
      </c>
      <c r="H134" s="5" t="n">
        <v>24.724</v>
      </c>
      <c r="I134" s="5" t="n">
        <v>90.437</v>
      </c>
      <c r="J134" s="5" t="s">
        <v>83</v>
      </c>
      <c r="K134" s="5" t="s">
        <v>4934</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5</v>
      </c>
      <c r="BW134" s="5" t="n">
        <v>3</v>
      </c>
      <c r="BX134" s="5" t="n">
        <f aca="false">IF(AND(N(BV134)&gt;0,N(BW134)&gt;0),SQRT(2*BV134/BW134),"")</f>
        <v>1.82574185835055</v>
      </c>
      <c r="BY134" s="5" t="n">
        <v>13</v>
      </c>
      <c r="BZ134" s="5"/>
      <c r="CA134" s="5"/>
      <c r="CB134" s="5" t="n">
        <v>2400</v>
      </c>
      <c r="CC134" s="5" t="n">
        <v>24.724</v>
      </c>
      <c r="CD134" s="5" t="n">
        <v>9</v>
      </c>
      <c r="CE134" s="5"/>
      <c r="CF134" s="5"/>
      <c r="CG134" s="5" t="n">
        <v>6.92</v>
      </c>
      <c r="CH134" s="5" t="n">
        <v>13.2</v>
      </c>
      <c r="CI134" s="5" t="n">
        <v>1.58</v>
      </c>
      <c r="CJ134" s="5" t="n">
        <v>11</v>
      </c>
      <c r="CK134" s="5" t="n">
        <v>76</v>
      </c>
      <c r="CL134" s="5" t="s">
        <v>4906</v>
      </c>
      <c r="CM134" s="5" t="s">
        <v>2112</v>
      </c>
      <c r="CN134" s="5" t="s">
        <v>4943</v>
      </c>
      <c r="CO134" s="5" t="s">
        <v>4921</v>
      </c>
      <c r="CP134" s="5" t="s">
        <v>2600</v>
      </c>
      <c r="CQ134" s="23" t="s">
        <v>4944</v>
      </c>
      <c r="CR134" s="5" t="s">
        <v>1060</v>
      </c>
      <c r="CS134" s="5" t="s">
        <v>4910</v>
      </c>
    </row>
    <row r="135" customFormat="false" ht="14.25" hidden="false" customHeight="true" outlineLevel="0" collapsed="false">
      <c r="A135" s="5" t="n">
        <v>172</v>
      </c>
      <c r="B135" s="5" t="n">
        <v>172</v>
      </c>
      <c r="C135" s="5" t="s">
        <v>1100</v>
      </c>
      <c r="D135" s="5" t="n">
        <v>2005</v>
      </c>
      <c r="E135" s="5" t="s">
        <v>1101</v>
      </c>
      <c r="F135" s="5" t="s">
        <v>3054</v>
      </c>
      <c r="G135" s="5" t="s">
        <v>1105</v>
      </c>
      <c r="H135" s="5" t="n">
        <v>33.2</v>
      </c>
      <c r="I135" s="5" t="n">
        <v>130.5</v>
      </c>
      <c r="J135" s="5" t="s">
        <v>921</v>
      </c>
      <c r="K135" s="5" t="n">
        <v>1989</v>
      </c>
      <c r="L135" s="5" t="s">
        <v>853</v>
      </c>
      <c r="M135" s="5" t="s">
        <v>85</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t="n">
        <v>5.05</v>
      </c>
      <c r="AN135" s="5"/>
      <c r="AO135" s="5"/>
      <c r="AP135" s="5"/>
      <c r="AQ135" s="5"/>
      <c r="AR135" s="5" t="n">
        <v>6.1</v>
      </c>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t="n">
        <v>15</v>
      </c>
      <c r="BW135" s="5" t="n">
        <v>3</v>
      </c>
      <c r="BX135" s="5" t="n">
        <f aca="false">IF(AND(N(BV135)&gt;0,N(BW135)&gt;0),SQRT(2*BV135/BW135),"")</f>
        <v>3.16227766016838</v>
      </c>
      <c r="BY135" s="5" t="n">
        <v>29</v>
      </c>
      <c r="BZ135" s="5"/>
      <c r="CA135" s="5"/>
      <c r="CB135" s="5"/>
      <c r="CC135" s="5" t="n">
        <v>33.2</v>
      </c>
      <c r="CD135" s="5" t="n">
        <v>26</v>
      </c>
      <c r="CE135" s="5"/>
      <c r="CF135" s="5"/>
      <c r="CG135" s="5"/>
      <c r="CH135" s="5"/>
      <c r="CI135" s="5"/>
      <c r="CJ135" s="5" t="n">
        <v>16</v>
      </c>
      <c r="CK135" s="5" t="n">
        <v>56</v>
      </c>
      <c r="CL135" s="5" t="s">
        <v>4945</v>
      </c>
      <c r="CM135" s="5" t="s">
        <v>3057</v>
      </c>
      <c r="CN135" s="5" t="s">
        <v>4946</v>
      </c>
      <c r="CO135" s="5" t="s">
        <v>3059</v>
      </c>
      <c r="CP135" s="5" t="s">
        <v>4947</v>
      </c>
      <c r="CQ135" s="23" t="s">
        <v>4948</v>
      </c>
      <c r="CR135" s="5" t="s">
        <v>1112</v>
      </c>
      <c r="CS135" s="5" t="s">
        <v>4949</v>
      </c>
    </row>
    <row r="136" customFormat="false" ht="14.25" hidden="false" customHeight="true" outlineLevel="0" collapsed="false">
      <c r="A136" s="5" t="n">
        <v>172</v>
      </c>
      <c r="B136" s="5" t="n">
        <v>172</v>
      </c>
      <c r="C136" s="5" t="s">
        <v>1100</v>
      </c>
      <c r="D136" s="5" t="n">
        <v>2005</v>
      </c>
      <c r="E136" s="5" t="s">
        <v>1101</v>
      </c>
      <c r="F136" s="5" t="s">
        <v>3054</v>
      </c>
      <c r="G136" s="5" t="s">
        <v>1105</v>
      </c>
      <c r="H136" s="5" t="n">
        <v>33.2</v>
      </c>
      <c r="I136" s="5" t="n">
        <v>130.5</v>
      </c>
      <c r="J136" s="5" t="s">
        <v>921</v>
      </c>
      <c r="K136" s="5" t="n">
        <v>1989</v>
      </c>
      <c r="L136" s="5" t="s">
        <v>853</v>
      </c>
      <c r="M136" s="5" t="s">
        <v>85</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t="n">
        <v>5.05</v>
      </c>
      <c r="AN136" s="5"/>
      <c r="AO136" s="5"/>
      <c r="AP136" s="5"/>
      <c r="AQ136" s="5"/>
      <c r="AR136" s="5" t="n">
        <v>5.33</v>
      </c>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t="n">
        <v>15</v>
      </c>
      <c r="BW136" s="5" t="n">
        <v>3</v>
      </c>
      <c r="BX136" s="5" t="n">
        <f aca="false">IF(AND(N(BV136)&gt;0,N(BW136)&gt;0),SQRT(2*BV136/BW136),"")</f>
        <v>3.16227766016838</v>
      </c>
      <c r="BY136" s="5" t="n">
        <v>29</v>
      </c>
      <c r="BZ136" s="5"/>
      <c r="CA136" s="5"/>
      <c r="CB136" s="5"/>
      <c r="CC136" s="5" t="n">
        <v>33.2</v>
      </c>
      <c r="CD136" s="5" t="n">
        <v>26</v>
      </c>
      <c r="CE136" s="5"/>
      <c r="CF136" s="5"/>
      <c r="CG136" s="5"/>
      <c r="CH136" s="5"/>
      <c r="CI136" s="5"/>
      <c r="CJ136" s="5" t="n">
        <v>16</v>
      </c>
      <c r="CK136" s="5" t="n">
        <v>56</v>
      </c>
      <c r="CL136" s="5" t="s">
        <v>4945</v>
      </c>
      <c r="CM136" s="5" t="s">
        <v>3057</v>
      </c>
      <c r="CN136" s="5" t="s">
        <v>4946</v>
      </c>
      <c r="CO136" s="5" t="s">
        <v>3059</v>
      </c>
      <c r="CP136" s="5" t="s">
        <v>4947</v>
      </c>
      <c r="CQ136" s="23" t="s">
        <v>4950</v>
      </c>
      <c r="CR136" s="5" t="s">
        <v>1112</v>
      </c>
      <c r="CS136" s="5" t="s">
        <v>4949</v>
      </c>
    </row>
    <row r="137" customFormat="false" ht="14.25" hidden="false" customHeight="true" outlineLevel="0" collapsed="false">
      <c r="A137" s="5" t="n">
        <v>172</v>
      </c>
      <c r="B137" s="5" t="n">
        <v>172</v>
      </c>
      <c r="C137" s="5" t="s">
        <v>1100</v>
      </c>
      <c r="D137" s="5" t="n">
        <v>2005</v>
      </c>
      <c r="E137" s="5" t="s">
        <v>1101</v>
      </c>
      <c r="F137" s="5" t="s">
        <v>3054</v>
      </c>
      <c r="G137" s="5" t="s">
        <v>1105</v>
      </c>
      <c r="H137" s="5" t="n">
        <v>33.2</v>
      </c>
      <c r="I137" s="5" t="n">
        <v>130.5</v>
      </c>
      <c r="J137" s="5" t="s">
        <v>921</v>
      </c>
      <c r="K137" s="5" t="n">
        <v>1989</v>
      </c>
      <c r="L137" s="5" t="s">
        <v>853</v>
      </c>
      <c r="M137" s="5" t="s">
        <v>85</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t="n">
        <v>5.05</v>
      </c>
      <c r="AN137" s="5"/>
      <c r="AO137" s="5"/>
      <c r="AP137" s="5"/>
      <c r="AQ137" s="5"/>
      <c r="AR137" s="5" t="n">
        <v>5.82</v>
      </c>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t="n">
        <v>7</v>
      </c>
      <c r="BW137" s="5" t="n">
        <v>3</v>
      </c>
      <c r="BX137" s="5" t="n">
        <f aca="false">IF(AND(N(BV137)&gt;0,N(BW137)&gt;0),SQRT(2*BV137/BW137),"")</f>
        <v>2.16024689946929</v>
      </c>
      <c r="BY137" s="5" t="n">
        <v>29</v>
      </c>
      <c r="BZ137" s="5"/>
      <c r="CA137" s="5"/>
      <c r="CB137" s="5"/>
      <c r="CC137" s="5" t="n">
        <v>33.2</v>
      </c>
      <c r="CD137" s="5" t="n">
        <v>26</v>
      </c>
      <c r="CE137" s="5"/>
      <c r="CF137" s="5"/>
      <c r="CG137" s="5"/>
      <c r="CH137" s="5"/>
      <c r="CI137" s="5"/>
      <c r="CJ137" s="5" t="n">
        <v>16</v>
      </c>
      <c r="CK137" s="5" t="n">
        <v>56</v>
      </c>
      <c r="CL137" s="5" t="s">
        <v>4945</v>
      </c>
      <c r="CM137" s="5" t="s">
        <v>3057</v>
      </c>
      <c r="CN137" s="5" t="s">
        <v>4946</v>
      </c>
      <c r="CO137" s="5" t="s">
        <v>3059</v>
      </c>
      <c r="CP137" s="5" t="s">
        <v>4947</v>
      </c>
      <c r="CQ137" s="23" t="s">
        <v>4951</v>
      </c>
      <c r="CR137" s="5" t="s">
        <v>1112</v>
      </c>
      <c r="CS137" s="5" t="s">
        <v>4949</v>
      </c>
    </row>
    <row r="138" customFormat="false" ht="14.25" hidden="false" customHeight="true" outlineLevel="0" collapsed="false">
      <c r="A138" s="5" t="n">
        <v>172</v>
      </c>
      <c r="B138" s="5" t="n">
        <v>172</v>
      </c>
      <c r="C138" s="5" t="s">
        <v>1100</v>
      </c>
      <c r="D138" s="5" t="n">
        <v>2005</v>
      </c>
      <c r="E138" s="5" t="s">
        <v>1101</v>
      </c>
      <c r="F138" s="5" t="s">
        <v>3054</v>
      </c>
      <c r="G138" s="5" t="s">
        <v>1105</v>
      </c>
      <c r="H138" s="5" t="n">
        <v>33.2</v>
      </c>
      <c r="I138" s="5" t="n">
        <v>130.5</v>
      </c>
      <c r="J138" s="5" t="s">
        <v>921</v>
      </c>
      <c r="K138" s="5" t="n">
        <v>1992</v>
      </c>
      <c r="L138" s="5" t="s">
        <v>853</v>
      </c>
      <c r="M138" s="5" t="s">
        <v>85</v>
      </c>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t="n">
        <v>5.2</v>
      </c>
      <c r="AN138" s="5"/>
      <c r="AO138" s="5"/>
      <c r="AP138" s="5"/>
      <c r="AQ138" s="5"/>
      <c r="AR138" s="5" t="n">
        <v>6</v>
      </c>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t="n">
        <v>15</v>
      </c>
      <c r="BW138" s="5" t="n">
        <v>3</v>
      </c>
      <c r="BX138" s="5" t="n">
        <f aca="false">IF(AND(N(BV138)&gt;0,N(BW138)&gt;0),SQRT(2*BV138/BW138),"")</f>
        <v>3.16227766016838</v>
      </c>
      <c r="BY138" s="5" t="n">
        <v>29</v>
      </c>
      <c r="BZ138" s="5"/>
      <c r="CA138" s="5"/>
      <c r="CB138" s="5"/>
      <c r="CC138" s="5" t="n">
        <v>33.2</v>
      </c>
      <c r="CD138" s="5" t="n">
        <v>29</v>
      </c>
      <c r="CE138" s="5"/>
      <c r="CF138" s="5"/>
      <c r="CG138" s="5"/>
      <c r="CH138" s="5"/>
      <c r="CI138" s="5"/>
      <c r="CJ138" s="5" t="n">
        <v>16</v>
      </c>
      <c r="CK138" s="5" t="n">
        <v>56</v>
      </c>
      <c r="CL138" s="5" t="s">
        <v>4945</v>
      </c>
      <c r="CM138" s="5" t="s">
        <v>3057</v>
      </c>
      <c r="CN138" s="5" t="s">
        <v>4952</v>
      </c>
      <c r="CO138" s="5" t="s">
        <v>3059</v>
      </c>
      <c r="CP138" s="5" t="s">
        <v>4947</v>
      </c>
      <c r="CQ138" s="23" t="s">
        <v>4948</v>
      </c>
      <c r="CR138" s="5" t="s">
        <v>1112</v>
      </c>
      <c r="CS138" s="5" t="s">
        <v>4949</v>
      </c>
    </row>
    <row r="139" customFormat="false" ht="14.25" hidden="false" customHeight="true" outlineLevel="0" collapsed="false">
      <c r="A139" s="5" t="n">
        <v>172</v>
      </c>
      <c r="B139" s="5" t="n">
        <v>172</v>
      </c>
      <c r="C139" s="5" t="s">
        <v>1100</v>
      </c>
      <c r="D139" s="5" t="n">
        <v>2005</v>
      </c>
      <c r="E139" s="5" t="s">
        <v>1101</v>
      </c>
      <c r="F139" s="5" t="s">
        <v>3054</v>
      </c>
      <c r="G139" s="5" t="s">
        <v>1105</v>
      </c>
      <c r="H139" s="5" t="n">
        <v>33.2</v>
      </c>
      <c r="I139" s="5" t="n">
        <v>130.5</v>
      </c>
      <c r="J139" s="5" t="s">
        <v>921</v>
      </c>
      <c r="K139" s="5" t="n">
        <v>1992</v>
      </c>
      <c r="L139" s="5" t="s">
        <v>853</v>
      </c>
      <c r="M139" s="5" t="s">
        <v>85</v>
      </c>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t="n">
        <v>5.2</v>
      </c>
      <c r="AN139" s="5"/>
      <c r="AO139" s="5"/>
      <c r="AP139" s="5"/>
      <c r="AQ139" s="5"/>
      <c r="AR139" s="5" t="n">
        <v>5.75</v>
      </c>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t="n">
        <v>15</v>
      </c>
      <c r="BW139" s="5" t="n">
        <v>3</v>
      </c>
      <c r="BX139" s="5" t="n">
        <f aca="false">IF(AND(N(BV139)&gt;0,N(BW139)&gt;0),SQRT(2*BV139/BW139),"")</f>
        <v>3.16227766016838</v>
      </c>
      <c r="BY139" s="5" t="n">
        <v>29</v>
      </c>
      <c r="BZ139" s="5"/>
      <c r="CA139" s="5"/>
      <c r="CB139" s="5"/>
      <c r="CC139" s="5" t="n">
        <v>33.2</v>
      </c>
      <c r="CD139" s="5" t="n">
        <v>29</v>
      </c>
      <c r="CE139" s="5"/>
      <c r="CF139" s="5"/>
      <c r="CG139" s="5"/>
      <c r="CH139" s="5"/>
      <c r="CI139" s="5"/>
      <c r="CJ139" s="5" t="n">
        <v>16</v>
      </c>
      <c r="CK139" s="5" t="n">
        <v>56</v>
      </c>
      <c r="CL139" s="5" t="s">
        <v>4945</v>
      </c>
      <c r="CM139" s="5" t="s">
        <v>3057</v>
      </c>
      <c r="CN139" s="5" t="s">
        <v>4952</v>
      </c>
      <c r="CO139" s="5" t="s">
        <v>3059</v>
      </c>
      <c r="CP139" s="5" t="s">
        <v>4947</v>
      </c>
      <c r="CQ139" s="23" t="s">
        <v>4953</v>
      </c>
      <c r="CR139" s="5" t="s">
        <v>1112</v>
      </c>
      <c r="CS139" s="5" t="s">
        <v>4949</v>
      </c>
    </row>
    <row r="140" customFormat="false" ht="14.25" hidden="false" customHeight="true" outlineLevel="0" collapsed="false">
      <c r="A140" s="5" t="n">
        <v>172</v>
      </c>
      <c r="B140" s="5" t="n">
        <v>172</v>
      </c>
      <c r="C140" s="5" t="s">
        <v>1100</v>
      </c>
      <c r="D140" s="5" t="n">
        <v>2005</v>
      </c>
      <c r="E140" s="5" t="s">
        <v>1101</v>
      </c>
      <c r="F140" s="5" t="s">
        <v>3054</v>
      </c>
      <c r="G140" s="5" t="s">
        <v>1105</v>
      </c>
      <c r="H140" s="5" t="n">
        <v>33.2</v>
      </c>
      <c r="I140" s="5" t="n">
        <v>130.5</v>
      </c>
      <c r="J140" s="5" t="s">
        <v>921</v>
      </c>
      <c r="K140" s="5" t="n">
        <v>1993</v>
      </c>
      <c r="L140" s="5" t="s">
        <v>853</v>
      </c>
      <c r="M140" s="5" t="s">
        <v>85</v>
      </c>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t="n">
        <v>3.25</v>
      </c>
      <c r="AN140" s="5"/>
      <c r="AO140" s="5"/>
      <c r="AP140" s="5"/>
      <c r="AQ140" s="5"/>
      <c r="AR140" s="5" t="n">
        <v>3.9</v>
      </c>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t="n">
        <v>15</v>
      </c>
      <c r="BW140" s="5" t="n">
        <v>3</v>
      </c>
      <c r="BX140" s="5" t="n">
        <f aca="false">IF(AND(N(BV140)&gt;0,N(BW140)&gt;0),SQRT(2*BV140/BW140),"")</f>
        <v>3.16227766016838</v>
      </c>
      <c r="BY140" s="5" t="n">
        <v>29</v>
      </c>
      <c r="BZ140" s="5"/>
      <c r="CA140" s="5"/>
      <c r="CB140" s="5"/>
      <c r="CC140" s="5" t="n">
        <v>33.2</v>
      </c>
      <c r="CD140" s="5" t="n">
        <v>30</v>
      </c>
      <c r="CE140" s="5"/>
      <c r="CF140" s="5"/>
      <c r="CG140" s="5"/>
      <c r="CH140" s="5"/>
      <c r="CI140" s="5"/>
      <c r="CJ140" s="5" t="n">
        <v>16</v>
      </c>
      <c r="CK140" s="5" t="n">
        <v>56</v>
      </c>
      <c r="CL140" s="5" t="s">
        <v>4945</v>
      </c>
      <c r="CM140" s="5" t="s">
        <v>3057</v>
      </c>
      <c r="CN140" s="5" t="s">
        <v>4954</v>
      </c>
      <c r="CO140" s="5" t="s">
        <v>3059</v>
      </c>
      <c r="CP140" s="5" t="s">
        <v>4947</v>
      </c>
      <c r="CQ140" s="23" t="s">
        <v>4948</v>
      </c>
      <c r="CR140" s="5" t="s">
        <v>1112</v>
      </c>
      <c r="CS140" s="5" t="s">
        <v>4949</v>
      </c>
    </row>
    <row r="141" customFormat="false" ht="14.25" hidden="false" customHeight="true" outlineLevel="0" collapsed="false">
      <c r="A141" s="5" t="n">
        <v>172</v>
      </c>
      <c r="B141" s="5" t="n">
        <v>172</v>
      </c>
      <c r="C141" s="5" t="s">
        <v>1100</v>
      </c>
      <c r="D141" s="5" t="n">
        <v>2005</v>
      </c>
      <c r="E141" s="5" t="s">
        <v>1101</v>
      </c>
      <c r="F141" s="5" t="s">
        <v>3054</v>
      </c>
      <c r="G141" s="5" t="s">
        <v>1105</v>
      </c>
      <c r="H141" s="5" t="n">
        <v>33.2</v>
      </c>
      <c r="I141" s="5" t="n">
        <v>130.5</v>
      </c>
      <c r="J141" s="5" t="s">
        <v>921</v>
      </c>
      <c r="K141" s="5" t="n">
        <v>1993</v>
      </c>
      <c r="L141" s="5" t="s">
        <v>853</v>
      </c>
      <c r="M141" s="5" t="s">
        <v>85</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t="n">
        <v>3.25</v>
      </c>
      <c r="AN141" s="5"/>
      <c r="AO141" s="5"/>
      <c r="AP141" s="5"/>
      <c r="AQ141" s="5"/>
      <c r="AR141" s="5" t="n">
        <v>4.2</v>
      </c>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t="n">
        <v>15</v>
      </c>
      <c r="BW141" s="5" t="n">
        <v>3</v>
      </c>
      <c r="BX141" s="5" t="n">
        <f aca="false">IF(AND(N(BV141)&gt;0,N(BW141)&gt;0),SQRT(2*BV141/BW141),"")</f>
        <v>3.16227766016838</v>
      </c>
      <c r="BY141" s="5" t="n">
        <v>29</v>
      </c>
      <c r="BZ141" s="5"/>
      <c r="CA141" s="5"/>
      <c r="CB141" s="5"/>
      <c r="CC141" s="5" t="n">
        <v>33.2</v>
      </c>
      <c r="CD141" s="5" t="n">
        <v>30</v>
      </c>
      <c r="CE141" s="5"/>
      <c r="CF141" s="5"/>
      <c r="CG141" s="5"/>
      <c r="CH141" s="5"/>
      <c r="CI141" s="5"/>
      <c r="CJ141" s="5" t="n">
        <v>16</v>
      </c>
      <c r="CK141" s="5" t="n">
        <v>56</v>
      </c>
      <c r="CL141" s="5" t="s">
        <v>4945</v>
      </c>
      <c r="CM141" s="5" t="s">
        <v>3057</v>
      </c>
      <c r="CN141" s="5" t="s">
        <v>4954</v>
      </c>
      <c r="CO141" s="5" t="s">
        <v>3059</v>
      </c>
      <c r="CP141" s="5" t="s">
        <v>4947</v>
      </c>
      <c r="CQ141" s="23" t="s">
        <v>4950</v>
      </c>
      <c r="CR141" s="5" t="s">
        <v>1112</v>
      </c>
      <c r="CS141" s="5" t="s">
        <v>4949</v>
      </c>
    </row>
    <row r="142" customFormat="false" ht="14.25" hidden="false" customHeight="true" outlineLevel="0" collapsed="false">
      <c r="A142" s="5" t="n">
        <v>172</v>
      </c>
      <c r="B142" s="5" t="n">
        <v>172</v>
      </c>
      <c r="C142" s="5" t="s">
        <v>1100</v>
      </c>
      <c r="D142" s="5" t="n">
        <v>2005</v>
      </c>
      <c r="E142" s="5" t="s">
        <v>1101</v>
      </c>
      <c r="F142" s="5" t="s">
        <v>3054</v>
      </c>
      <c r="G142" s="5" t="s">
        <v>1105</v>
      </c>
      <c r="H142" s="5" t="n">
        <v>33.2</v>
      </c>
      <c r="I142" s="5" t="n">
        <v>130.5</v>
      </c>
      <c r="J142" s="5" t="s">
        <v>921</v>
      </c>
      <c r="K142" s="5" t="n">
        <v>1995</v>
      </c>
      <c r="L142" s="5" t="s">
        <v>853</v>
      </c>
      <c r="M142" s="5" t="s">
        <v>85</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t="n">
        <v>5.65</v>
      </c>
      <c r="AN142" s="5"/>
      <c r="AO142" s="5"/>
      <c r="AP142" s="5"/>
      <c r="AQ142" s="5"/>
      <c r="AR142" s="5" t="n">
        <v>5.9</v>
      </c>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t="n">
        <v>15</v>
      </c>
      <c r="BW142" s="5" t="n">
        <v>3</v>
      </c>
      <c r="BX142" s="5" t="n">
        <f aca="false">IF(AND(N(BV142)&gt;0,N(BW142)&gt;0),SQRT(2*BV142/BW142),"")</f>
        <v>3.16227766016838</v>
      </c>
      <c r="BY142" s="5" t="n">
        <v>29</v>
      </c>
      <c r="BZ142" s="5"/>
      <c r="CA142" s="5"/>
      <c r="CB142" s="5"/>
      <c r="CC142" s="5" t="n">
        <v>33.2</v>
      </c>
      <c r="CD142" s="5" t="n">
        <v>32</v>
      </c>
      <c r="CE142" s="5"/>
      <c r="CF142" s="5"/>
      <c r="CG142" s="5"/>
      <c r="CH142" s="5"/>
      <c r="CI142" s="5"/>
      <c r="CJ142" s="5" t="n">
        <v>16</v>
      </c>
      <c r="CK142" s="5" t="n">
        <v>56</v>
      </c>
      <c r="CL142" s="5" t="s">
        <v>4945</v>
      </c>
      <c r="CM142" s="5" t="s">
        <v>3057</v>
      </c>
      <c r="CN142" s="5" t="s">
        <v>4955</v>
      </c>
      <c r="CO142" s="5" t="s">
        <v>3059</v>
      </c>
      <c r="CP142" s="5" t="s">
        <v>4947</v>
      </c>
      <c r="CQ142" s="23" t="s">
        <v>4956</v>
      </c>
      <c r="CR142" s="5" t="s">
        <v>1112</v>
      </c>
      <c r="CS142" s="5" t="s">
        <v>4949</v>
      </c>
    </row>
    <row r="143" customFormat="false" ht="14.25" hidden="false" customHeight="true" outlineLevel="0" collapsed="false">
      <c r="A143" s="5" t="n">
        <v>172</v>
      </c>
      <c r="B143" s="5" t="n">
        <v>172</v>
      </c>
      <c r="C143" s="5" t="s">
        <v>1100</v>
      </c>
      <c r="D143" s="5" t="n">
        <v>2005</v>
      </c>
      <c r="E143" s="5" t="s">
        <v>1101</v>
      </c>
      <c r="F143" s="5" t="s">
        <v>3054</v>
      </c>
      <c r="G143" s="5" t="s">
        <v>1105</v>
      </c>
      <c r="H143" s="5" t="n">
        <v>33.2</v>
      </c>
      <c r="I143" s="5" t="n">
        <v>130.5</v>
      </c>
      <c r="J143" s="5" t="s">
        <v>921</v>
      </c>
      <c r="K143" s="5" t="n">
        <v>1995</v>
      </c>
      <c r="L143" s="5" t="s">
        <v>853</v>
      </c>
      <c r="M143" s="5" t="s">
        <v>85</v>
      </c>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t="n">
        <v>5.65</v>
      </c>
      <c r="AN143" s="5"/>
      <c r="AO143" s="5"/>
      <c r="AP143" s="5"/>
      <c r="AQ143" s="5"/>
      <c r="AR143" s="5" t="n">
        <v>5.7</v>
      </c>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t="n">
        <v>15</v>
      </c>
      <c r="BW143" s="5" t="n">
        <v>3</v>
      </c>
      <c r="BX143" s="5" t="n">
        <f aca="false">IF(AND(N(BV143)&gt;0,N(BW143)&gt;0),SQRT(2*BV143/BW143),"")</f>
        <v>3.16227766016838</v>
      </c>
      <c r="BY143" s="5" t="n">
        <v>29</v>
      </c>
      <c r="BZ143" s="5"/>
      <c r="CA143" s="5"/>
      <c r="CB143" s="5"/>
      <c r="CC143" s="5" t="n">
        <v>33.2</v>
      </c>
      <c r="CD143" s="5" t="n">
        <v>32</v>
      </c>
      <c r="CE143" s="5"/>
      <c r="CF143" s="5"/>
      <c r="CG143" s="5"/>
      <c r="CH143" s="5"/>
      <c r="CI143" s="5"/>
      <c r="CJ143" s="5" t="n">
        <v>16</v>
      </c>
      <c r="CK143" s="5" t="n">
        <v>56</v>
      </c>
      <c r="CL143" s="5" t="s">
        <v>4945</v>
      </c>
      <c r="CM143" s="5" t="s">
        <v>3057</v>
      </c>
      <c r="CN143" s="5" t="s">
        <v>4955</v>
      </c>
      <c r="CO143" s="5" t="s">
        <v>3059</v>
      </c>
      <c r="CP143" s="5" t="s">
        <v>4947</v>
      </c>
      <c r="CQ143" s="23" t="s">
        <v>4957</v>
      </c>
      <c r="CR143" s="5" t="s">
        <v>1112</v>
      </c>
      <c r="CS143" s="5" t="s">
        <v>4949</v>
      </c>
    </row>
    <row r="144" customFormat="false" ht="14.25" hidden="false" customHeight="true" outlineLevel="0" collapsed="false">
      <c r="A144" s="5" t="n">
        <v>172</v>
      </c>
      <c r="B144" s="5" t="n">
        <v>172</v>
      </c>
      <c r="C144" s="5" t="s">
        <v>1100</v>
      </c>
      <c r="D144" s="5" t="n">
        <v>2005</v>
      </c>
      <c r="E144" s="5" t="s">
        <v>1101</v>
      </c>
      <c r="F144" s="5" t="s">
        <v>3054</v>
      </c>
      <c r="G144" s="5" t="s">
        <v>1105</v>
      </c>
      <c r="H144" s="5" t="n">
        <v>33.2</v>
      </c>
      <c r="I144" s="5" t="n">
        <v>130.5</v>
      </c>
      <c r="J144" s="5" t="s">
        <v>921</v>
      </c>
      <c r="K144" s="5" t="n">
        <v>1996</v>
      </c>
      <c r="L144" s="5" t="s">
        <v>853</v>
      </c>
      <c r="M144" s="5" t="s">
        <v>85</v>
      </c>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t="n">
        <v>5.8</v>
      </c>
      <c r="AN144" s="5"/>
      <c r="AO144" s="5"/>
      <c r="AP144" s="5"/>
      <c r="AQ144" s="5"/>
      <c r="AR144" s="5" t="n">
        <v>6.7</v>
      </c>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t="n">
        <v>15</v>
      </c>
      <c r="BW144" s="5" t="n">
        <v>3</v>
      </c>
      <c r="BX144" s="5" t="n">
        <f aca="false">IF(AND(N(BV144)&gt;0,N(BW144)&gt;0),SQRT(2*BV144/BW144),"")</f>
        <v>3.16227766016838</v>
      </c>
      <c r="BY144" s="5" t="n">
        <v>29</v>
      </c>
      <c r="BZ144" s="5"/>
      <c r="CA144" s="5"/>
      <c r="CB144" s="5"/>
      <c r="CC144" s="5" t="n">
        <v>33.2</v>
      </c>
      <c r="CD144" s="5" t="n">
        <v>33</v>
      </c>
      <c r="CE144" s="5"/>
      <c r="CF144" s="5"/>
      <c r="CG144" s="5"/>
      <c r="CH144" s="5"/>
      <c r="CI144" s="5"/>
      <c r="CJ144" s="5" t="n">
        <v>16</v>
      </c>
      <c r="CK144" s="5" t="n">
        <v>56</v>
      </c>
      <c r="CL144" s="5" t="s">
        <v>4945</v>
      </c>
      <c r="CM144" s="5" t="s">
        <v>3057</v>
      </c>
      <c r="CN144" s="5" t="s">
        <v>4958</v>
      </c>
      <c r="CO144" s="5" t="s">
        <v>3059</v>
      </c>
      <c r="CP144" s="5" t="s">
        <v>4947</v>
      </c>
      <c r="CQ144" s="23" t="s">
        <v>4948</v>
      </c>
      <c r="CR144" s="5" t="s">
        <v>1112</v>
      </c>
      <c r="CS144" s="5" t="s">
        <v>4949</v>
      </c>
    </row>
    <row r="145" customFormat="false" ht="14.25" hidden="false" customHeight="true" outlineLevel="0" collapsed="false">
      <c r="A145" s="5" t="n">
        <v>172</v>
      </c>
      <c r="B145" s="5" t="n">
        <v>172</v>
      </c>
      <c r="C145" s="5" t="s">
        <v>1100</v>
      </c>
      <c r="D145" s="5" t="n">
        <v>2005</v>
      </c>
      <c r="E145" s="5" t="s">
        <v>1101</v>
      </c>
      <c r="F145" s="5" t="s">
        <v>3054</v>
      </c>
      <c r="G145" s="5" t="s">
        <v>1105</v>
      </c>
      <c r="H145" s="5" t="n">
        <v>33.2</v>
      </c>
      <c r="I145" s="5" t="n">
        <v>130.5</v>
      </c>
      <c r="J145" s="5" t="s">
        <v>921</v>
      </c>
      <c r="K145" s="5" t="n">
        <v>1996</v>
      </c>
      <c r="L145" s="5" t="s">
        <v>853</v>
      </c>
      <c r="M145" s="5" t="s">
        <v>85</v>
      </c>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t="n">
        <v>5.8</v>
      </c>
      <c r="AN145" s="5"/>
      <c r="AO145" s="5"/>
      <c r="AP145" s="5"/>
      <c r="AQ145" s="5"/>
      <c r="AR145" s="5" t="n">
        <v>6.05</v>
      </c>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t="n">
        <v>15</v>
      </c>
      <c r="BW145" s="5" t="n">
        <v>3</v>
      </c>
      <c r="BX145" s="5" t="n">
        <f aca="false">IF(AND(N(BV145)&gt;0,N(BW145)&gt;0),SQRT(2*BV145/BW145),"")</f>
        <v>3.16227766016838</v>
      </c>
      <c r="BY145" s="5" t="n">
        <v>29</v>
      </c>
      <c r="BZ145" s="5"/>
      <c r="CA145" s="5"/>
      <c r="CB145" s="5"/>
      <c r="CC145" s="5" t="n">
        <v>33.2</v>
      </c>
      <c r="CD145" s="5" t="n">
        <v>33</v>
      </c>
      <c r="CE145" s="5"/>
      <c r="CF145" s="5"/>
      <c r="CG145" s="5"/>
      <c r="CH145" s="5"/>
      <c r="CI145" s="5"/>
      <c r="CJ145" s="5" t="n">
        <v>16</v>
      </c>
      <c r="CK145" s="5" t="n">
        <v>56</v>
      </c>
      <c r="CL145" s="5" t="s">
        <v>4945</v>
      </c>
      <c r="CM145" s="5" t="s">
        <v>3057</v>
      </c>
      <c r="CN145" s="5" t="s">
        <v>4958</v>
      </c>
      <c r="CO145" s="5" t="s">
        <v>3059</v>
      </c>
      <c r="CP145" s="5" t="s">
        <v>4947</v>
      </c>
      <c r="CQ145" s="23" t="s">
        <v>4950</v>
      </c>
      <c r="CR145" s="5" t="s">
        <v>1112</v>
      </c>
      <c r="CS145" s="5" t="s">
        <v>4949</v>
      </c>
    </row>
    <row r="146" customFormat="false" ht="14.25" hidden="false" customHeight="true" outlineLevel="0" collapsed="false">
      <c r="A146" s="5" t="n">
        <v>172</v>
      </c>
      <c r="B146" s="5" t="n">
        <v>172</v>
      </c>
      <c r="C146" s="5" t="s">
        <v>1100</v>
      </c>
      <c r="D146" s="5" t="n">
        <v>2005</v>
      </c>
      <c r="E146" s="5" t="s">
        <v>1101</v>
      </c>
      <c r="F146" s="5" t="s">
        <v>3054</v>
      </c>
      <c r="G146" s="5" t="s">
        <v>1105</v>
      </c>
      <c r="H146" s="5" t="n">
        <v>33.2</v>
      </c>
      <c r="I146" s="5" t="n">
        <v>130.5</v>
      </c>
      <c r="J146" s="5" t="s">
        <v>921</v>
      </c>
      <c r="K146" s="5" t="n">
        <v>1996</v>
      </c>
      <c r="L146" s="5" t="s">
        <v>853</v>
      </c>
      <c r="M146" s="5" t="s">
        <v>85</v>
      </c>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t="n">
        <v>5.8</v>
      </c>
      <c r="AN146" s="5"/>
      <c r="AO146" s="5"/>
      <c r="AP146" s="5"/>
      <c r="AQ146" s="5"/>
      <c r="AR146" s="5" t="n">
        <v>6.4</v>
      </c>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t="n">
        <v>7</v>
      </c>
      <c r="BW146" s="5" t="n">
        <v>3</v>
      </c>
      <c r="BX146" s="5" t="n">
        <f aca="false">IF(AND(N(BV146)&gt;0,N(BW146)&gt;0),SQRT(2*BV146/BW146),"")</f>
        <v>2.16024689946929</v>
      </c>
      <c r="BY146" s="5" t="n">
        <v>29</v>
      </c>
      <c r="BZ146" s="5"/>
      <c r="CA146" s="5"/>
      <c r="CB146" s="5"/>
      <c r="CC146" s="5" t="n">
        <v>33.2</v>
      </c>
      <c r="CD146" s="5" t="n">
        <v>33</v>
      </c>
      <c r="CE146" s="5"/>
      <c r="CF146" s="5"/>
      <c r="CG146" s="5"/>
      <c r="CH146" s="5"/>
      <c r="CI146" s="5"/>
      <c r="CJ146" s="5" t="n">
        <v>16</v>
      </c>
      <c r="CK146" s="5" t="n">
        <v>56</v>
      </c>
      <c r="CL146" s="5" t="s">
        <v>4945</v>
      </c>
      <c r="CM146" s="5" t="s">
        <v>3057</v>
      </c>
      <c r="CN146" s="5" t="s">
        <v>4958</v>
      </c>
      <c r="CO146" s="5" t="s">
        <v>3059</v>
      </c>
      <c r="CP146" s="5" t="s">
        <v>4947</v>
      </c>
      <c r="CQ146" s="23" t="s">
        <v>4951</v>
      </c>
      <c r="CR146" s="5" t="s">
        <v>1112</v>
      </c>
      <c r="CS146" s="5" t="s">
        <v>4949</v>
      </c>
    </row>
    <row r="147" customFormat="false" ht="14.25" hidden="false" customHeight="true" outlineLevel="0" collapsed="false">
      <c r="A147" s="5" t="n">
        <v>172</v>
      </c>
      <c r="B147" s="5" t="n">
        <v>172</v>
      </c>
      <c r="C147" s="5" t="s">
        <v>1100</v>
      </c>
      <c r="D147" s="5" t="n">
        <v>2005</v>
      </c>
      <c r="E147" s="5" t="s">
        <v>1101</v>
      </c>
      <c r="F147" s="5" t="s">
        <v>3054</v>
      </c>
      <c r="G147" s="5" t="s">
        <v>1105</v>
      </c>
      <c r="H147" s="5" t="n">
        <v>33.2</v>
      </c>
      <c r="I147" s="5" t="n">
        <v>130.5</v>
      </c>
      <c r="J147" s="5" t="s">
        <v>921</v>
      </c>
      <c r="K147" s="5" t="n">
        <v>1997</v>
      </c>
      <c r="L147" s="5" t="s">
        <v>853</v>
      </c>
      <c r="M147" s="5" t="s">
        <v>85</v>
      </c>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t="n">
        <v>5.65</v>
      </c>
      <c r="AN147" s="5"/>
      <c r="AO147" s="5"/>
      <c r="AP147" s="5"/>
      <c r="AQ147" s="5"/>
      <c r="AR147" s="5" t="n">
        <v>5.85</v>
      </c>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t="n">
        <v>15</v>
      </c>
      <c r="BW147" s="5" t="n">
        <v>3</v>
      </c>
      <c r="BX147" s="5" t="n">
        <f aca="false">IF(AND(N(BV147)&gt;0,N(BW147)&gt;0),SQRT(2*BV147/BW147),"")</f>
        <v>3.16227766016838</v>
      </c>
      <c r="BY147" s="5" t="n">
        <v>29</v>
      </c>
      <c r="BZ147" s="5"/>
      <c r="CA147" s="5"/>
      <c r="CB147" s="5"/>
      <c r="CC147" s="5" t="n">
        <v>33.2</v>
      </c>
      <c r="CD147" s="5" t="n">
        <v>34</v>
      </c>
      <c r="CE147" s="5"/>
      <c r="CF147" s="5"/>
      <c r="CG147" s="5"/>
      <c r="CH147" s="5"/>
      <c r="CI147" s="5"/>
      <c r="CJ147" s="5" t="n">
        <v>16</v>
      </c>
      <c r="CK147" s="5" t="n">
        <v>56</v>
      </c>
      <c r="CL147" s="5" t="s">
        <v>4945</v>
      </c>
      <c r="CM147" s="5" t="s">
        <v>3057</v>
      </c>
      <c r="CN147" s="5" t="s">
        <v>4959</v>
      </c>
      <c r="CO147" s="5" t="s">
        <v>3059</v>
      </c>
      <c r="CP147" s="5" t="s">
        <v>4947</v>
      </c>
      <c r="CQ147" s="23" t="s">
        <v>4956</v>
      </c>
      <c r="CR147" s="5" t="s">
        <v>1112</v>
      </c>
      <c r="CS147" s="5" t="s">
        <v>4949</v>
      </c>
    </row>
    <row r="148" customFormat="false" ht="14.25" hidden="false" customHeight="true" outlineLevel="0" collapsed="false">
      <c r="A148" s="5" t="n">
        <v>172</v>
      </c>
      <c r="B148" s="5" t="n">
        <v>172</v>
      </c>
      <c r="C148" s="5" t="s">
        <v>1100</v>
      </c>
      <c r="D148" s="5" t="n">
        <v>2005</v>
      </c>
      <c r="E148" s="5" t="s">
        <v>1101</v>
      </c>
      <c r="F148" s="5" t="s">
        <v>3054</v>
      </c>
      <c r="G148" s="5" t="s">
        <v>1105</v>
      </c>
      <c r="H148" s="5" t="n">
        <v>33.2</v>
      </c>
      <c r="I148" s="5" t="n">
        <v>130.5</v>
      </c>
      <c r="J148" s="5" t="s">
        <v>921</v>
      </c>
      <c r="K148" s="5" t="n">
        <v>1997</v>
      </c>
      <c r="L148" s="5" t="s">
        <v>853</v>
      </c>
      <c r="M148" s="5" t="s">
        <v>85</v>
      </c>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t="n">
        <v>5.65</v>
      </c>
      <c r="AN148" s="5"/>
      <c r="AO148" s="5"/>
      <c r="AP148" s="5"/>
      <c r="AQ148" s="5"/>
      <c r="AR148" s="5" t="n">
        <v>5.85</v>
      </c>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t="n">
        <v>15</v>
      </c>
      <c r="BW148" s="5" t="n">
        <v>3</v>
      </c>
      <c r="BX148" s="5" t="n">
        <f aca="false">IF(AND(N(BV148)&gt;0,N(BW148)&gt;0),SQRT(2*BV148/BW148),"")</f>
        <v>3.16227766016838</v>
      </c>
      <c r="BY148" s="5" t="n">
        <v>29</v>
      </c>
      <c r="BZ148" s="5"/>
      <c r="CA148" s="5"/>
      <c r="CB148" s="5"/>
      <c r="CC148" s="5" t="n">
        <v>33.2</v>
      </c>
      <c r="CD148" s="5" t="n">
        <v>34</v>
      </c>
      <c r="CE148" s="5"/>
      <c r="CF148" s="5"/>
      <c r="CG148" s="5"/>
      <c r="CH148" s="5"/>
      <c r="CI148" s="5"/>
      <c r="CJ148" s="5" t="n">
        <v>16</v>
      </c>
      <c r="CK148" s="5" t="n">
        <v>56</v>
      </c>
      <c r="CL148" s="5" t="s">
        <v>4945</v>
      </c>
      <c r="CM148" s="5" t="s">
        <v>3057</v>
      </c>
      <c r="CN148" s="5" t="s">
        <v>4959</v>
      </c>
      <c r="CO148" s="5" t="s">
        <v>3059</v>
      </c>
      <c r="CP148" s="5" t="s">
        <v>4947</v>
      </c>
      <c r="CQ148" s="23" t="s">
        <v>4957</v>
      </c>
      <c r="CR148" s="5" t="s">
        <v>1112</v>
      </c>
      <c r="CS148" s="5" t="s">
        <v>4949</v>
      </c>
    </row>
    <row r="149" customFormat="false" ht="14.25" hidden="false" customHeight="true" outlineLevel="0" collapsed="false">
      <c r="A149" s="5" t="n">
        <v>172</v>
      </c>
      <c r="B149" s="5" t="n">
        <v>172</v>
      </c>
      <c r="C149" s="5" t="s">
        <v>1100</v>
      </c>
      <c r="D149" s="5" t="n">
        <v>2005</v>
      </c>
      <c r="E149" s="5" t="s">
        <v>1101</v>
      </c>
      <c r="F149" s="5" t="s">
        <v>3054</v>
      </c>
      <c r="G149" s="5" t="s">
        <v>1105</v>
      </c>
      <c r="H149" s="5" t="n">
        <v>33.2</v>
      </c>
      <c r="I149" s="5" t="n">
        <v>130.5</v>
      </c>
      <c r="J149" s="5" t="s">
        <v>921</v>
      </c>
      <c r="K149" s="5" t="n">
        <v>1998</v>
      </c>
      <c r="L149" s="5" t="s">
        <v>853</v>
      </c>
      <c r="M149" s="5" t="s">
        <v>85</v>
      </c>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t="n">
        <v>5.25</v>
      </c>
      <c r="AN149" s="5"/>
      <c r="AO149" s="5"/>
      <c r="AP149" s="5"/>
      <c r="AQ149" s="5"/>
      <c r="AR149" s="5" t="n">
        <v>5.75</v>
      </c>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t="n">
        <v>15</v>
      </c>
      <c r="BW149" s="5" t="n">
        <v>3</v>
      </c>
      <c r="BX149" s="5" t="n">
        <f aca="false">IF(AND(N(BV149)&gt;0,N(BW149)&gt;0),SQRT(2*BV149/BW149),"")</f>
        <v>3.16227766016838</v>
      </c>
      <c r="BY149" s="5" t="n">
        <v>29</v>
      </c>
      <c r="BZ149" s="5"/>
      <c r="CA149" s="5"/>
      <c r="CB149" s="5"/>
      <c r="CC149" s="5" t="n">
        <v>33.2</v>
      </c>
      <c r="CD149" s="5" t="n">
        <v>35</v>
      </c>
      <c r="CE149" s="5"/>
      <c r="CF149" s="5"/>
      <c r="CG149" s="5"/>
      <c r="CH149" s="5"/>
      <c r="CI149" s="5"/>
      <c r="CJ149" s="5" t="n">
        <v>16</v>
      </c>
      <c r="CK149" s="5" t="n">
        <v>56</v>
      </c>
      <c r="CL149" s="5" t="s">
        <v>4945</v>
      </c>
      <c r="CM149" s="5" t="s">
        <v>3057</v>
      </c>
      <c r="CN149" s="5" t="s">
        <v>4960</v>
      </c>
      <c r="CO149" s="5" t="s">
        <v>3059</v>
      </c>
      <c r="CP149" s="5" t="s">
        <v>4947</v>
      </c>
      <c r="CQ149" s="23" t="s">
        <v>4948</v>
      </c>
      <c r="CR149" s="5" t="s">
        <v>1112</v>
      </c>
      <c r="CS149" s="5" t="s">
        <v>4949</v>
      </c>
    </row>
    <row r="150" customFormat="false" ht="14.25" hidden="false" customHeight="true" outlineLevel="0" collapsed="false">
      <c r="A150" s="5" t="n">
        <v>172</v>
      </c>
      <c r="B150" s="5" t="n">
        <v>172</v>
      </c>
      <c r="C150" s="5" t="s">
        <v>1100</v>
      </c>
      <c r="D150" s="5" t="n">
        <v>2005</v>
      </c>
      <c r="E150" s="5" t="s">
        <v>1101</v>
      </c>
      <c r="F150" s="5" t="s">
        <v>3054</v>
      </c>
      <c r="G150" s="5" t="s">
        <v>1105</v>
      </c>
      <c r="H150" s="5" t="n">
        <v>33.2</v>
      </c>
      <c r="I150" s="5" t="n">
        <v>130.5</v>
      </c>
      <c r="J150" s="5" t="s">
        <v>921</v>
      </c>
      <c r="K150" s="5" t="n">
        <v>1998</v>
      </c>
      <c r="L150" s="5" t="s">
        <v>853</v>
      </c>
      <c r="M150" s="5" t="s">
        <v>85</v>
      </c>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t="n">
        <v>5.25</v>
      </c>
      <c r="AN150" s="5"/>
      <c r="AO150" s="5"/>
      <c r="AP150" s="5"/>
      <c r="AQ150" s="5"/>
      <c r="AR150" s="5" t="n">
        <v>5.75</v>
      </c>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t="n">
        <v>15</v>
      </c>
      <c r="BW150" s="5" t="n">
        <v>3</v>
      </c>
      <c r="BX150" s="5" t="n">
        <f aca="false">IF(AND(N(BV150)&gt;0,N(BW150)&gt;0),SQRT(2*BV150/BW150),"")</f>
        <v>3.16227766016838</v>
      </c>
      <c r="BY150" s="5" t="n">
        <v>29</v>
      </c>
      <c r="BZ150" s="5"/>
      <c r="CA150" s="5"/>
      <c r="CB150" s="5"/>
      <c r="CC150" s="5" t="n">
        <v>33.2</v>
      </c>
      <c r="CD150" s="5" t="n">
        <v>35</v>
      </c>
      <c r="CE150" s="5"/>
      <c r="CF150" s="5"/>
      <c r="CG150" s="5"/>
      <c r="CH150" s="5"/>
      <c r="CI150" s="5"/>
      <c r="CJ150" s="5" t="n">
        <v>16</v>
      </c>
      <c r="CK150" s="5" t="n">
        <v>56</v>
      </c>
      <c r="CL150" s="5" t="s">
        <v>4945</v>
      </c>
      <c r="CM150" s="5" t="s">
        <v>3057</v>
      </c>
      <c r="CN150" s="5" t="s">
        <v>4960</v>
      </c>
      <c r="CO150" s="5" t="s">
        <v>3059</v>
      </c>
      <c r="CP150" s="5" t="s">
        <v>4947</v>
      </c>
      <c r="CQ150" s="23" t="s">
        <v>4953</v>
      </c>
      <c r="CR150" s="5" t="s">
        <v>1112</v>
      </c>
      <c r="CS150" s="5" t="s">
        <v>4949</v>
      </c>
    </row>
    <row r="151" customFormat="false" ht="14.25" hidden="false" customHeight="true" outlineLevel="0" collapsed="false">
      <c r="A151" s="5" t="n">
        <v>172</v>
      </c>
      <c r="B151" s="5" t="n">
        <v>172</v>
      </c>
      <c r="C151" s="5" t="s">
        <v>1100</v>
      </c>
      <c r="D151" s="5" t="n">
        <v>2005</v>
      </c>
      <c r="E151" s="5" t="s">
        <v>1101</v>
      </c>
      <c r="F151" s="5" t="s">
        <v>3054</v>
      </c>
      <c r="G151" s="5" t="s">
        <v>1105</v>
      </c>
      <c r="H151" s="5" t="n">
        <v>33.2</v>
      </c>
      <c r="I151" s="5" t="n">
        <v>130.5</v>
      </c>
      <c r="J151" s="5" t="s">
        <v>921</v>
      </c>
      <c r="K151" s="5" t="n">
        <v>1999</v>
      </c>
      <c r="L151" s="5" t="s">
        <v>853</v>
      </c>
      <c r="M151" s="5" t="s">
        <v>85</v>
      </c>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t="n">
        <v>4.35</v>
      </c>
      <c r="AN151" s="5"/>
      <c r="AO151" s="5"/>
      <c r="AP151" s="5"/>
      <c r="AQ151" s="5"/>
      <c r="AR151" s="5" t="n">
        <v>4.9</v>
      </c>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t="n">
        <v>15</v>
      </c>
      <c r="BW151" s="5" t="n">
        <v>3</v>
      </c>
      <c r="BX151" s="5" t="n">
        <f aca="false">IF(AND(N(BV151)&gt;0,N(BW151)&gt;0),SQRT(2*BV151/BW151),"")</f>
        <v>3.16227766016838</v>
      </c>
      <c r="BY151" s="5" t="n">
        <v>29</v>
      </c>
      <c r="BZ151" s="5"/>
      <c r="CA151" s="5"/>
      <c r="CB151" s="5"/>
      <c r="CC151" s="5" t="n">
        <v>33.2</v>
      </c>
      <c r="CD151" s="5" t="n">
        <v>36</v>
      </c>
      <c r="CE151" s="5"/>
      <c r="CF151" s="5"/>
      <c r="CG151" s="5"/>
      <c r="CH151" s="5"/>
      <c r="CI151" s="5"/>
      <c r="CJ151" s="5" t="n">
        <v>16</v>
      </c>
      <c r="CK151" s="5" t="n">
        <v>56</v>
      </c>
      <c r="CL151" s="5" t="s">
        <v>4945</v>
      </c>
      <c r="CM151" s="5" t="s">
        <v>3057</v>
      </c>
      <c r="CN151" s="5" t="s">
        <v>4961</v>
      </c>
      <c r="CO151" s="5" t="s">
        <v>3059</v>
      </c>
      <c r="CP151" s="5" t="s">
        <v>4947</v>
      </c>
      <c r="CQ151" s="23" t="s">
        <v>4948</v>
      </c>
      <c r="CR151" s="5" t="s">
        <v>1112</v>
      </c>
      <c r="CS151" s="5" t="s">
        <v>4949</v>
      </c>
    </row>
    <row r="152" customFormat="false" ht="14.25" hidden="false" customHeight="true" outlineLevel="0" collapsed="false">
      <c r="A152" s="5" t="n">
        <v>172</v>
      </c>
      <c r="B152" s="5" t="n">
        <v>172</v>
      </c>
      <c r="C152" s="5" t="s">
        <v>1100</v>
      </c>
      <c r="D152" s="5" t="n">
        <v>2005</v>
      </c>
      <c r="E152" s="5" t="s">
        <v>1101</v>
      </c>
      <c r="F152" s="5" t="s">
        <v>3054</v>
      </c>
      <c r="G152" s="5" t="s">
        <v>1105</v>
      </c>
      <c r="H152" s="5" t="n">
        <v>33.2</v>
      </c>
      <c r="I152" s="5" t="n">
        <v>130.5</v>
      </c>
      <c r="J152" s="5" t="s">
        <v>921</v>
      </c>
      <c r="K152" s="5" t="n">
        <v>1999</v>
      </c>
      <c r="L152" s="5" t="s">
        <v>853</v>
      </c>
      <c r="M152" s="5" t="s">
        <v>85</v>
      </c>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t="n">
        <v>4.35</v>
      </c>
      <c r="AN152" s="5"/>
      <c r="AO152" s="5"/>
      <c r="AP152" s="5"/>
      <c r="AQ152" s="5"/>
      <c r="AR152" s="5" t="n">
        <v>4.55</v>
      </c>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t="n">
        <v>15</v>
      </c>
      <c r="BW152" s="5" t="n">
        <v>3</v>
      </c>
      <c r="BX152" s="5" t="n">
        <f aca="false">IF(AND(N(BV152)&gt;0,N(BW152)&gt;0),SQRT(2*BV152/BW152),"")</f>
        <v>3.16227766016838</v>
      </c>
      <c r="BY152" s="5" t="n">
        <v>29</v>
      </c>
      <c r="BZ152" s="5"/>
      <c r="CA152" s="5"/>
      <c r="CB152" s="5"/>
      <c r="CC152" s="5" t="n">
        <v>33.2</v>
      </c>
      <c r="CD152" s="5" t="n">
        <v>36</v>
      </c>
      <c r="CE152" s="5"/>
      <c r="CF152" s="5"/>
      <c r="CG152" s="5"/>
      <c r="CH152" s="5"/>
      <c r="CI152" s="5"/>
      <c r="CJ152" s="5" t="n">
        <v>16</v>
      </c>
      <c r="CK152" s="5" t="n">
        <v>56</v>
      </c>
      <c r="CL152" s="5" t="s">
        <v>4945</v>
      </c>
      <c r="CM152" s="5" t="s">
        <v>3057</v>
      </c>
      <c r="CN152" s="5" t="s">
        <v>4961</v>
      </c>
      <c r="CO152" s="5" t="s">
        <v>3059</v>
      </c>
      <c r="CP152" s="5" t="s">
        <v>4947</v>
      </c>
      <c r="CQ152" s="23" t="s">
        <v>4950</v>
      </c>
      <c r="CR152" s="5" t="s">
        <v>1112</v>
      </c>
      <c r="CS152" s="5" t="s">
        <v>4949</v>
      </c>
    </row>
    <row r="153" customFormat="false" ht="14.25" hidden="false" customHeight="true" outlineLevel="0" collapsed="false">
      <c r="A153" s="5" t="n">
        <v>172</v>
      </c>
      <c r="B153" s="5" t="n">
        <v>172</v>
      </c>
      <c r="C153" s="5" t="s">
        <v>1100</v>
      </c>
      <c r="D153" s="5" t="n">
        <v>2005</v>
      </c>
      <c r="E153" s="5" t="s">
        <v>1101</v>
      </c>
      <c r="F153" s="5" t="s">
        <v>3054</v>
      </c>
      <c r="G153" s="5" t="s">
        <v>1105</v>
      </c>
      <c r="H153" s="5" t="n">
        <v>33.2</v>
      </c>
      <c r="I153" s="5" t="n">
        <v>130.5</v>
      </c>
      <c r="J153" s="5" t="s">
        <v>921</v>
      </c>
      <c r="K153" s="5" t="n">
        <v>2000</v>
      </c>
      <c r="L153" s="5" t="s">
        <v>853</v>
      </c>
      <c r="M153" s="5" t="s">
        <v>85</v>
      </c>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t="n">
        <v>5.65</v>
      </c>
      <c r="AN153" s="5"/>
      <c r="AO153" s="5"/>
      <c r="AP153" s="5"/>
      <c r="AQ153" s="5"/>
      <c r="AR153" s="5" t="n">
        <v>6.1</v>
      </c>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t="n">
        <v>15</v>
      </c>
      <c r="BW153" s="5" t="n">
        <v>3</v>
      </c>
      <c r="BX153" s="5" t="n">
        <f aca="false">IF(AND(N(BV153)&gt;0,N(BW153)&gt;0),SQRT(2*BV153/BW153),"")</f>
        <v>3.16227766016838</v>
      </c>
      <c r="BY153" s="5" t="n">
        <v>29</v>
      </c>
      <c r="BZ153" s="5"/>
      <c r="CA153" s="5"/>
      <c r="CB153" s="5"/>
      <c r="CC153" s="5" t="n">
        <v>33.2</v>
      </c>
      <c r="CD153" s="5" t="n">
        <v>37</v>
      </c>
      <c r="CE153" s="5"/>
      <c r="CF153" s="5"/>
      <c r="CG153" s="5"/>
      <c r="CH153" s="5"/>
      <c r="CI153" s="5"/>
      <c r="CJ153" s="5" t="n">
        <v>16</v>
      </c>
      <c r="CK153" s="5" t="n">
        <v>56</v>
      </c>
      <c r="CL153" s="5" t="s">
        <v>4945</v>
      </c>
      <c r="CM153" s="5" t="s">
        <v>3057</v>
      </c>
      <c r="CN153" s="5" t="s">
        <v>4962</v>
      </c>
      <c r="CO153" s="5" t="s">
        <v>3059</v>
      </c>
      <c r="CP153" s="5" t="s">
        <v>4947</v>
      </c>
      <c r="CQ153" s="23" t="s">
        <v>4948</v>
      </c>
      <c r="CR153" s="5" t="s">
        <v>1112</v>
      </c>
      <c r="CS153" s="5" t="s">
        <v>4949</v>
      </c>
    </row>
    <row r="154" customFormat="false" ht="14.25" hidden="false" customHeight="true" outlineLevel="0" collapsed="false">
      <c r="A154" s="5" t="n">
        <v>172</v>
      </c>
      <c r="B154" s="5" t="n">
        <v>172</v>
      </c>
      <c r="C154" s="5" t="s">
        <v>1100</v>
      </c>
      <c r="D154" s="5" t="n">
        <v>2005</v>
      </c>
      <c r="E154" s="5" t="s">
        <v>1101</v>
      </c>
      <c r="F154" s="5" t="s">
        <v>3054</v>
      </c>
      <c r="G154" s="5" t="s">
        <v>1105</v>
      </c>
      <c r="H154" s="5" t="n">
        <v>33.2</v>
      </c>
      <c r="I154" s="5" t="n">
        <v>130.5</v>
      </c>
      <c r="J154" s="5" t="s">
        <v>921</v>
      </c>
      <c r="K154" s="5" t="n">
        <v>2000</v>
      </c>
      <c r="L154" s="5" t="s">
        <v>853</v>
      </c>
      <c r="M154" s="5" t="s">
        <v>85</v>
      </c>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t="n">
        <v>5.65</v>
      </c>
      <c r="AN154" s="5"/>
      <c r="AO154" s="5"/>
      <c r="AP154" s="5"/>
      <c r="AQ154" s="5"/>
      <c r="AR154" s="5" t="n">
        <v>6.1</v>
      </c>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t="n">
        <v>15</v>
      </c>
      <c r="BW154" s="5" t="n">
        <v>3</v>
      </c>
      <c r="BX154" s="5" t="n">
        <f aca="false">IF(AND(N(BV154)&gt;0,N(BW154)&gt;0),SQRT(2*BV154/BW154),"")</f>
        <v>3.16227766016838</v>
      </c>
      <c r="BY154" s="5" t="n">
        <v>29</v>
      </c>
      <c r="BZ154" s="5"/>
      <c r="CA154" s="5"/>
      <c r="CB154" s="5"/>
      <c r="CC154" s="5" t="n">
        <v>33.2</v>
      </c>
      <c r="CD154" s="5" t="n">
        <v>37</v>
      </c>
      <c r="CE154" s="5"/>
      <c r="CF154" s="5"/>
      <c r="CG154" s="5"/>
      <c r="CH154" s="5"/>
      <c r="CI154" s="5"/>
      <c r="CJ154" s="5" t="n">
        <v>16</v>
      </c>
      <c r="CK154" s="5" t="n">
        <v>56</v>
      </c>
      <c r="CL154" s="5" t="s">
        <v>4945</v>
      </c>
      <c r="CM154" s="5" t="s">
        <v>3057</v>
      </c>
      <c r="CN154" s="5" t="s">
        <v>4962</v>
      </c>
      <c r="CO154" s="5" t="s">
        <v>3059</v>
      </c>
      <c r="CP154" s="5" t="s">
        <v>4947</v>
      </c>
      <c r="CQ154" s="23" t="s">
        <v>4953</v>
      </c>
      <c r="CR154" s="5" t="s">
        <v>1112</v>
      </c>
      <c r="CS154" s="5" t="s">
        <v>4949</v>
      </c>
    </row>
    <row r="155" customFormat="false" ht="14.25" hidden="false" customHeight="true" outlineLevel="0" collapsed="false">
      <c r="A155" s="5" t="n">
        <v>172</v>
      </c>
      <c r="B155" s="5" t="n">
        <v>172</v>
      </c>
      <c r="C155" s="5" t="s">
        <v>1100</v>
      </c>
      <c r="D155" s="5" t="n">
        <v>2005</v>
      </c>
      <c r="E155" s="5" t="s">
        <v>1101</v>
      </c>
      <c r="F155" s="5" t="s">
        <v>3054</v>
      </c>
      <c r="G155" s="5" t="s">
        <v>1105</v>
      </c>
      <c r="H155" s="5" t="n">
        <v>33.2</v>
      </c>
      <c r="I155" s="5" t="n">
        <v>130.5</v>
      </c>
      <c r="J155" s="5" t="s">
        <v>921</v>
      </c>
      <c r="K155" s="5" t="n">
        <v>2000</v>
      </c>
      <c r="L155" s="5" t="s">
        <v>853</v>
      </c>
      <c r="M155" s="5" t="s">
        <v>85</v>
      </c>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t="n">
        <v>5.65</v>
      </c>
      <c r="AN155" s="5"/>
      <c r="AO155" s="5"/>
      <c r="AP155" s="5"/>
      <c r="AQ155" s="5"/>
      <c r="AR155" s="5" t="n">
        <v>6.4</v>
      </c>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t="n">
        <v>7</v>
      </c>
      <c r="BW155" s="5" t="n">
        <v>3</v>
      </c>
      <c r="BX155" s="5" t="n">
        <f aca="false">IF(AND(N(BV155)&gt;0,N(BW155)&gt;0),SQRT(2*BV155/BW155),"")</f>
        <v>2.16024689946929</v>
      </c>
      <c r="BY155" s="5" t="n">
        <v>29</v>
      </c>
      <c r="BZ155" s="5"/>
      <c r="CA155" s="5"/>
      <c r="CB155" s="5"/>
      <c r="CC155" s="5" t="n">
        <v>33.2</v>
      </c>
      <c r="CD155" s="5" t="n">
        <v>37</v>
      </c>
      <c r="CE155" s="5"/>
      <c r="CF155" s="5"/>
      <c r="CG155" s="5"/>
      <c r="CH155" s="5"/>
      <c r="CI155" s="5"/>
      <c r="CJ155" s="5" t="n">
        <v>16</v>
      </c>
      <c r="CK155" s="5" t="n">
        <v>56</v>
      </c>
      <c r="CL155" s="5" t="s">
        <v>4945</v>
      </c>
      <c r="CM155" s="5" t="s">
        <v>3057</v>
      </c>
      <c r="CN155" s="5" t="s">
        <v>4962</v>
      </c>
      <c r="CO155" s="5" t="s">
        <v>3059</v>
      </c>
      <c r="CP155" s="5" t="s">
        <v>4947</v>
      </c>
      <c r="CQ155" s="23" t="s">
        <v>4951</v>
      </c>
      <c r="CR155" s="5" t="s">
        <v>1112</v>
      </c>
      <c r="CS155" s="5" t="s">
        <v>4949</v>
      </c>
    </row>
    <row r="156" customFormat="false" ht="14.25" hidden="false" customHeight="true" outlineLevel="0" collapsed="false">
      <c r="A156" s="5" t="n">
        <v>172</v>
      </c>
      <c r="B156" s="5" t="n">
        <v>172</v>
      </c>
      <c r="C156" s="5" t="s">
        <v>1100</v>
      </c>
      <c r="D156" s="5" t="n">
        <v>2005</v>
      </c>
      <c r="E156" s="5" t="s">
        <v>1101</v>
      </c>
      <c r="F156" s="5" t="s">
        <v>3054</v>
      </c>
      <c r="G156" s="5" t="s">
        <v>1105</v>
      </c>
      <c r="H156" s="5" t="n">
        <v>33.2</v>
      </c>
      <c r="I156" s="5" t="n">
        <v>130.5</v>
      </c>
      <c r="J156" s="5" t="s">
        <v>921</v>
      </c>
      <c r="K156" s="5" t="n">
        <v>2001</v>
      </c>
      <c r="L156" s="5" t="s">
        <v>853</v>
      </c>
      <c r="M156" s="5" t="s">
        <v>85</v>
      </c>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t="n">
        <v>5.85</v>
      </c>
      <c r="AN156" s="5"/>
      <c r="AO156" s="5"/>
      <c r="AP156" s="5"/>
      <c r="AQ156" s="5"/>
      <c r="AR156" s="5" t="n">
        <v>7</v>
      </c>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t="n">
        <v>15</v>
      </c>
      <c r="BW156" s="5" t="n">
        <v>3</v>
      </c>
      <c r="BX156" s="5" t="n">
        <f aca="false">IF(AND(N(BV156)&gt;0,N(BW156)&gt;0),SQRT(2*BV156/BW156),"")</f>
        <v>3.16227766016838</v>
      </c>
      <c r="BY156" s="5" t="n">
        <v>29</v>
      </c>
      <c r="BZ156" s="5"/>
      <c r="CA156" s="5"/>
      <c r="CB156" s="5"/>
      <c r="CC156" s="5" t="n">
        <v>33.2</v>
      </c>
      <c r="CD156" s="5" t="n">
        <v>38</v>
      </c>
      <c r="CE156" s="5"/>
      <c r="CF156" s="5"/>
      <c r="CG156" s="5"/>
      <c r="CH156" s="5"/>
      <c r="CI156" s="5"/>
      <c r="CJ156" s="5" t="n">
        <v>16</v>
      </c>
      <c r="CK156" s="5" t="n">
        <v>56</v>
      </c>
      <c r="CL156" s="5" t="s">
        <v>4945</v>
      </c>
      <c r="CM156" s="5" t="s">
        <v>3057</v>
      </c>
      <c r="CN156" s="5" t="s">
        <v>4963</v>
      </c>
      <c r="CO156" s="5" t="s">
        <v>3059</v>
      </c>
      <c r="CP156" s="5" t="s">
        <v>4947</v>
      </c>
      <c r="CQ156" s="23" t="s">
        <v>4948</v>
      </c>
      <c r="CR156" s="5" t="s">
        <v>1112</v>
      </c>
      <c r="CS156" s="5" t="s">
        <v>4949</v>
      </c>
    </row>
    <row r="157" customFormat="false" ht="14.25" hidden="false" customHeight="true" outlineLevel="0" collapsed="false">
      <c r="A157" s="5" t="n">
        <v>172</v>
      </c>
      <c r="B157" s="5" t="n">
        <v>172</v>
      </c>
      <c r="C157" s="5" t="s">
        <v>1100</v>
      </c>
      <c r="D157" s="5" t="n">
        <v>2005</v>
      </c>
      <c r="E157" s="5" t="s">
        <v>1101</v>
      </c>
      <c r="F157" s="5" t="s">
        <v>3054</v>
      </c>
      <c r="G157" s="5" t="s">
        <v>1105</v>
      </c>
      <c r="H157" s="5" t="n">
        <v>33.2</v>
      </c>
      <c r="I157" s="5" t="n">
        <v>130.5</v>
      </c>
      <c r="J157" s="5" t="s">
        <v>921</v>
      </c>
      <c r="K157" s="5" t="n">
        <v>2001</v>
      </c>
      <c r="L157" s="5" t="s">
        <v>853</v>
      </c>
      <c r="M157" s="5" t="s">
        <v>85</v>
      </c>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t="n">
        <v>5.85</v>
      </c>
      <c r="AN157" s="5"/>
      <c r="AO157" s="5"/>
      <c r="AP157" s="5"/>
      <c r="AQ157" s="5"/>
      <c r="AR157" s="5" t="n">
        <v>6.65</v>
      </c>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t="n">
        <v>15</v>
      </c>
      <c r="BW157" s="5" t="n">
        <v>3</v>
      </c>
      <c r="BX157" s="5" t="n">
        <f aca="false">IF(AND(N(BV157)&gt;0,N(BW157)&gt;0),SQRT(2*BV157/BW157),"")</f>
        <v>3.16227766016838</v>
      </c>
      <c r="BY157" s="5" t="n">
        <v>29</v>
      </c>
      <c r="BZ157" s="5"/>
      <c r="CA157" s="5"/>
      <c r="CB157" s="5"/>
      <c r="CC157" s="5" t="n">
        <v>33.2</v>
      </c>
      <c r="CD157" s="5" t="n">
        <v>38</v>
      </c>
      <c r="CE157" s="5"/>
      <c r="CF157" s="5"/>
      <c r="CG157" s="5"/>
      <c r="CH157" s="5"/>
      <c r="CI157" s="5"/>
      <c r="CJ157" s="5" t="n">
        <v>16</v>
      </c>
      <c r="CK157" s="5" t="n">
        <v>56</v>
      </c>
      <c r="CL157" s="5" t="s">
        <v>4945</v>
      </c>
      <c r="CM157" s="5" t="s">
        <v>3057</v>
      </c>
      <c r="CN157" s="5" t="s">
        <v>4963</v>
      </c>
      <c r="CO157" s="5" t="s">
        <v>3059</v>
      </c>
      <c r="CP157" s="5" t="s">
        <v>4947</v>
      </c>
      <c r="CQ157" s="23" t="s">
        <v>4950</v>
      </c>
      <c r="CR157" s="5" t="s">
        <v>1112</v>
      </c>
      <c r="CS157" s="5" t="s">
        <v>4949</v>
      </c>
    </row>
    <row r="158" customFormat="false" ht="14.25" hidden="false" customHeight="true" outlineLevel="0" collapsed="false">
      <c r="A158" s="5" t="n">
        <v>172</v>
      </c>
      <c r="B158" s="5" t="n">
        <v>172</v>
      </c>
      <c r="C158" s="5" t="s">
        <v>1100</v>
      </c>
      <c r="D158" s="5" t="n">
        <v>2005</v>
      </c>
      <c r="E158" s="5" t="s">
        <v>1101</v>
      </c>
      <c r="F158" s="5" t="s">
        <v>3054</v>
      </c>
      <c r="G158" s="5" t="s">
        <v>1105</v>
      </c>
      <c r="H158" s="5" t="n">
        <v>33.2</v>
      </c>
      <c r="I158" s="5" t="n">
        <v>130.5</v>
      </c>
      <c r="J158" s="5" t="s">
        <v>921</v>
      </c>
      <c r="K158" s="5" t="n">
        <v>2002</v>
      </c>
      <c r="L158" s="5" t="s">
        <v>853</v>
      </c>
      <c r="M158" s="5" t="s">
        <v>85</v>
      </c>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t="n">
        <v>6</v>
      </c>
      <c r="AN158" s="5"/>
      <c r="AO158" s="5"/>
      <c r="AP158" s="5"/>
      <c r="AQ158" s="5"/>
      <c r="AR158" s="5" t="n">
        <v>6.1</v>
      </c>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t="n">
        <v>15</v>
      </c>
      <c r="BW158" s="5" t="n">
        <v>3</v>
      </c>
      <c r="BX158" s="5" t="n">
        <f aca="false">IF(AND(N(BV158)&gt;0,N(BW158)&gt;0),SQRT(2*BV158/BW158),"")</f>
        <v>3.16227766016838</v>
      </c>
      <c r="BY158" s="5" t="n">
        <v>29</v>
      </c>
      <c r="BZ158" s="5"/>
      <c r="CA158" s="5"/>
      <c r="CB158" s="5"/>
      <c r="CC158" s="5" t="n">
        <v>33.2</v>
      </c>
      <c r="CD158" s="5" t="n">
        <v>39</v>
      </c>
      <c r="CE158" s="5"/>
      <c r="CF158" s="5"/>
      <c r="CG158" s="5"/>
      <c r="CH158" s="5"/>
      <c r="CI158" s="5"/>
      <c r="CJ158" s="5" t="n">
        <v>16</v>
      </c>
      <c r="CK158" s="5" t="n">
        <v>56</v>
      </c>
      <c r="CL158" s="5" t="s">
        <v>4945</v>
      </c>
      <c r="CM158" s="5" t="s">
        <v>3057</v>
      </c>
      <c r="CN158" s="5" t="s">
        <v>4964</v>
      </c>
      <c r="CO158" s="5" t="s">
        <v>3059</v>
      </c>
      <c r="CP158" s="5" t="s">
        <v>4947</v>
      </c>
      <c r="CQ158" s="23" t="s">
        <v>4956</v>
      </c>
      <c r="CR158" s="5" t="s">
        <v>1112</v>
      </c>
      <c r="CS158" s="5" t="s">
        <v>4949</v>
      </c>
    </row>
    <row r="159" customFormat="false" ht="14.25" hidden="false" customHeight="true" outlineLevel="0" collapsed="false">
      <c r="A159" s="5" t="n">
        <v>172</v>
      </c>
      <c r="B159" s="5" t="n">
        <v>172</v>
      </c>
      <c r="C159" s="5" t="s">
        <v>1100</v>
      </c>
      <c r="D159" s="5" t="n">
        <v>2005</v>
      </c>
      <c r="E159" s="5" t="s">
        <v>1101</v>
      </c>
      <c r="F159" s="5" t="s">
        <v>3054</v>
      </c>
      <c r="G159" s="5" t="s">
        <v>1105</v>
      </c>
      <c r="H159" s="5" t="n">
        <v>33.2</v>
      </c>
      <c r="I159" s="5" t="n">
        <v>130.5</v>
      </c>
      <c r="J159" s="5" t="s">
        <v>921</v>
      </c>
      <c r="K159" s="5" t="n">
        <v>2002</v>
      </c>
      <c r="L159" s="5" t="s">
        <v>853</v>
      </c>
      <c r="M159" s="5" t="s">
        <v>85</v>
      </c>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t="n">
        <v>6</v>
      </c>
      <c r="AN159" s="5"/>
      <c r="AO159" s="5"/>
      <c r="AP159" s="5"/>
      <c r="AQ159" s="5"/>
      <c r="AR159" s="5" t="n">
        <v>5.45</v>
      </c>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t="n">
        <v>15</v>
      </c>
      <c r="BW159" s="5" t="n">
        <v>3</v>
      </c>
      <c r="BX159" s="5" t="n">
        <f aca="false">IF(AND(N(BV159)&gt;0,N(BW159)&gt;0),SQRT(2*BV159/BW159),"")</f>
        <v>3.16227766016838</v>
      </c>
      <c r="BY159" s="5" t="n">
        <v>29</v>
      </c>
      <c r="BZ159" s="5"/>
      <c r="CA159" s="5"/>
      <c r="CB159" s="5"/>
      <c r="CC159" s="5" t="n">
        <v>33.2</v>
      </c>
      <c r="CD159" s="5" t="n">
        <v>39</v>
      </c>
      <c r="CE159" s="5"/>
      <c r="CF159" s="5"/>
      <c r="CG159" s="5"/>
      <c r="CH159" s="5"/>
      <c r="CI159" s="5"/>
      <c r="CJ159" s="5" t="n">
        <v>16</v>
      </c>
      <c r="CK159" s="5" t="n">
        <v>56</v>
      </c>
      <c r="CL159" s="5" t="s">
        <v>4945</v>
      </c>
      <c r="CM159" s="5" t="s">
        <v>3057</v>
      </c>
      <c r="CN159" s="5" t="s">
        <v>4964</v>
      </c>
      <c r="CO159" s="5" t="s">
        <v>3059</v>
      </c>
      <c r="CP159" s="5" t="s">
        <v>4947</v>
      </c>
      <c r="CQ159" s="23" t="s">
        <v>4965</v>
      </c>
      <c r="CR159" s="5" t="s">
        <v>1112</v>
      </c>
      <c r="CS159" s="5" t="s">
        <v>4949</v>
      </c>
    </row>
    <row r="160" customFormat="false" ht="14.25" hidden="false" customHeight="true" outlineLevel="0" collapsed="false">
      <c r="A160" s="5" t="n">
        <v>172</v>
      </c>
      <c r="B160" s="5" t="n">
        <v>172</v>
      </c>
      <c r="C160" s="5" t="s">
        <v>1100</v>
      </c>
      <c r="D160" s="5" t="n">
        <v>2005</v>
      </c>
      <c r="E160" s="5" t="s">
        <v>1101</v>
      </c>
      <c r="F160" s="5" t="s">
        <v>3054</v>
      </c>
      <c r="G160" s="5" t="s">
        <v>1105</v>
      </c>
      <c r="H160" s="5" t="n">
        <v>33.2</v>
      </c>
      <c r="I160" s="5" t="n">
        <v>130.5</v>
      </c>
      <c r="J160" s="5" t="s">
        <v>921</v>
      </c>
      <c r="K160" s="5" t="n">
        <v>2003</v>
      </c>
      <c r="L160" s="5" t="s">
        <v>853</v>
      </c>
      <c r="M160" s="5" t="s">
        <v>85</v>
      </c>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t="n">
        <v>5</v>
      </c>
      <c r="AN160" s="5"/>
      <c r="AO160" s="5"/>
      <c r="AP160" s="5"/>
      <c r="AQ160" s="5"/>
      <c r="AR160" s="5" t="n">
        <v>5.5</v>
      </c>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t="n">
        <v>15</v>
      </c>
      <c r="BW160" s="5" t="n">
        <v>3</v>
      </c>
      <c r="BX160" s="5" t="n">
        <f aca="false">IF(AND(N(BV160)&gt;0,N(BW160)&gt;0),SQRT(2*BV160/BW160),"")</f>
        <v>3.16227766016838</v>
      </c>
      <c r="BY160" s="5" t="n">
        <v>29</v>
      </c>
      <c r="BZ160" s="5"/>
      <c r="CA160" s="5"/>
      <c r="CB160" s="5"/>
      <c r="CC160" s="5" t="n">
        <v>33.2</v>
      </c>
      <c r="CD160" s="5" t="n">
        <v>40</v>
      </c>
      <c r="CE160" s="5"/>
      <c r="CF160" s="5"/>
      <c r="CG160" s="5"/>
      <c r="CH160" s="5"/>
      <c r="CI160" s="5"/>
      <c r="CJ160" s="5" t="n">
        <v>16</v>
      </c>
      <c r="CK160" s="5" t="n">
        <v>56</v>
      </c>
      <c r="CL160" s="5" t="s">
        <v>4945</v>
      </c>
      <c r="CM160" s="5" t="s">
        <v>3057</v>
      </c>
      <c r="CN160" s="5" t="s">
        <v>4966</v>
      </c>
      <c r="CO160" s="5" t="s">
        <v>3059</v>
      </c>
      <c r="CP160" s="5" t="s">
        <v>4947</v>
      </c>
      <c r="CQ160" s="23" t="s">
        <v>4948</v>
      </c>
      <c r="CR160" s="5" t="s">
        <v>1112</v>
      </c>
      <c r="CS160" s="5" t="s">
        <v>4949</v>
      </c>
    </row>
    <row r="161" customFormat="false" ht="14.25" hidden="false" customHeight="true" outlineLevel="0" collapsed="false">
      <c r="A161" s="5" t="n">
        <v>172</v>
      </c>
      <c r="B161" s="5" t="n">
        <v>172</v>
      </c>
      <c r="C161" s="5" t="s">
        <v>1100</v>
      </c>
      <c r="D161" s="5" t="n">
        <v>2005</v>
      </c>
      <c r="E161" s="5" t="s">
        <v>1101</v>
      </c>
      <c r="F161" s="5" t="s">
        <v>3054</v>
      </c>
      <c r="G161" s="5" t="s">
        <v>1105</v>
      </c>
      <c r="H161" s="5" t="n">
        <v>33.2</v>
      </c>
      <c r="I161" s="5" t="n">
        <v>130.5</v>
      </c>
      <c r="J161" s="5" t="s">
        <v>921</v>
      </c>
      <c r="K161" s="5" t="n">
        <v>2003</v>
      </c>
      <c r="L161" s="5" t="s">
        <v>853</v>
      </c>
      <c r="M161" s="5" t="s">
        <v>85</v>
      </c>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t="n">
        <v>5</v>
      </c>
      <c r="AN161" s="5"/>
      <c r="AO161" s="5"/>
      <c r="AP161" s="5"/>
      <c r="AQ161" s="5"/>
      <c r="AR161" s="5" t="n">
        <v>5.1</v>
      </c>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t="n">
        <v>15</v>
      </c>
      <c r="BW161" s="5" t="n">
        <v>3</v>
      </c>
      <c r="BX161" s="5" t="n">
        <f aca="false">IF(AND(N(BV161)&gt;0,N(BW161)&gt;0),SQRT(2*BV161/BW161),"")</f>
        <v>3.16227766016838</v>
      </c>
      <c r="BY161" s="5" t="n">
        <v>29</v>
      </c>
      <c r="BZ161" s="5"/>
      <c r="CA161" s="5"/>
      <c r="CB161" s="5"/>
      <c r="CC161" s="5" t="n">
        <v>33.2</v>
      </c>
      <c r="CD161" s="5" t="n">
        <v>40</v>
      </c>
      <c r="CE161" s="5"/>
      <c r="CF161" s="5"/>
      <c r="CG161" s="5"/>
      <c r="CH161" s="5"/>
      <c r="CI161" s="5"/>
      <c r="CJ161" s="5" t="n">
        <v>16</v>
      </c>
      <c r="CK161" s="5" t="n">
        <v>56</v>
      </c>
      <c r="CL161" s="5" t="s">
        <v>4945</v>
      </c>
      <c r="CM161" s="5" t="s">
        <v>3057</v>
      </c>
      <c r="CN161" s="5" t="s">
        <v>4966</v>
      </c>
      <c r="CO161" s="5" t="s">
        <v>3059</v>
      </c>
      <c r="CP161" s="5" t="s">
        <v>4947</v>
      </c>
      <c r="CQ161" s="23" t="s">
        <v>4950</v>
      </c>
      <c r="CR161" s="5" t="s">
        <v>1112</v>
      </c>
      <c r="CS161" s="5" t="s">
        <v>4949</v>
      </c>
    </row>
    <row r="162" customFormat="false" ht="14.25" hidden="false" customHeight="true" outlineLevel="0" collapsed="false">
      <c r="A162" s="5" t="n">
        <v>172</v>
      </c>
      <c r="B162" s="5" t="n">
        <v>172</v>
      </c>
      <c r="C162" s="5" t="s">
        <v>1100</v>
      </c>
      <c r="D162" s="5" t="n">
        <v>2005</v>
      </c>
      <c r="E162" s="5" t="s">
        <v>1101</v>
      </c>
      <c r="F162" s="5" t="s">
        <v>3054</v>
      </c>
      <c r="G162" s="5" t="s">
        <v>1105</v>
      </c>
      <c r="H162" s="5" t="n">
        <v>33.2</v>
      </c>
      <c r="I162" s="5" t="n">
        <v>130.5</v>
      </c>
      <c r="J162" s="5" t="s">
        <v>921</v>
      </c>
      <c r="K162" s="5" t="n">
        <v>2003</v>
      </c>
      <c r="L162" s="5" t="s">
        <v>853</v>
      </c>
      <c r="M162" s="5" t="s">
        <v>85</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t="n">
        <v>5</v>
      </c>
      <c r="AN162" s="5"/>
      <c r="AO162" s="5"/>
      <c r="AP162" s="5"/>
      <c r="AQ162" s="5"/>
      <c r="AR162" s="5" t="n">
        <v>5.95</v>
      </c>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t="n">
        <v>7</v>
      </c>
      <c r="BW162" s="5" t="n">
        <v>3</v>
      </c>
      <c r="BX162" s="5" t="n">
        <f aca="false">IF(AND(N(BV162)&gt;0,N(BW162)&gt;0),SQRT(2*BV162/BW162),"")</f>
        <v>2.16024689946929</v>
      </c>
      <c r="BY162" s="5" t="n">
        <v>29</v>
      </c>
      <c r="BZ162" s="5"/>
      <c r="CA162" s="5"/>
      <c r="CB162" s="5"/>
      <c r="CC162" s="5" t="n">
        <v>33.2</v>
      </c>
      <c r="CD162" s="5" t="n">
        <v>40</v>
      </c>
      <c r="CE162" s="5"/>
      <c r="CF162" s="5"/>
      <c r="CG162" s="5"/>
      <c r="CH162" s="5"/>
      <c r="CI162" s="5"/>
      <c r="CJ162" s="5" t="n">
        <v>16</v>
      </c>
      <c r="CK162" s="5" t="n">
        <v>56</v>
      </c>
      <c r="CL162" s="5" t="s">
        <v>4945</v>
      </c>
      <c r="CM162" s="5" t="s">
        <v>3057</v>
      </c>
      <c r="CN162" s="5" t="s">
        <v>4966</v>
      </c>
      <c r="CO162" s="5" t="s">
        <v>3059</v>
      </c>
      <c r="CP162" s="5" t="s">
        <v>4947</v>
      </c>
      <c r="CQ162" s="23" t="s">
        <v>4951</v>
      </c>
      <c r="CR162" s="5" t="s">
        <v>1112</v>
      </c>
      <c r="CS162" s="5" t="s">
        <v>4949</v>
      </c>
    </row>
    <row r="163" customFormat="false" ht="14.25" hidden="false" customHeight="true" outlineLevel="0" collapsed="false">
      <c r="A163" s="5" t="s">
        <v>1115</v>
      </c>
      <c r="B163" s="5" t="s">
        <v>1115</v>
      </c>
      <c r="C163" s="5" t="s">
        <v>1116</v>
      </c>
      <c r="D163" s="5" t="n">
        <v>2023</v>
      </c>
      <c r="E163" s="5" t="s">
        <v>843</v>
      </c>
      <c r="F163" s="5" t="s">
        <v>1045</v>
      </c>
      <c r="G163" s="5" t="s">
        <v>1119</v>
      </c>
      <c r="H163" s="5" t="n">
        <v>24.942</v>
      </c>
      <c r="I163" s="5" t="n">
        <v>89.928</v>
      </c>
      <c r="J163" s="5" t="s">
        <v>83</v>
      </c>
      <c r="K163" s="5" t="s">
        <v>4967</v>
      </c>
      <c r="L163" s="5" t="s">
        <v>872</v>
      </c>
      <c r="M163" s="5" t="s">
        <v>85</v>
      </c>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t="n">
        <v>9.51</v>
      </c>
      <c r="BL163" s="5"/>
      <c r="BM163" s="5"/>
      <c r="BN163" s="5" t="n">
        <v>10.2</v>
      </c>
      <c r="BO163" s="5"/>
      <c r="BP163" s="5"/>
      <c r="BQ163" s="5"/>
      <c r="BR163" s="5"/>
      <c r="BS163" s="5"/>
      <c r="BT163" s="5"/>
      <c r="BU163" s="5" t="n">
        <v>10.21</v>
      </c>
      <c r="BV163" s="5" t="n">
        <v>3</v>
      </c>
      <c r="BW163" s="5" t="n">
        <v>4</v>
      </c>
      <c r="BX163" s="5" t="n">
        <f aca="false">IF(AND(N(BV163)&gt;0,N(BW163)&gt;0),SQRT(2*BV163/BW163),"")</f>
        <v>1.22474487139159</v>
      </c>
      <c r="BY163" s="5" t="n">
        <v>22.7</v>
      </c>
      <c r="BZ163" s="5"/>
      <c r="CA163" s="5"/>
      <c r="CB163" s="5"/>
      <c r="CC163" s="5" t="n">
        <v>24.942</v>
      </c>
      <c r="CD163" s="5" t="n">
        <v>3</v>
      </c>
      <c r="CE163" s="5"/>
      <c r="CF163" s="5"/>
      <c r="CG163" s="5" t="n">
        <v>6.2</v>
      </c>
      <c r="CH163" s="5"/>
      <c r="CI163" s="5"/>
      <c r="CJ163" s="5" t="n">
        <v>47.3</v>
      </c>
      <c r="CK163" s="5" t="n">
        <v>30</v>
      </c>
      <c r="CL163" s="5" t="s">
        <v>4968</v>
      </c>
      <c r="CM163" s="5" t="s">
        <v>4969</v>
      </c>
      <c r="CN163" s="5" t="s">
        <v>4970</v>
      </c>
      <c r="CO163" s="5" t="s">
        <v>4971</v>
      </c>
      <c r="CP163" s="5" t="s">
        <v>4972</v>
      </c>
      <c r="CQ163" s="23" t="s">
        <v>4973</v>
      </c>
      <c r="CR163" s="5" t="s">
        <v>1129</v>
      </c>
      <c r="CS163" s="5" t="s">
        <v>4974</v>
      </c>
    </row>
    <row r="164" customFormat="false" ht="14.25" hidden="false" customHeight="true" outlineLevel="0" collapsed="false">
      <c r="A164" s="5" t="s">
        <v>1115</v>
      </c>
      <c r="B164" s="5" t="s">
        <v>1115</v>
      </c>
      <c r="C164" s="5" t="s">
        <v>1116</v>
      </c>
      <c r="D164" s="5" t="n">
        <v>2023</v>
      </c>
      <c r="E164" s="5" t="s">
        <v>843</v>
      </c>
      <c r="F164" s="5" t="s">
        <v>1045</v>
      </c>
      <c r="G164" s="5" t="s">
        <v>1119</v>
      </c>
      <c r="H164" s="5" t="n">
        <v>24.942</v>
      </c>
      <c r="I164" s="5" t="n">
        <v>89.928</v>
      </c>
      <c r="J164" s="5" t="s">
        <v>83</v>
      </c>
      <c r="K164" s="5" t="s">
        <v>4967</v>
      </c>
      <c r="L164" s="5" t="s">
        <v>872</v>
      </c>
      <c r="M164" s="5" t="s">
        <v>85</v>
      </c>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t="n">
        <v>13.24</v>
      </c>
      <c r="BL164" s="5"/>
      <c r="BM164" s="5"/>
      <c r="BN164" s="5" t="n">
        <v>14.69</v>
      </c>
      <c r="BO164" s="5"/>
      <c r="BP164" s="5"/>
      <c r="BQ164" s="5"/>
      <c r="BR164" s="5"/>
      <c r="BS164" s="5"/>
      <c r="BT164" s="5"/>
      <c r="BU164" s="5" t="n">
        <v>14.62</v>
      </c>
      <c r="BV164" s="5" t="n">
        <v>3</v>
      </c>
      <c r="BW164" s="5" t="n">
        <v>4</v>
      </c>
      <c r="BX164" s="5" t="n">
        <f aca="false">IF(AND(N(BV164)&gt;0,N(BW164)&gt;0),SQRT(2*BV164/BW164),"")</f>
        <v>1.22474487139159</v>
      </c>
      <c r="BY164" s="5" t="n">
        <v>22.7</v>
      </c>
      <c r="BZ164" s="5"/>
      <c r="CA164" s="5"/>
      <c r="CB164" s="5"/>
      <c r="CC164" s="5" t="n">
        <v>24.942</v>
      </c>
      <c r="CD164" s="5" t="n">
        <v>3</v>
      </c>
      <c r="CE164" s="5"/>
      <c r="CF164" s="5"/>
      <c r="CG164" s="5" t="n">
        <v>6.2</v>
      </c>
      <c r="CH164" s="5"/>
      <c r="CI164" s="5"/>
      <c r="CJ164" s="5" t="n">
        <v>47.3</v>
      </c>
      <c r="CK164" s="5" t="n">
        <v>30</v>
      </c>
      <c r="CL164" s="5" t="s">
        <v>4968</v>
      </c>
      <c r="CM164" s="5" t="s">
        <v>4969</v>
      </c>
      <c r="CN164" s="5" t="s">
        <v>4975</v>
      </c>
      <c r="CO164" s="5" t="s">
        <v>4971</v>
      </c>
      <c r="CP164" s="5" t="s">
        <v>4972</v>
      </c>
      <c r="CQ164" s="23" t="s">
        <v>4976</v>
      </c>
      <c r="CR164" s="5" t="s">
        <v>1129</v>
      </c>
      <c r="CS164" s="5" t="s">
        <v>4974</v>
      </c>
    </row>
    <row r="165" customFormat="false" ht="14.25" hidden="false" customHeight="true" outlineLevel="0" collapsed="false">
      <c r="A165" s="5" t="n">
        <v>173</v>
      </c>
      <c r="B165" s="5" t="n">
        <v>173</v>
      </c>
      <c r="C165" s="5" t="s">
        <v>1133</v>
      </c>
      <c r="D165" s="5" t="n">
        <v>2023</v>
      </c>
      <c r="E165" s="5" t="s">
        <v>1134</v>
      </c>
      <c r="F165" s="5" t="s">
        <v>866</v>
      </c>
      <c r="G165" s="5" t="s">
        <v>1137</v>
      </c>
      <c r="H165" s="5" t="n">
        <v>28.633</v>
      </c>
      <c r="I165" s="5" t="n">
        <v>77.15</v>
      </c>
      <c r="J165" s="5" t="s">
        <v>83</v>
      </c>
      <c r="K165" s="5" t="s">
        <v>2075</v>
      </c>
      <c r="L165" s="5" t="s">
        <v>872</v>
      </c>
      <c r="M165" s="5" t="s">
        <v>85</v>
      </c>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t="n">
        <v>9.4</v>
      </c>
      <c r="BK165" s="5" t="n">
        <v>9.1</v>
      </c>
      <c r="BL165" s="5"/>
      <c r="BM165" s="5" t="n">
        <v>8.55</v>
      </c>
      <c r="BN165" s="5"/>
      <c r="BO165" s="5"/>
      <c r="BP165" s="5"/>
      <c r="BQ165" s="5"/>
      <c r="BR165" s="5"/>
      <c r="BS165" s="5"/>
      <c r="BT165" s="5"/>
      <c r="BU165" s="5"/>
      <c r="BV165" s="5" t="n">
        <v>8</v>
      </c>
      <c r="BW165" s="5" t="n">
        <v>3</v>
      </c>
      <c r="BX165" s="5" t="n">
        <f aca="false">IF(AND(N(BV165)&gt;0,N(BW165)&gt;0),SQRT(2*BV165/BW165),"")</f>
        <v>2.3094010767585</v>
      </c>
      <c r="BY165" s="5"/>
      <c r="BZ165" s="5" t="n">
        <v>5</v>
      </c>
      <c r="CA165" s="5" t="n">
        <v>46</v>
      </c>
      <c r="CB165" s="5" t="n">
        <v>642</v>
      </c>
      <c r="CC165" s="5" t="n">
        <v>28.633</v>
      </c>
      <c r="CD165" s="5" t="n">
        <v>1</v>
      </c>
      <c r="CE165" s="5"/>
      <c r="CF165" s="5"/>
      <c r="CG165" s="5"/>
      <c r="CH165" s="5" t="n">
        <v>4.9</v>
      </c>
      <c r="CI165" s="5" t="n">
        <v>1.52</v>
      </c>
      <c r="CJ165" s="5"/>
      <c r="CK165" s="5"/>
      <c r="CL165" s="5" t="s">
        <v>4977</v>
      </c>
      <c r="CM165" s="5" t="s">
        <v>2165</v>
      </c>
      <c r="CN165" s="5" t="s">
        <v>4978</v>
      </c>
      <c r="CO165" s="5" t="s">
        <v>2167</v>
      </c>
      <c r="CP165" s="5" t="s">
        <v>91</v>
      </c>
      <c r="CQ165" s="23" t="s">
        <v>4979</v>
      </c>
      <c r="CR165" s="5" t="s">
        <v>1148</v>
      </c>
      <c r="CS165" s="5" t="s">
        <v>4980</v>
      </c>
    </row>
    <row r="166" customFormat="false" ht="14.25" hidden="false" customHeight="true" outlineLevel="0" collapsed="false">
      <c r="A166" s="5" t="n">
        <v>173</v>
      </c>
      <c r="B166" s="5" t="n">
        <v>173</v>
      </c>
      <c r="C166" s="5" t="s">
        <v>1133</v>
      </c>
      <c r="D166" s="5" t="n">
        <v>2023</v>
      </c>
      <c r="E166" s="5" t="s">
        <v>1134</v>
      </c>
      <c r="F166" s="5" t="s">
        <v>866</v>
      </c>
      <c r="G166" s="5" t="s">
        <v>1137</v>
      </c>
      <c r="H166" s="5" t="n">
        <v>28.633</v>
      </c>
      <c r="I166" s="5" t="n">
        <v>77.15</v>
      </c>
      <c r="J166" s="5" t="s">
        <v>83</v>
      </c>
      <c r="K166" s="5" t="s">
        <v>2075</v>
      </c>
      <c r="L166" s="5" t="s">
        <v>872</v>
      </c>
      <c r="M166" s="5" t="s">
        <v>85</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t="n">
        <v>9.17</v>
      </c>
      <c r="BK166" s="5" t="n">
        <v>8.92</v>
      </c>
      <c r="BL166" s="5"/>
      <c r="BM166" s="5" t="n">
        <v>8.52</v>
      </c>
      <c r="BN166" s="5"/>
      <c r="BO166" s="5"/>
      <c r="BP166" s="5"/>
      <c r="BQ166" s="5"/>
      <c r="BR166" s="5"/>
      <c r="BS166" s="5"/>
      <c r="BT166" s="5"/>
      <c r="BU166" s="5"/>
      <c r="BV166" s="5" t="n">
        <v>8</v>
      </c>
      <c r="BW166" s="5" t="n">
        <v>3</v>
      </c>
      <c r="BX166" s="5" t="n">
        <f aca="false">IF(AND(N(BV166)&gt;0,N(BW166)&gt;0),SQRT(2*BV166/BW166),"")</f>
        <v>2.3094010767585</v>
      </c>
      <c r="BY166" s="5"/>
      <c r="BZ166" s="5" t="n">
        <v>5</v>
      </c>
      <c r="CA166" s="5" t="n">
        <v>46</v>
      </c>
      <c r="CB166" s="5" t="n">
        <v>642</v>
      </c>
      <c r="CC166" s="5" t="n">
        <v>28.633</v>
      </c>
      <c r="CD166" s="5" t="n">
        <v>1</v>
      </c>
      <c r="CE166" s="5"/>
      <c r="CF166" s="5"/>
      <c r="CG166" s="5"/>
      <c r="CH166" s="5" t="n">
        <v>4.9</v>
      </c>
      <c r="CI166" s="5" t="n">
        <v>1.52</v>
      </c>
      <c r="CJ166" s="5"/>
      <c r="CK166" s="5"/>
      <c r="CL166" s="5" t="s">
        <v>4977</v>
      </c>
      <c r="CM166" s="5" t="s">
        <v>2165</v>
      </c>
      <c r="CN166" s="5" t="s">
        <v>4978</v>
      </c>
      <c r="CO166" s="5" t="s">
        <v>2167</v>
      </c>
      <c r="CP166" s="5" t="s">
        <v>91</v>
      </c>
      <c r="CQ166" s="23" t="s">
        <v>4981</v>
      </c>
      <c r="CR166" s="5" t="s">
        <v>1148</v>
      </c>
      <c r="CS166" s="5" t="s">
        <v>4980</v>
      </c>
    </row>
    <row r="167" customFormat="false" ht="14.25" hidden="false" customHeight="true" outlineLevel="0" collapsed="false">
      <c r="A167" s="5" t="n">
        <v>173</v>
      </c>
      <c r="B167" s="5" t="n">
        <v>173</v>
      </c>
      <c r="C167" s="5" t="s">
        <v>1133</v>
      </c>
      <c r="D167" s="5" t="n">
        <v>2023</v>
      </c>
      <c r="E167" s="5" t="s">
        <v>1134</v>
      </c>
      <c r="F167" s="5" t="s">
        <v>866</v>
      </c>
      <c r="G167" s="5" t="s">
        <v>1137</v>
      </c>
      <c r="H167" s="5" t="n">
        <v>28.633</v>
      </c>
      <c r="I167" s="5" t="n">
        <v>77.15</v>
      </c>
      <c r="J167" s="5" t="s">
        <v>83</v>
      </c>
      <c r="K167" s="5" t="s">
        <v>2075</v>
      </c>
      <c r="L167" s="5" t="s">
        <v>872</v>
      </c>
      <c r="M167" s="5" t="s">
        <v>85</v>
      </c>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t="n">
        <v>9.88</v>
      </c>
      <c r="BK167" s="5" t="n">
        <v>9.1</v>
      </c>
      <c r="BL167" s="5"/>
      <c r="BM167" s="5" t="n">
        <v>8.55</v>
      </c>
      <c r="BN167" s="5"/>
      <c r="BO167" s="5"/>
      <c r="BP167" s="5"/>
      <c r="BQ167" s="5"/>
      <c r="BR167" s="5"/>
      <c r="BS167" s="5"/>
      <c r="BT167" s="5"/>
      <c r="BU167" s="5"/>
      <c r="BV167" s="5" t="n">
        <v>8</v>
      </c>
      <c r="BW167" s="5" t="n">
        <v>3</v>
      </c>
      <c r="BX167" s="5" t="n">
        <f aca="false">IF(AND(N(BV167)&gt;0,N(BW167)&gt;0),SQRT(2*BV167/BW167),"")</f>
        <v>2.3094010767585</v>
      </c>
      <c r="BY167" s="5"/>
      <c r="BZ167" s="5" t="n">
        <v>5</v>
      </c>
      <c r="CA167" s="5" t="n">
        <v>46</v>
      </c>
      <c r="CB167" s="5" t="n">
        <v>642</v>
      </c>
      <c r="CC167" s="5" t="n">
        <v>28.633</v>
      </c>
      <c r="CD167" s="5" t="n">
        <v>1</v>
      </c>
      <c r="CE167" s="5"/>
      <c r="CF167" s="5"/>
      <c r="CG167" s="5"/>
      <c r="CH167" s="5" t="n">
        <v>4.9</v>
      </c>
      <c r="CI167" s="5" t="n">
        <v>1.52</v>
      </c>
      <c r="CJ167" s="5"/>
      <c r="CK167" s="5"/>
      <c r="CL167" s="5" t="s">
        <v>4977</v>
      </c>
      <c r="CM167" s="5" t="s">
        <v>2165</v>
      </c>
      <c r="CN167" s="5" t="s">
        <v>4978</v>
      </c>
      <c r="CO167" s="5" t="s">
        <v>2167</v>
      </c>
      <c r="CP167" s="5" t="s">
        <v>91</v>
      </c>
      <c r="CQ167" s="23" t="s">
        <v>4982</v>
      </c>
      <c r="CR167" s="5" t="s">
        <v>1148</v>
      </c>
      <c r="CS167" s="5" t="s">
        <v>4980</v>
      </c>
    </row>
    <row r="168" customFormat="false" ht="14.25" hidden="false" customHeight="true" outlineLevel="0" collapsed="false">
      <c r="A168" s="5" t="n">
        <v>173</v>
      </c>
      <c r="B168" s="5" t="n">
        <v>173</v>
      </c>
      <c r="C168" s="5" t="s">
        <v>1133</v>
      </c>
      <c r="D168" s="5" t="n">
        <v>2023</v>
      </c>
      <c r="E168" s="5" t="s">
        <v>1134</v>
      </c>
      <c r="F168" s="5" t="s">
        <v>866</v>
      </c>
      <c r="G168" s="5" t="s">
        <v>1137</v>
      </c>
      <c r="H168" s="5" t="n">
        <v>28.633</v>
      </c>
      <c r="I168" s="5" t="n">
        <v>77.15</v>
      </c>
      <c r="J168" s="5" t="s">
        <v>83</v>
      </c>
      <c r="K168" s="5" t="s">
        <v>2075</v>
      </c>
      <c r="L168" s="5" t="s">
        <v>872</v>
      </c>
      <c r="M168" s="5" t="s">
        <v>85</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t="n">
        <v>9.52</v>
      </c>
      <c r="BK168" s="5" t="n">
        <v>8.92</v>
      </c>
      <c r="BL168" s="5"/>
      <c r="BM168" s="5" t="n">
        <v>8.52</v>
      </c>
      <c r="BN168" s="5"/>
      <c r="BO168" s="5"/>
      <c r="BP168" s="5"/>
      <c r="BQ168" s="5"/>
      <c r="BR168" s="5"/>
      <c r="BS168" s="5"/>
      <c r="BT168" s="5"/>
      <c r="BU168" s="5"/>
      <c r="BV168" s="5" t="n">
        <v>8</v>
      </c>
      <c r="BW168" s="5" t="n">
        <v>3</v>
      </c>
      <c r="BX168" s="5" t="n">
        <f aca="false">IF(AND(N(BV168)&gt;0,N(BW168)&gt;0),SQRT(2*BV168/BW168),"")</f>
        <v>2.3094010767585</v>
      </c>
      <c r="BY168" s="5"/>
      <c r="BZ168" s="5" t="n">
        <v>5</v>
      </c>
      <c r="CA168" s="5" t="n">
        <v>46</v>
      </c>
      <c r="CB168" s="5" t="n">
        <v>642</v>
      </c>
      <c r="CC168" s="5" t="n">
        <v>28.633</v>
      </c>
      <c r="CD168" s="5" t="n">
        <v>1</v>
      </c>
      <c r="CE168" s="5"/>
      <c r="CF168" s="5"/>
      <c r="CG168" s="5"/>
      <c r="CH168" s="5" t="n">
        <v>4.9</v>
      </c>
      <c r="CI168" s="5" t="n">
        <v>1.52</v>
      </c>
      <c r="CJ168" s="5"/>
      <c r="CK168" s="5"/>
      <c r="CL168" s="5" t="s">
        <v>4977</v>
      </c>
      <c r="CM168" s="5" t="s">
        <v>2165</v>
      </c>
      <c r="CN168" s="5" t="s">
        <v>4978</v>
      </c>
      <c r="CO168" s="5" t="s">
        <v>2167</v>
      </c>
      <c r="CP168" s="5" t="s">
        <v>91</v>
      </c>
      <c r="CQ168" s="23" t="s">
        <v>4983</v>
      </c>
      <c r="CR168" s="5" t="s">
        <v>1148</v>
      </c>
      <c r="CS168" s="5" t="s">
        <v>4980</v>
      </c>
    </row>
    <row r="169" customFormat="false" ht="14.25" hidden="false" customHeight="true" outlineLevel="0" collapsed="false">
      <c r="A169" s="5" t="n">
        <v>173</v>
      </c>
      <c r="B169" s="5" t="n">
        <v>173</v>
      </c>
      <c r="C169" s="5" t="s">
        <v>1133</v>
      </c>
      <c r="D169" s="5" t="n">
        <v>2023</v>
      </c>
      <c r="E169" s="5" t="s">
        <v>1134</v>
      </c>
      <c r="F169" s="5" t="s">
        <v>866</v>
      </c>
      <c r="G169" s="5" t="s">
        <v>1137</v>
      </c>
      <c r="H169" s="5" t="n">
        <v>28.633</v>
      </c>
      <c r="I169" s="5" t="n">
        <v>77.15</v>
      </c>
      <c r="J169" s="5" t="s">
        <v>83</v>
      </c>
      <c r="K169" s="5" t="s">
        <v>4984</v>
      </c>
      <c r="L169" s="5" t="s">
        <v>872</v>
      </c>
      <c r="M169" s="5" t="s">
        <v>85</v>
      </c>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t="n">
        <v>8.21</v>
      </c>
      <c r="BK169" s="5" t="n">
        <v>7.61</v>
      </c>
      <c r="BL169" s="5"/>
      <c r="BM169" s="5" t="n">
        <v>8.16</v>
      </c>
      <c r="BN169" s="5"/>
      <c r="BO169" s="5"/>
      <c r="BP169" s="5"/>
      <c r="BQ169" s="5"/>
      <c r="BR169" s="5"/>
      <c r="BS169" s="5"/>
      <c r="BT169" s="5"/>
      <c r="BU169" s="5"/>
      <c r="BV169" s="5" t="n">
        <v>8</v>
      </c>
      <c r="BW169" s="5" t="n">
        <v>3</v>
      </c>
      <c r="BX169" s="5" t="n">
        <f aca="false">IF(AND(N(BV169)&gt;0,N(BW169)&gt;0),SQRT(2*BV169/BW169),"")</f>
        <v>2.3094010767585</v>
      </c>
      <c r="BY169" s="5"/>
      <c r="BZ169" s="5" t="n">
        <v>5</v>
      </c>
      <c r="CA169" s="5" t="n">
        <v>46</v>
      </c>
      <c r="CB169" s="5" t="n">
        <v>642</v>
      </c>
      <c r="CC169" s="5" t="n">
        <v>28.633</v>
      </c>
      <c r="CD169" s="5" t="n">
        <v>2</v>
      </c>
      <c r="CE169" s="5"/>
      <c r="CF169" s="5"/>
      <c r="CG169" s="5"/>
      <c r="CH169" s="5" t="n">
        <v>4.9</v>
      </c>
      <c r="CI169" s="5" t="n">
        <v>1.52</v>
      </c>
      <c r="CJ169" s="5"/>
      <c r="CK169" s="5"/>
      <c r="CL169" s="5" t="s">
        <v>4977</v>
      </c>
      <c r="CM169" s="5" t="s">
        <v>2165</v>
      </c>
      <c r="CN169" s="5" t="s">
        <v>4985</v>
      </c>
      <c r="CO169" s="5" t="s">
        <v>2167</v>
      </c>
      <c r="CP169" s="5" t="s">
        <v>91</v>
      </c>
      <c r="CQ169" s="23" t="s">
        <v>4986</v>
      </c>
      <c r="CR169" s="5" t="s">
        <v>1148</v>
      </c>
      <c r="CS169" s="5" t="s">
        <v>4980</v>
      </c>
    </row>
    <row r="170" customFormat="false" ht="14.25" hidden="false" customHeight="true" outlineLevel="0" collapsed="false">
      <c r="A170" s="5" t="n">
        <v>173</v>
      </c>
      <c r="B170" s="5" t="n">
        <v>173</v>
      </c>
      <c r="C170" s="5" t="s">
        <v>1133</v>
      </c>
      <c r="D170" s="5" t="n">
        <v>2023</v>
      </c>
      <c r="E170" s="5" t="s">
        <v>1134</v>
      </c>
      <c r="F170" s="5" t="s">
        <v>866</v>
      </c>
      <c r="G170" s="5" t="s">
        <v>1137</v>
      </c>
      <c r="H170" s="5" t="n">
        <v>28.633</v>
      </c>
      <c r="I170" s="5" t="n">
        <v>77.15</v>
      </c>
      <c r="J170" s="5" t="s">
        <v>83</v>
      </c>
      <c r="K170" s="5" t="s">
        <v>4984</v>
      </c>
      <c r="L170" s="5" t="s">
        <v>872</v>
      </c>
      <c r="M170" s="5" t="s">
        <v>85</v>
      </c>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t="n">
        <v>8.39</v>
      </c>
      <c r="BK170" s="5" t="n">
        <v>7.62</v>
      </c>
      <c r="BL170" s="5"/>
      <c r="BM170" s="5" t="n">
        <v>7.8</v>
      </c>
      <c r="BN170" s="5"/>
      <c r="BO170" s="5"/>
      <c r="BP170" s="5"/>
      <c r="BQ170" s="5"/>
      <c r="BR170" s="5"/>
      <c r="BS170" s="5"/>
      <c r="BT170" s="5"/>
      <c r="BU170" s="5"/>
      <c r="BV170" s="5" t="n">
        <v>8</v>
      </c>
      <c r="BW170" s="5" t="n">
        <v>3</v>
      </c>
      <c r="BX170" s="5" t="n">
        <f aca="false">IF(AND(N(BV170)&gt;0,N(BW170)&gt;0),SQRT(2*BV170/BW170),"")</f>
        <v>2.3094010767585</v>
      </c>
      <c r="BY170" s="5"/>
      <c r="BZ170" s="5" t="n">
        <v>5</v>
      </c>
      <c r="CA170" s="5" t="n">
        <v>46</v>
      </c>
      <c r="CB170" s="5" t="n">
        <v>642</v>
      </c>
      <c r="CC170" s="5" t="n">
        <v>28.633</v>
      </c>
      <c r="CD170" s="5" t="n">
        <v>2</v>
      </c>
      <c r="CE170" s="5"/>
      <c r="CF170" s="5"/>
      <c r="CG170" s="5"/>
      <c r="CH170" s="5" t="n">
        <v>4.9</v>
      </c>
      <c r="CI170" s="5" t="n">
        <v>1.52</v>
      </c>
      <c r="CJ170" s="5"/>
      <c r="CK170" s="5"/>
      <c r="CL170" s="5" t="s">
        <v>4977</v>
      </c>
      <c r="CM170" s="5" t="s">
        <v>2165</v>
      </c>
      <c r="CN170" s="5" t="s">
        <v>4985</v>
      </c>
      <c r="CO170" s="5" t="s">
        <v>2167</v>
      </c>
      <c r="CP170" s="5" t="s">
        <v>91</v>
      </c>
      <c r="CQ170" s="23" t="s">
        <v>4987</v>
      </c>
      <c r="CR170" s="5" t="s">
        <v>1148</v>
      </c>
      <c r="CS170" s="5" t="s">
        <v>4980</v>
      </c>
    </row>
    <row r="171" customFormat="false" ht="14.25" hidden="false" customHeight="true" outlineLevel="0" collapsed="false">
      <c r="A171" s="5" t="n">
        <v>173</v>
      </c>
      <c r="B171" s="5" t="n">
        <v>173</v>
      </c>
      <c r="C171" s="5" t="s">
        <v>1133</v>
      </c>
      <c r="D171" s="5" t="n">
        <v>2023</v>
      </c>
      <c r="E171" s="5" t="s">
        <v>1134</v>
      </c>
      <c r="F171" s="5" t="s">
        <v>866</v>
      </c>
      <c r="G171" s="5" t="s">
        <v>1137</v>
      </c>
      <c r="H171" s="5" t="n">
        <v>28.633</v>
      </c>
      <c r="I171" s="5" t="n">
        <v>77.15</v>
      </c>
      <c r="J171" s="5" t="s">
        <v>83</v>
      </c>
      <c r="K171" s="5" t="s">
        <v>4984</v>
      </c>
      <c r="L171" s="5" t="s">
        <v>872</v>
      </c>
      <c r="M171" s="5" t="s">
        <v>85</v>
      </c>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t="n">
        <v>9.72</v>
      </c>
      <c r="BK171" s="5" t="n">
        <v>7.61</v>
      </c>
      <c r="BL171" s="5"/>
      <c r="BM171" s="5" t="n">
        <v>8.16</v>
      </c>
      <c r="BN171" s="5"/>
      <c r="BO171" s="5"/>
      <c r="BP171" s="5"/>
      <c r="BQ171" s="5"/>
      <c r="BR171" s="5"/>
      <c r="BS171" s="5"/>
      <c r="BT171" s="5"/>
      <c r="BU171" s="5"/>
      <c r="BV171" s="5" t="n">
        <v>8</v>
      </c>
      <c r="BW171" s="5" t="n">
        <v>3</v>
      </c>
      <c r="BX171" s="5" t="n">
        <f aca="false">IF(AND(N(BV171)&gt;0,N(BW171)&gt;0),SQRT(2*BV171/BW171),"")</f>
        <v>2.3094010767585</v>
      </c>
      <c r="BY171" s="5"/>
      <c r="BZ171" s="5" t="n">
        <v>5</v>
      </c>
      <c r="CA171" s="5" t="n">
        <v>46</v>
      </c>
      <c r="CB171" s="5" t="n">
        <v>642</v>
      </c>
      <c r="CC171" s="5" t="n">
        <v>28.633</v>
      </c>
      <c r="CD171" s="5" t="n">
        <v>2</v>
      </c>
      <c r="CE171" s="5"/>
      <c r="CF171" s="5"/>
      <c r="CG171" s="5"/>
      <c r="CH171" s="5" t="n">
        <v>4.9</v>
      </c>
      <c r="CI171" s="5" t="n">
        <v>1.52</v>
      </c>
      <c r="CJ171" s="5"/>
      <c r="CK171" s="5"/>
      <c r="CL171" s="5" t="s">
        <v>4977</v>
      </c>
      <c r="CM171" s="5" t="s">
        <v>2165</v>
      </c>
      <c r="CN171" s="5" t="s">
        <v>4985</v>
      </c>
      <c r="CO171" s="5" t="s">
        <v>2167</v>
      </c>
      <c r="CP171" s="5" t="s">
        <v>91</v>
      </c>
      <c r="CQ171" s="23" t="s">
        <v>4988</v>
      </c>
      <c r="CR171" s="5" t="s">
        <v>1148</v>
      </c>
      <c r="CS171" s="5" t="s">
        <v>4980</v>
      </c>
    </row>
    <row r="172" customFormat="false" ht="14.25" hidden="false" customHeight="true" outlineLevel="0" collapsed="false">
      <c r="A172" s="5" t="n">
        <v>173</v>
      </c>
      <c r="B172" s="5" t="n">
        <v>173</v>
      </c>
      <c r="C172" s="5" t="s">
        <v>1133</v>
      </c>
      <c r="D172" s="5" t="n">
        <v>2023</v>
      </c>
      <c r="E172" s="5" t="s">
        <v>1134</v>
      </c>
      <c r="F172" s="5" t="s">
        <v>866</v>
      </c>
      <c r="G172" s="5" t="s">
        <v>1137</v>
      </c>
      <c r="H172" s="5" t="n">
        <v>28.633</v>
      </c>
      <c r="I172" s="5" t="n">
        <v>77.15</v>
      </c>
      <c r="J172" s="5" t="s">
        <v>83</v>
      </c>
      <c r="K172" s="5" t="s">
        <v>4984</v>
      </c>
      <c r="L172" s="5" t="s">
        <v>872</v>
      </c>
      <c r="M172" s="5" t="s">
        <v>85</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t="n">
        <v>9.41</v>
      </c>
      <c r="BK172" s="5" t="n">
        <v>7.62</v>
      </c>
      <c r="BL172" s="5"/>
      <c r="BM172" s="5" t="n">
        <v>7.8</v>
      </c>
      <c r="BN172" s="5"/>
      <c r="BO172" s="5"/>
      <c r="BP172" s="5"/>
      <c r="BQ172" s="5"/>
      <c r="BR172" s="5"/>
      <c r="BS172" s="5"/>
      <c r="BT172" s="5"/>
      <c r="BU172" s="5"/>
      <c r="BV172" s="5" t="n">
        <v>8</v>
      </c>
      <c r="BW172" s="5" t="n">
        <v>3</v>
      </c>
      <c r="BX172" s="5" t="n">
        <f aca="false">IF(AND(N(BV172)&gt;0,N(BW172)&gt;0),SQRT(2*BV172/BW172),"")</f>
        <v>2.3094010767585</v>
      </c>
      <c r="BY172" s="5"/>
      <c r="BZ172" s="5" t="n">
        <v>5</v>
      </c>
      <c r="CA172" s="5" t="n">
        <v>46</v>
      </c>
      <c r="CB172" s="5" t="n">
        <v>642</v>
      </c>
      <c r="CC172" s="5" t="n">
        <v>28.633</v>
      </c>
      <c r="CD172" s="5" t="n">
        <v>2</v>
      </c>
      <c r="CE172" s="5"/>
      <c r="CF172" s="5"/>
      <c r="CG172" s="5"/>
      <c r="CH172" s="5" t="n">
        <v>4.9</v>
      </c>
      <c r="CI172" s="5" t="n">
        <v>1.52</v>
      </c>
      <c r="CJ172" s="5"/>
      <c r="CK172" s="5"/>
      <c r="CL172" s="5" t="s">
        <v>4977</v>
      </c>
      <c r="CM172" s="5" t="s">
        <v>2165</v>
      </c>
      <c r="CN172" s="5" t="s">
        <v>4985</v>
      </c>
      <c r="CO172" s="5" t="s">
        <v>2167</v>
      </c>
      <c r="CP172" s="5" t="s">
        <v>91</v>
      </c>
      <c r="CQ172" s="23" t="s">
        <v>4989</v>
      </c>
      <c r="CR172" s="5" t="s">
        <v>1148</v>
      </c>
      <c r="CS172" s="5" t="s">
        <v>4980</v>
      </c>
    </row>
    <row r="173" customFormat="false" ht="14.25" hidden="false" customHeight="true" outlineLevel="0" collapsed="false">
      <c r="A173" s="5" t="n">
        <v>173</v>
      </c>
      <c r="B173" s="5" t="n">
        <v>173</v>
      </c>
      <c r="C173" s="5" t="s">
        <v>1133</v>
      </c>
      <c r="D173" s="5" t="n">
        <v>2023</v>
      </c>
      <c r="E173" s="5" t="s">
        <v>1134</v>
      </c>
      <c r="F173" s="5" t="s">
        <v>866</v>
      </c>
      <c r="G173" s="5" t="s">
        <v>1137</v>
      </c>
      <c r="H173" s="5" t="n">
        <v>28.633</v>
      </c>
      <c r="I173" s="5" t="n">
        <v>77.15</v>
      </c>
      <c r="J173" s="5" t="s">
        <v>83</v>
      </c>
      <c r="K173" s="5" t="s">
        <v>4990</v>
      </c>
      <c r="L173" s="5" t="s">
        <v>872</v>
      </c>
      <c r="M173" s="5" t="s">
        <v>85</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t="n">
        <v>8.67</v>
      </c>
      <c r="BK173" s="5" t="n">
        <v>7.37</v>
      </c>
      <c r="BL173" s="5"/>
      <c r="BM173" s="5" t="n">
        <v>7.99</v>
      </c>
      <c r="BN173" s="5"/>
      <c r="BO173" s="5"/>
      <c r="BP173" s="5"/>
      <c r="BQ173" s="5"/>
      <c r="BR173" s="5"/>
      <c r="BS173" s="5"/>
      <c r="BT173" s="5"/>
      <c r="BU173" s="5"/>
      <c r="BV173" s="5" t="n">
        <v>8</v>
      </c>
      <c r="BW173" s="5" t="n">
        <v>3</v>
      </c>
      <c r="BX173" s="5" t="n">
        <f aca="false">IF(AND(N(BV173)&gt;0,N(BW173)&gt;0),SQRT(2*BV173/BW173),"")</f>
        <v>2.3094010767585</v>
      </c>
      <c r="BY173" s="5"/>
      <c r="BZ173" s="5" t="n">
        <v>5</v>
      </c>
      <c r="CA173" s="5" t="n">
        <v>46</v>
      </c>
      <c r="CB173" s="5" t="n">
        <v>642</v>
      </c>
      <c r="CC173" s="5" t="n">
        <v>28.633</v>
      </c>
      <c r="CD173" s="5" t="n">
        <v>3</v>
      </c>
      <c r="CE173" s="5"/>
      <c r="CF173" s="5"/>
      <c r="CG173" s="5"/>
      <c r="CH173" s="5" t="n">
        <v>4.9</v>
      </c>
      <c r="CI173" s="5" t="n">
        <v>1.52</v>
      </c>
      <c r="CJ173" s="5"/>
      <c r="CK173" s="5"/>
      <c r="CL173" s="5" t="s">
        <v>4977</v>
      </c>
      <c r="CM173" s="5" t="s">
        <v>2165</v>
      </c>
      <c r="CN173" s="5" t="s">
        <v>4991</v>
      </c>
      <c r="CO173" s="5" t="s">
        <v>2167</v>
      </c>
      <c r="CP173" s="5" t="s">
        <v>91</v>
      </c>
      <c r="CQ173" s="23" t="s">
        <v>4992</v>
      </c>
      <c r="CR173" s="5" t="s">
        <v>1148</v>
      </c>
      <c r="CS173" s="5" t="s">
        <v>4980</v>
      </c>
    </row>
    <row r="174" customFormat="false" ht="14.25" hidden="false" customHeight="true" outlineLevel="0" collapsed="false">
      <c r="A174" s="5" t="n">
        <v>173</v>
      </c>
      <c r="B174" s="5" t="n">
        <v>173</v>
      </c>
      <c r="C174" s="5" t="s">
        <v>1133</v>
      </c>
      <c r="D174" s="5" t="n">
        <v>2023</v>
      </c>
      <c r="E174" s="5" t="s">
        <v>1134</v>
      </c>
      <c r="F174" s="5" t="s">
        <v>866</v>
      </c>
      <c r="G174" s="5" t="s">
        <v>1137</v>
      </c>
      <c r="H174" s="5" t="n">
        <v>28.633</v>
      </c>
      <c r="I174" s="5" t="n">
        <v>77.15</v>
      </c>
      <c r="J174" s="5" t="s">
        <v>83</v>
      </c>
      <c r="K174" s="5" t="s">
        <v>4990</v>
      </c>
      <c r="L174" s="5" t="s">
        <v>872</v>
      </c>
      <c r="M174" s="5" t="s">
        <v>85</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t="n">
        <v>8.18</v>
      </c>
      <c r="BK174" s="5" t="n">
        <v>7.36</v>
      </c>
      <c r="BL174" s="5"/>
      <c r="BM174" s="5" t="n">
        <v>7.66</v>
      </c>
      <c r="BN174" s="5"/>
      <c r="BO174" s="5"/>
      <c r="BP174" s="5"/>
      <c r="BQ174" s="5"/>
      <c r="BR174" s="5"/>
      <c r="BS174" s="5"/>
      <c r="BT174" s="5"/>
      <c r="BU174" s="5"/>
      <c r="BV174" s="5" t="n">
        <v>8</v>
      </c>
      <c r="BW174" s="5" t="n">
        <v>3</v>
      </c>
      <c r="BX174" s="5" t="n">
        <f aca="false">IF(AND(N(BV174)&gt;0,N(BW174)&gt;0),SQRT(2*BV174/BW174),"")</f>
        <v>2.3094010767585</v>
      </c>
      <c r="BY174" s="5"/>
      <c r="BZ174" s="5" t="n">
        <v>5</v>
      </c>
      <c r="CA174" s="5" t="n">
        <v>46</v>
      </c>
      <c r="CB174" s="5" t="n">
        <v>642</v>
      </c>
      <c r="CC174" s="5" t="n">
        <v>28.633</v>
      </c>
      <c r="CD174" s="5" t="n">
        <v>3</v>
      </c>
      <c r="CE174" s="5"/>
      <c r="CF174" s="5"/>
      <c r="CG174" s="5"/>
      <c r="CH174" s="5" t="n">
        <v>4.9</v>
      </c>
      <c r="CI174" s="5" t="n">
        <v>1.52</v>
      </c>
      <c r="CJ174" s="5"/>
      <c r="CK174" s="5"/>
      <c r="CL174" s="5" t="s">
        <v>4977</v>
      </c>
      <c r="CM174" s="5" t="s">
        <v>2165</v>
      </c>
      <c r="CN174" s="5" t="s">
        <v>4991</v>
      </c>
      <c r="CO174" s="5" t="s">
        <v>2167</v>
      </c>
      <c r="CP174" s="5" t="s">
        <v>91</v>
      </c>
      <c r="CQ174" s="23" t="s">
        <v>4993</v>
      </c>
      <c r="CR174" s="5" t="s">
        <v>1148</v>
      </c>
      <c r="CS174" s="5" t="s">
        <v>4980</v>
      </c>
    </row>
    <row r="175" customFormat="false" ht="14.25" hidden="false" customHeight="true" outlineLevel="0" collapsed="false">
      <c r="A175" s="5" t="n">
        <v>173</v>
      </c>
      <c r="B175" s="5" t="n">
        <v>173</v>
      </c>
      <c r="C175" s="5" t="s">
        <v>1133</v>
      </c>
      <c r="D175" s="5" t="n">
        <v>2023</v>
      </c>
      <c r="E175" s="5" t="s">
        <v>1134</v>
      </c>
      <c r="F175" s="5" t="s">
        <v>866</v>
      </c>
      <c r="G175" s="5" t="s">
        <v>1137</v>
      </c>
      <c r="H175" s="5" t="n">
        <v>28.633</v>
      </c>
      <c r="I175" s="5" t="n">
        <v>77.15</v>
      </c>
      <c r="J175" s="5" t="s">
        <v>83</v>
      </c>
      <c r="K175" s="5" t="s">
        <v>4990</v>
      </c>
      <c r="L175" s="5" t="s">
        <v>872</v>
      </c>
      <c r="M175" s="5" t="s">
        <v>85</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t="n">
        <v>8.17</v>
      </c>
      <c r="BK175" s="5" t="n">
        <v>7.37</v>
      </c>
      <c r="BL175" s="5"/>
      <c r="BM175" s="5" t="n">
        <v>7.99</v>
      </c>
      <c r="BN175" s="5"/>
      <c r="BO175" s="5"/>
      <c r="BP175" s="5"/>
      <c r="BQ175" s="5"/>
      <c r="BR175" s="5"/>
      <c r="BS175" s="5"/>
      <c r="BT175" s="5"/>
      <c r="BU175" s="5"/>
      <c r="BV175" s="5" t="n">
        <v>8</v>
      </c>
      <c r="BW175" s="5" t="n">
        <v>3</v>
      </c>
      <c r="BX175" s="5" t="n">
        <f aca="false">IF(AND(N(BV175)&gt;0,N(BW175)&gt;0),SQRT(2*BV175/BW175),"")</f>
        <v>2.3094010767585</v>
      </c>
      <c r="BY175" s="5"/>
      <c r="BZ175" s="5" t="n">
        <v>5</v>
      </c>
      <c r="CA175" s="5" t="n">
        <v>46</v>
      </c>
      <c r="CB175" s="5" t="n">
        <v>642</v>
      </c>
      <c r="CC175" s="5" t="n">
        <v>28.633</v>
      </c>
      <c r="CD175" s="5" t="n">
        <v>3</v>
      </c>
      <c r="CE175" s="5"/>
      <c r="CF175" s="5"/>
      <c r="CG175" s="5"/>
      <c r="CH175" s="5" t="n">
        <v>4.9</v>
      </c>
      <c r="CI175" s="5" t="n">
        <v>1.52</v>
      </c>
      <c r="CJ175" s="5"/>
      <c r="CK175" s="5"/>
      <c r="CL175" s="5" t="s">
        <v>4977</v>
      </c>
      <c r="CM175" s="5" t="s">
        <v>2165</v>
      </c>
      <c r="CN175" s="5" t="s">
        <v>4991</v>
      </c>
      <c r="CO175" s="5" t="s">
        <v>2167</v>
      </c>
      <c r="CP175" s="5" t="s">
        <v>91</v>
      </c>
      <c r="CQ175" s="23" t="s">
        <v>4994</v>
      </c>
      <c r="CR175" s="5" t="s">
        <v>1148</v>
      </c>
      <c r="CS175" s="5" t="s">
        <v>4980</v>
      </c>
    </row>
    <row r="176" customFormat="false" ht="14.25" hidden="false" customHeight="true" outlineLevel="0" collapsed="false">
      <c r="A176" s="5" t="n">
        <v>173</v>
      </c>
      <c r="B176" s="5" t="n">
        <v>173</v>
      </c>
      <c r="C176" s="5" t="s">
        <v>1133</v>
      </c>
      <c r="D176" s="5" t="n">
        <v>2023</v>
      </c>
      <c r="E176" s="5" t="s">
        <v>1134</v>
      </c>
      <c r="F176" s="5" t="s">
        <v>866</v>
      </c>
      <c r="G176" s="5" t="s">
        <v>1137</v>
      </c>
      <c r="H176" s="5" t="n">
        <v>28.633</v>
      </c>
      <c r="I176" s="5" t="n">
        <v>77.15</v>
      </c>
      <c r="J176" s="5" t="s">
        <v>83</v>
      </c>
      <c r="K176" s="5" t="s">
        <v>4990</v>
      </c>
      <c r="L176" s="5" t="s">
        <v>872</v>
      </c>
      <c r="M176" s="5" t="s">
        <v>85</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t="n">
        <v>9.05</v>
      </c>
      <c r="BK176" s="5" t="n">
        <v>7.36</v>
      </c>
      <c r="BL176" s="5"/>
      <c r="BM176" s="5" t="n">
        <v>7.66</v>
      </c>
      <c r="BN176" s="5"/>
      <c r="BO176" s="5"/>
      <c r="BP176" s="5"/>
      <c r="BQ176" s="5"/>
      <c r="BR176" s="5"/>
      <c r="BS176" s="5"/>
      <c r="BT176" s="5"/>
      <c r="BU176" s="5"/>
      <c r="BV176" s="5" t="n">
        <v>8</v>
      </c>
      <c r="BW176" s="5" t="n">
        <v>3</v>
      </c>
      <c r="BX176" s="5" t="n">
        <f aca="false">IF(AND(N(BV176)&gt;0,N(BW176)&gt;0),SQRT(2*BV176/BW176),"")</f>
        <v>2.3094010767585</v>
      </c>
      <c r="BY176" s="5"/>
      <c r="BZ176" s="5" t="n">
        <v>5</v>
      </c>
      <c r="CA176" s="5" t="n">
        <v>46</v>
      </c>
      <c r="CB176" s="5" t="n">
        <v>642</v>
      </c>
      <c r="CC176" s="5" t="n">
        <v>28.633</v>
      </c>
      <c r="CD176" s="5" t="n">
        <v>3</v>
      </c>
      <c r="CE176" s="5"/>
      <c r="CF176" s="5"/>
      <c r="CG176" s="5"/>
      <c r="CH176" s="5" t="n">
        <v>4.9</v>
      </c>
      <c r="CI176" s="5" t="n">
        <v>1.52</v>
      </c>
      <c r="CJ176" s="5"/>
      <c r="CK176" s="5"/>
      <c r="CL176" s="5" t="s">
        <v>4977</v>
      </c>
      <c r="CM176" s="5" t="s">
        <v>2165</v>
      </c>
      <c r="CN176" s="5" t="s">
        <v>4991</v>
      </c>
      <c r="CO176" s="5" t="s">
        <v>2167</v>
      </c>
      <c r="CP176" s="5" t="s">
        <v>91</v>
      </c>
      <c r="CQ176" s="23" t="s">
        <v>4995</v>
      </c>
      <c r="CR176" s="5" t="s">
        <v>1148</v>
      </c>
      <c r="CS176" s="5" t="s">
        <v>4980</v>
      </c>
    </row>
    <row r="177" customFormat="false" ht="14.25" hidden="false" customHeight="true" outlineLevel="0" collapsed="false">
      <c r="A177" s="5" t="n">
        <v>173</v>
      </c>
      <c r="B177" s="5" t="n">
        <v>173</v>
      </c>
      <c r="C177" s="5" t="s">
        <v>1133</v>
      </c>
      <c r="D177" s="5" t="n">
        <v>2023</v>
      </c>
      <c r="E177" s="5" t="s">
        <v>1134</v>
      </c>
      <c r="F177" s="5" t="s">
        <v>866</v>
      </c>
      <c r="G177" s="5" t="s">
        <v>1137</v>
      </c>
      <c r="H177" s="5" t="n">
        <v>28.633</v>
      </c>
      <c r="I177" s="5" t="n">
        <v>77.15</v>
      </c>
      <c r="J177" s="5" t="s">
        <v>83</v>
      </c>
      <c r="K177" s="5" t="s">
        <v>4905</v>
      </c>
      <c r="L177" s="5" t="s">
        <v>84</v>
      </c>
      <c r="M177" s="5" t="s">
        <v>85</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t="n">
        <v>8.62</v>
      </c>
      <c r="BK177" s="5" t="n">
        <v>8.18</v>
      </c>
      <c r="BL177" s="5"/>
      <c r="BM177" s="5" t="n">
        <v>8.98</v>
      </c>
      <c r="BN177" s="5"/>
      <c r="BO177" s="5"/>
      <c r="BP177" s="5"/>
      <c r="BQ177" s="5"/>
      <c r="BR177" s="5"/>
      <c r="BS177" s="5"/>
      <c r="BT177" s="5"/>
      <c r="BU177" s="5"/>
      <c r="BV177" s="5" t="n">
        <v>8</v>
      </c>
      <c r="BW177" s="5" t="n">
        <v>3</v>
      </c>
      <c r="BX177" s="5" t="n">
        <f aca="false">IF(AND(N(BV177)&gt;0,N(BW177)&gt;0),SQRT(2*BV177/BW177),"")</f>
        <v>2.3094010767585</v>
      </c>
      <c r="BY177" s="5"/>
      <c r="BZ177" s="5" t="n">
        <v>5</v>
      </c>
      <c r="CA177" s="5" t="n">
        <v>46</v>
      </c>
      <c r="CB177" s="5" t="n">
        <v>642</v>
      </c>
      <c r="CC177" s="5" t="n">
        <v>28.633</v>
      </c>
      <c r="CD177" s="5" t="n">
        <v>4</v>
      </c>
      <c r="CE177" s="5"/>
      <c r="CF177" s="5"/>
      <c r="CG177" s="5"/>
      <c r="CH177" s="5" t="n">
        <v>4.9</v>
      </c>
      <c r="CI177" s="5" t="n">
        <v>1.52</v>
      </c>
      <c r="CJ177" s="5"/>
      <c r="CK177" s="5"/>
      <c r="CL177" s="5" t="s">
        <v>4977</v>
      </c>
      <c r="CM177" s="5" t="s">
        <v>2165</v>
      </c>
      <c r="CN177" s="5" t="s">
        <v>4996</v>
      </c>
      <c r="CO177" s="5" t="s">
        <v>2167</v>
      </c>
      <c r="CP177" s="5" t="s">
        <v>91</v>
      </c>
      <c r="CQ177" s="23" t="s">
        <v>4997</v>
      </c>
      <c r="CR177" s="5" t="s">
        <v>1148</v>
      </c>
      <c r="CS177" s="5" t="s">
        <v>4980</v>
      </c>
    </row>
    <row r="178" customFormat="false" ht="14.25" hidden="false" customHeight="true" outlineLevel="0" collapsed="false">
      <c r="A178" s="5" t="n">
        <v>173</v>
      </c>
      <c r="B178" s="5" t="n">
        <v>173</v>
      </c>
      <c r="C178" s="5" t="s">
        <v>1133</v>
      </c>
      <c r="D178" s="5" t="n">
        <v>2023</v>
      </c>
      <c r="E178" s="5" t="s">
        <v>1134</v>
      </c>
      <c r="F178" s="5" t="s">
        <v>866</v>
      </c>
      <c r="G178" s="5" t="s">
        <v>1137</v>
      </c>
      <c r="H178" s="5" t="n">
        <v>28.633</v>
      </c>
      <c r="I178" s="5" t="n">
        <v>77.15</v>
      </c>
      <c r="J178" s="5" t="s">
        <v>83</v>
      </c>
      <c r="K178" s="5" t="s">
        <v>4905</v>
      </c>
      <c r="L178" s="5" t="s">
        <v>84</v>
      </c>
      <c r="M178" s="5" t="s">
        <v>85</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t="n">
        <v>8.71</v>
      </c>
      <c r="BK178" s="5" t="n">
        <v>7.22</v>
      </c>
      <c r="BL178" s="5"/>
      <c r="BM178" s="5" t="n">
        <v>8.69</v>
      </c>
      <c r="BN178" s="5"/>
      <c r="BO178" s="5"/>
      <c r="BP178" s="5"/>
      <c r="BQ178" s="5"/>
      <c r="BR178" s="5"/>
      <c r="BS178" s="5"/>
      <c r="BT178" s="5"/>
      <c r="BU178" s="5"/>
      <c r="BV178" s="5" t="n">
        <v>8</v>
      </c>
      <c r="BW178" s="5" t="n">
        <v>3</v>
      </c>
      <c r="BX178" s="5" t="n">
        <f aca="false">IF(AND(N(BV178)&gt;0,N(BW178)&gt;0),SQRT(2*BV178/BW178),"")</f>
        <v>2.3094010767585</v>
      </c>
      <c r="BY178" s="5"/>
      <c r="BZ178" s="5" t="n">
        <v>5</v>
      </c>
      <c r="CA178" s="5" t="n">
        <v>46</v>
      </c>
      <c r="CB178" s="5" t="n">
        <v>642</v>
      </c>
      <c r="CC178" s="5" t="n">
        <v>28.633</v>
      </c>
      <c r="CD178" s="5" t="n">
        <v>4</v>
      </c>
      <c r="CE178" s="5"/>
      <c r="CF178" s="5"/>
      <c r="CG178" s="5"/>
      <c r="CH178" s="5" t="n">
        <v>4.9</v>
      </c>
      <c r="CI178" s="5" t="n">
        <v>1.52</v>
      </c>
      <c r="CJ178" s="5"/>
      <c r="CK178" s="5"/>
      <c r="CL178" s="5" t="s">
        <v>4977</v>
      </c>
      <c r="CM178" s="5" t="s">
        <v>2165</v>
      </c>
      <c r="CN178" s="5" t="s">
        <v>4996</v>
      </c>
      <c r="CO178" s="5" t="s">
        <v>2167</v>
      </c>
      <c r="CP178" s="5" t="s">
        <v>91</v>
      </c>
      <c r="CQ178" s="23" t="s">
        <v>4998</v>
      </c>
      <c r="CR178" s="5" t="s">
        <v>1148</v>
      </c>
      <c r="CS178" s="5" t="s">
        <v>4980</v>
      </c>
    </row>
    <row r="179" customFormat="false" ht="14.25" hidden="false" customHeight="true" outlineLevel="0" collapsed="false">
      <c r="A179" s="5" t="n">
        <v>173</v>
      </c>
      <c r="B179" s="5" t="n">
        <v>173</v>
      </c>
      <c r="C179" s="5" t="s">
        <v>1133</v>
      </c>
      <c r="D179" s="5" t="n">
        <v>2023</v>
      </c>
      <c r="E179" s="5" t="s">
        <v>1134</v>
      </c>
      <c r="F179" s="5" t="s">
        <v>866</v>
      </c>
      <c r="G179" s="5" t="s">
        <v>1137</v>
      </c>
      <c r="H179" s="5" t="n">
        <v>28.633</v>
      </c>
      <c r="I179" s="5" t="n">
        <v>77.15</v>
      </c>
      <c r="J179" s="5" t="s">
        <v>83</v>
      </c>
      <c r="K179" s="5" t="s">
        <v>4905</v>
      </c>
      <c r="L179" s="5" t="s">
        <v>84</v>
      </c>
      <c r="M179" s="5" t="s">
        <v>85</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t="n">
        <v>9.67</v>
      </c>
      <c r="BK179" s="5" t="n">
        <v>8.18</v>
      </c>
      <c r="BL179" s="5"/>
      <c r="BM179" s="5" t="n">
        <v>8.98</v>
      </c>
      <c r="BN179" s="5"/>
      <c r="BO179" s="5"/>
      <c r="BP179" s="5"/>
      <c r="BQ179" s="5"/>
      <c r="BR179" s="5"/>
      <c r="BS179" s="5"/>
      <c r="BT179" s="5"/>
      <c r="BU179" s="5"/>
      <c r="BV179" s="5" t="n">
        <v>8</v>
      </c>
      <c r="BW179" s="5" t="n">
        <v>3</v>
      </c>
      <c r="BX179" s="5" t="n">
        <f aca="false">IF(AND(N(BV179)&gt;0,N(BW179)&gt;0),SQRT(2*BV179/BW179),"")</f>
        <v>2.3094010767585</v>
      </c>
      <c r="BY179" s="5"/>
      <c r="BZ179" s="5" t="n">
        <v>5</v>
      </c>
      <c r="CA179" s="5" t="n">
        <v>46</v>
      </c>
      <c r="CB179" s="5" t="n">
        <v>642</v>
      </c>
      <c r="CC179" s="5" t="n">
        <v>28.633</v>
      </c>
      <c r="CD179" s="5" t="n">
        <v>4</v>
      </c>
      <c r="CE179" s="5"/>
      <c r="CF179" s="5"/>
      <c r="CG179" s="5"/>
      <c r="CH179" s="5" t="n">
        <v>4.9</v>
      </c>
      <c r="CI179" s="5" t="n">
        <v>1.52</v>
      </c>
      <c r="CJ179" s="5"/>
      <c r="CK179" s="5"/>
      <c r="CL179" s="5" t="s">
        <v>4977</v>
      </c>
      <c r="CM179" s="5" t="s">
        <v>2165</v>
      </c>
      <c r="CN179" s="5" t="s">
        <v>4996</v>
      </c>
      <c r="CO179" s="5" t="s">
        <v>2167</v>
      </c>
      <c r="CP179" s="5" t="s">
        <v>91</v>
      </c>
      <c r="CQ179" s="23" t="s">
        <v>4999</v>
      </c>
      <c r="CR179" s="5" t="s">
        <v>1148</v>
      </c>
      <c r="CS179" s="5" t="s">
        <v>4980</v>
      </c>
    </row>
    <row r="180" customFormat="false" ht="14.25" hidden="false" customHeight="true" outlineLevel="0" collapsed="false">
      <c r="A180" s="5" t="n">
        <v>173</v>
      </c>
      <c r="B180" s="5" t="n">
        <v>173</v>
      </c>
      <c r="C180" s="5" t="s">
        <v>1133</v>
      </c>
      <c r="D180" s="5" t="n">
        <v>2023</v>
      </c>
      <c r="E180" s="5" t="s">
        <v>1134</v>
      </c>
      <c r="F180" s="5" t="s">
        <v>866</v>
      </c>
      <c r="G180" s="5" t="s">
        <v>1137</v>
      </c>
      <c r="H180" s="5" t="n">
        <v>28.633</v>
      </c>
      <c r="I180" s="5" t="n">
        <v>77.15</v>
      </c>
      <c r="J180" s="5" t="s">
        <v>83</v>
      </c>
      <c r="K180" s="5" t="s">
        <v>4905</v>
      </c>
      <c r="L180" s="5" t="s">
        <v>84</v>
      </c>
      <c r="M180" s="5" t="s">
        <v>85</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t="n">
        <v>9.92</v>
      </c>
      <c r="BK180" s="5" t="n">
        <v>7.22</v>
      </c>
      <c r="BL180" s="5"/>
      <c r="BM180" s="5" t="n">
        <v>8.69</v>
      </c>
      <c r="BN180" s="5"/>
      <c r="BO180" s="5"/>
      <c r="BP180" s="5"/>
      <c r="BQ180" s="5"/>
      <c r="BR180" s="5"/>
      <c r="BS180" s="5"/>
      <c r="BT180" s="5"/>
      <c r="BU180" s="5"/>
      <c r="BV180" s="5" t="n">
        <v>8</v>
      </c>
      <c r="BW180" s="5" t="n">
        <v>3</v>
      </c>
      <c r="BX180" s="5" t="n">
        <f aca="false">IF(AND(N(BV180)&gt;0,N(BW180)&gt;0),SQRT(2*BV180/BW180),"")</f>
        <v>2.3094010767585</v>
      </c>
      <c r="BY180" s="5"/>
      <c r="BZ180" s="5" t="n">
        <v>5</v>
      </c>
      <c r="CA180" s="5" t="n">
        <v>46</v>
      </c>
      <c r="CB180" s="5" t="n">
        <v>642</v>
      </c>
      <c r="CC180" s="5" t="n">
        <v>28.633</v>
      </c>
      <c r="CD180" s="5" t="n">
        <v>4</v>
      </c>
      <c r="CE180" s="5"/>
      <c r="CF180" s="5"/>
      <c r="CG180" s="5"/>
      <c r="CH180" s="5" t="n">
        <v>4.9</v>
      </c>
      <c r="CI180" s="5" t="n">
        <v>1.52</v>
      </c>
      <c r="CJ180" s="5"/>
      <c r="CK180" s="5"/>
      <c r="CL180" s="5" t="s">
        <v>4977</v>
      </c>
      <c r="CM180" s="5" t="s">
        <v>2165</v>
      </c>
      <c r="CN180" s="5" t="s">
        <v>4996</v>
      </c>
      <c r="CO180" s="5" t="s">
        <v>2167</v>
      </c>
      <c r="CP180" s="5" t="s">
        <v>91</v>
      </c>
      <c r="CQ180" s="23" t="s">
        <v>5000</v>
      </c>
      <c r="CR180" s="5" t="s">
        <v>1148</v>
      </c>
      <c r="CS180" s="5" t="s">
        <v>4980</v>
      </c>
    </row>
    <row r="181" customFormat="false" ht="14.25" hidden="false" customHeight="true" outlineLevel="0" collapsed="false">
      <c r="A181" s="5" t="n">
        <v>173</v>
      </c>
      <c r="B181" s="5" t="n">
        <v>173</v>
      </c>
      <c r="C181" s="5" t="s">
        <v>1133</v>
      </c>
      <c r="D181" s="5" t="n">
        <v>2023</v>
      </c>
      <c r="E181" s="5" t="s">
        <v>1134</v>
      </c>
      <c r="F181" s="5" t="s">
        <v>866</v>
      </c>
      <c r="G181" s="5" t="s">
        <v>1137</v>
      </c>
      <c r="H181" s="5" t="n">
        <v>28.633</v>
      </c>
      <c r="I181" s="5" t="n">
        <v>77.15</v>
      </c>
      <c r="J181" s="5" t="s">
        <v>83</v>
      </c>
      <c r="K181" s="5" t="s">
        <v>4923</v>
      </c>
      <c r="L181" s="5" t="s">
        <v>84</v>
      </c>
      <c r="M181" s="5" t="s">
        <v>85</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t="n">
        <v>7.41</v>
      </c>
      <c r="BK181" s="5" t="n">
        <v>7.38</v>
      </c>
      <c r="BL181" s="5"/>
      <c r="BM181" s="5" t="n">
        <v>7.98</v>
      </c>
      <c r="BN181" s="5"/>
      <c r="BO181" s="5"/>
      <c r="BP181" s="5"/>
      <c r="BQ181" s="5"/>
      <c r="BR181" s="5"/>
      <c r="BS181" s="5"/>
      <c r="BT181" s="5"/>
      <c r="BU181" s="5"/>
      <c r="BV181" s="5" t="n">
        <v>8</v>
      </c>
      <c r="BW181" s="5" t="n">
        <v>3</v>
      </c>
      <c r="BX181" s="5" t="n">
        <f aca="false">IF(AND(N(BV181)&gt;0,N(BW181)&gt;0),SQRT(2*BV181/BW181),"")</f>
        <v>2.3094010767585</v>
      </c>
      <c r="BY181" s="5"/>
      <c r="BZ181" s="5" t="n">
        <v>5</v>
      </c>
      <c r="CA181" s="5" t="n">
        <v>46</v>
      </c>
      <c r="CB181" s="5" t="n">
        <v>642</v>
      </c>
      <c r="CC181" s="5" t="n">
        <v>28.633</v>
      </c>
      <c r="CD181" s="5" t="n">
        <v>5</v>
      </c>
      <c r="CE181" s="5"/>
      <c r="CF181" s="5"/>
      <c r="CG181" s="5"/>
      <c r="CH181" s="5" t="n">
        <v>4.9</v>
      </c>
      <c r="CI181" s="5" t="n">
        <v>1.52</v>
      </c>
      <c r="CJ181" s="5"/>
      <c r="CK181" s="5"/>
      <c r="CL181" s="5" t="s">
        <v>4977</v>
      </c>
      <c r="CM181" s="5" t="s">
        <v>2165</v>
      </c>
      <c r="CN181" s="5" t="s">
        <v>5001</v>
      </c>
      <c r="CO181" s="5" t="s">
        <v>2167</v>
      </c>
      <c r="CP181" s="5" t="s">
        <v>91</v>
      </c>
      <c r="CQ181" s="23" t="s">
        <v>5002</v>
      </c>
      <c r="CR181" s="5" t="s">
        <v>1148</v>
      </c>
      <c r="CS181" s="5" t="s">
        <v>4980</v>
      </c>
    </row>
    <row r="182" customFormat="false" ht="14.25" hidden="false" customHeight="true" outlineLevel="0" collapsed="false">
      <c r="A182" s="5" t="n">
        <v>173</v>
      </c>
      <c r="B182" s="5" t="n">
        <v>173</v>
      </c>
      <c r="C182" s="5" t="s">
        <v>1133</v>
      </c>
      <c r="D182" s="5" t="n">
        <v>2023</v>
      </c>
      <c r="E182" s="5" t="s">
        <v>1134</v>
      </c>
      <c r="F182" s="5" t="s">
        <v>866</v>
      </c>
      <c r="G182" s="5" t="s">
        <v>1137</v>
      </c>
      <c r="H182" s="5" t="n">
        <v>28.633</v>
      </c>
      <c r="I182" s="5" t="n">
        <v>77.15</v>
      </c>
      <c r="J182" s="5" t="s">
        <v>83</v>
      </c>
      <c r="K182" s="5" t="s">
        <v>4923</v>
      </c>
      <c r="L182" s="5" t="s">
        <v>84</v>
      </c>
      <c r="M182" s="5" t="s">
        <v>85</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t="n">
        <v>7.73</v>
      </c>
      <c r="BK182" s="5" t="n">
        <v>7.56</v>
      </c>
      <c r="BL182" s="5"/>
      <c r="BM182" s="5" t="n">
        <v>7.92</v>
      </c>
      <c r="BN182" s="5"/>
      <c r="BO182" s="5"/>
      <c r="BP182" s="5"/>
      <c r="BQ182" s="5"/>
      <c r="BR182" s="5"/>
      <c r="BS182" s="5"/>
      <c r="BT182" s="5"/>
      <c r="BU182" s="5"/>
      <c r="BV182" s="5" t="n">
        <v>8</v>
      </c>
      <c r="BW182" s="5" t="n">
        <v>3</v>
      </c>
      <c r="BX182" s="5" t="n">
        <f aca="false">IF(AND(N(BV182)&gt;0,N(BW182)&gt;0),SQRT(2*BV182/BW182),"")</f>
        <v>2.3094010767585</v>
      </c>
      <c r="BY182" s="5"/>
      <c r="BZ182" s="5" t="n">
        <v>5</v>
      </c>
      <c r="CA182" s="5" t="n">
        <v>46</v>
      </c>
      <c r="CB182" s="5" t="n">
        <v>642</v>
      </c>
      <c r="CC182" s="5" t="n">
        <v>28.633</v>
      </c>
      <c r="CD182" s="5" t="n">
        <v>5</v>
      </c>
      <c r="CE182" s="5"/>
      <c r="CF182" s="5"/>
      <c r="CG182" s="5"/>
      <c r="CH182" s="5" t="n">
        <v>4.9</v>
      </c>
      <c r="CI182" s="5" t="n">
        <v>1.52</v>
      </c>
      <c r="CJ182" s="5"/>
      <c r="CK182" s="5"/>
      <c r="CL182" s="5" t="s">
        <v>4977</v>
      </c>
      <c r="CM182" s="5" t="s">
        <v>2165</v>
      </c>
      <c r="CN182" s="5" t="s">
        <v>5001</v>
      </c>
      <c r="CO182" s="5" t="s">
        <v>2167</v>
      </c>
      <c r="CP182" s="5" t="s">
        <v>91</v>
      </c>
      <c r="CQ182" s="23" t="s">
        <v>5003</v>
      </c>
      <c r="CR182" s="5" t="s">
        <v>1148</v>
      </c>
      <c r="CS182" s="5" t="s">
        <v>4980</v>
      </c>
    </row>
    <row r="183" customFormat="false" ht="14.25" hidden="false" customHeight="true" outlineLevel="0" collapsed="false">
      <c r="A183" s="5" t="n">
        <v>173</v>
      </c>
      <c r="B183" s="5" t="n">
        <v>173</v>
      </c>
      <c r="C183" s="5" t="s">
        <v>1133</v>
      </c>
      <c r="D183" s="5" t="n">
        <v>2023</v>
      </c>
      <c r="E183" s="5" t="s">
        <v>1134</v>
      </c>
      <c r="F183" s="5" t="s">
        <v>866</v>
      </c>
      <c r="G183" s="5" t="s">
        <v>1137</v>
      </c>
      <c r="H183" s="5" t="n">
        <v>28.633</v>
      </c>
      <c r="I183" s="5" t="n">
        <v>77.15</v>
      </c>
      <c r="J183" s="5" t="s">
        <v>83</v>
      </c>
      <c r="K183" s="5" t="s">
        <v>4923</v>
      </c>
      <c r="L183" s="5" t="s">
        <v>84</v>
      </c>
      <c r="M183" s="5" t="s">
        <v>85</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t="n">
        <v>8.94</v>
      </c>
      <c r="BK183" s="5" t="n">
        <v>7.38</v>
      </c>
      <c r="BL183" s="5"/>
      <c r="BM183" s="5" t="n">
        <v>7.98</v>
      </c>
      <c r="BN183" s="5"/>
      <c r="BO183" s="5"/>
      <c r="BP183" s="5"/>
      <c r="BQ183" s="5"/>
      <c r="BR183" s="5"/>
      <c r="BS183" s="5"/>
      <c r="BT183" s="5"/>
      <c r="BU183" s="5"/>
      <c r="BV183" s="5" t="n">
        <v>8</v>
      </c>
      <c r="BW183" s="5" t="n">
        <v>3</v>
      </c>
      <c r="BX183" s="5" t="n">
        <f aca="false">IF(AND(N(BV183)&gt;0,N(BW183)&gt;0),SQRT(2*BV183/BW183),"")</f>
        <v>2.3094010767585</v>
      </c>
      <c r="BY183" s="5"/>
      <c r="BZ183" s="5" t="n">
        <v>5</v>
      </c>
      <c r="CA183" s="5" t="n">
        <v>46</v>
      </c>
      <c r="CB183" s="5" t="n">
        <v>642</v>
      </c>
      <c r="CC183" s="5" t="n">
        <v>28.633</v>
      </c>
      <c r="CD183" s="5" t="n">
        <v>5</v>
      </c>
      <c r="CE183" s="5"/>
      <c r="CF183" s="5"/>
      <c r="CG183" s="5"/>
      <c r="CH183" s="5" t="n">
        <v>4.9</v>
      </c>
      <c r="CI183" s="5" t="n">
        <v>1.52</v>
      </c>
      <c r="CJ183" s="5"/>
      <c r="CK183" s="5"/>
      <c r="CL183" s="5" t="s">
        <v>4977</v>
      </c>
      <c r="CM183" s="5" t="s">
        <v>2165</v>
      </c>
      <c r="CN183" s="5" t="s">
        <v>5001</v>
      </c>
      <c r="CO183" s="5" t="s">
        <v>2167</v>
      </c>
      <c r="CP183" s="5" t="s">
        <v>91</v>
      </c>
      <c r="CQ183" s="23" t="s">
        <v>5004</v>
      </c>
      <c r="CR183" s="5" t="s">
        <v>1148</v>
      </c>
      <c r="CS183" s="5" t="s">
        <v>4980</v>
      </c>
    </row>
    <row r="184" customFormat="false" ht="14.25" hidden="false" customHeight="true" outlineLevel="0" collapsed="false">
      <c r="A184" s="5" t="n">
        <v>173</v>
      </c>
      <c r="B184" s="5" t="n">
        <v>173</v>
      </c>
      <c r="C184" s="5" t="s">
        <v>1133</v>
      </c>
      <c r="D184" s="5" t="n">
        <v>2023</v>
      </c>
      <c r="E184" s="5" t="s">
        <v>1134</v>
      </c>
      <c r="F184" s="5" t="s">
        <v>866</v>
      </c>
      <c r="G184" s="5" t="s">
        <v>1137</v>
      </c>
      <c r="H184" s="5" t="n">
        <v>28.633</v>
      </c>
      <c r="I184" s="5" t="n">
        <v>77.15</v>
      </c>
      <c r="J184" s="5" t="s">
        <v>83</v>
      </c>
      <c r="K184" s="5" t="s">
        <v>4923</v>
      </c>
      <c r="L184" s="5" t="s">
        <v>84</v>
      </c>
      <c r="M184" s="5" t="s">
        <v>85</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t="n">
        <v>8.72</v>
      </c>
      <c r="BK184" s="5" t="n">
        <v>7.56</v>
      </c>
      <c r="BL184" s="5"/>
      <c r="BM184" s="5" t="n">
        <v>7.92</v>
      </c>
      <c r="BN184" s="5"/>
      <c r="BO184" s="5"/>
      <c r="BP184" s="5"/>
      <c r="BQ184" s="5"/>
      <c r="BR184" s="5"/>
      <c r="BS184" s="5"/>
      <c r="BT184" s="5"/>
      <c r="BU184" s="5"/>
      <c r="BV184" s="5" t="n">
        <v>8</v>
      </c>
      <c r="BW184" s="5" t="n">
        <v>3</v>
      </c>
      <c r="BX184" s="5" t="n">
        <f aca="false">IF(AND(N(BV184)&gt;0,N(BW184)&gt;0),SQRT(2*BV184/BW184),"")</f>
        <v>2.3094010767585</v>
      </c>
      <c r="BY184" s="5"/>
      <c r="BZ184" s="5" t="n">
        <v>5</v>
      </c>
      <c r="CA184" s="5" t="n">
        <v>46</v>
      </c>
      <c r="CB184" s="5" t="n">
        <v>642</v>
      </c>
      <c r="CC184" s="5" t="n">
        <v>28.633</v>
      </c>
      <c r="CD184" s="5" t="n">
        <v>5</v>
      </c>
      <c r="CE184" s="5"/>
      <c r="CF184" s="5"/>
      <c r="CG184" s="5"/>
      <c r="CH184" s="5" t="n">
        <v>4.9</v>
      </c>
      <c r="CI184" s="5" t="n">
        <v>1.52</v>
      </c>
      <c r="CJ184" s="5"/>
      <c r="CK184" s="5"/>
      <c r="CL184" s="5" t="s">
        <v>4977</v>
      </c>
      <c r="CM184" s="5" t="s">
        <v>2165</v>
      </c>
      <c r="CN184" s="5" t="s">
        <v>5001</v>
      </c>
      <c r="CO184" s="5" t="s">
        <v>2167</v>
      </c>
      <c r="CP184" s="5" t="s">
        <v>91</v>
      </c>
      <c r="CQ184" s="23" t="s">
        <v>5005</v>
      </c>
      <c r="CR184" s="5" t="s">
        <v>1148</v>
      </c>
      <c r="CS184" s="5" t="s">
        <v>4980</v>
      </c>
    </row>
    <row r="185" customFormat="false" ht="14.25" hidden="false" customHeight="true" outlineLevel="0" collapsed="false">
      <c r="A185" s="5" t="n">
        <v>173</v>
      </c>
      <c r="B185" s="5" t="n">
        <v>173</v>
      </c>
      <c r="C185" s="5" t="s">
        <v>1133</v>
      </c>
      <c r="D185" s="5" t="n">
        <v>2023</v>
      </c>
      <c r="E185" s="5" t="s">
        <v>1134</v>
      </c>
      <c r="F185" s="5" t="s">
        <v>866</v>
      </c>
      <c r="G185" s="5" t="s">
        <v>1137</v>
      </c>
      <c r="H185" s="5" t="n">
        <v>28.633</v>
      </c>
      <c r="I185" s="5" t="n">
        <v>77.15</v>
      </c>
      <c r="J185" s="5" t="s">
        <v>83</v>
      </c>
      <c r="K185" s="5" t="s">
        <v>4934</v>
      </c>
      <c r="L185" s="5" t="s">
        <v>84</v>
      </c>
      <c r="M185" s="5" t="s">
        <v>85</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t="n">
        <v>8.5</v>
      </c>
      <c r="BK185" s="5" t="n">
        <v>8.64</v>
      </c>
      <c r="BL185" s="5"/>
      <c r="BM185" s="5" t="n">
        <v>8.98</v>
      </c>
      <c r="BN185" s="5"/>
      <c r="BO185" s="5"/>
      <c r="BP185" s="5"/>
      <c r="BQ185" s="5"/>
      <c r="BR185" s="5"/>
      <c r="BS185" s="5"/>
      <c r="BT185" s="5"/>
      <c r="BU185" s="5"/>
      <c r="BV185" s="5" t="n">
        <v>8</v>
      </c>
      <c r="BW185" s="5" t="n">
        <v>3</v>
      </c>
      <c r="BX185" s="5" t="n">
        <f aca="false">IF(AND(N(BV185)&gt;0,N(BW185)&gt;0),SQRT(2*BV185/BW185),"")</f>
        <v>2.3094010767585</v>
      </c>
      <c r="BY185" s="5"/>
      <c r="BZ185" s="5" t="n">
        <v>5</v>
      </c>
      <c r="CA185" s="5" t="n">
        <v>46</v>
      </c>
      <c r="CB185" s="5" t="n">
        <v>642</v>
      </c>
      <c r="CC185" s="5" t="n">
        <v>28.633</v>
      </c>
      <c r="CD185" s="5" t="n">
        <v>6</v>
      </c>
      <c r="CE185" s="5"/>
      <c r="CF185" s="5"/>
      <c r="CG185" s="5"/>
      <c r="CH185" s="5" t="n">
        <v>4.9</v>
      </c>
      <c r="CI185" s="5" t="n">
        <v>1.52</v>
      </c>
      <c r="CJ185" s="5"/>
      <c r="CK185" s="5"/>
      <c r="CL185" s="5" t="s">
        <v>4977</v>
      </c>
      <c r="CM185" s="5" t="s">
        <v>2165</v>
      </c>
      <c r="CN185" s="5" t="s">
        <v>5006</v>
      </c>
      <c r="CO185" s="5" t="s">
        <v>2167</v>
      </c>
      <c r="CP185" s="5" t="s">
        <v>91</v>
      </c>
      <c r="CQ185" s="23" t="s">
        <v>5007</v>
      </c>
      <c r="CR185" s="5" t="s">
        <v>1148</v>
      </c>
      <c r="CS185" s="5" t="s">
        <v>4980</v>
      </c>
    </row>
    <row r="186" customFormat="false" ht="14.25" hidden="false" customHeight="true" outlineLevel="0" collapsed="false">
      <c r="A186" s="5" t="n">
        <v>173</v>
      </c>
      <c r="B186" s="5" t="n">
        <v>173</v>
      </c>
      <c r="C186" s="5" t="s">
        <v>1133</v>
      </c>
      <c r="D186" s="5" t="n">
        <v>2023</v>
      </c>
      <c r="E186" s="5" t="s">
        <v>1134</v>
      </c>
      <c r="F186" s="5" t="s">
        <v>866</v>
      </c>
      <c r="G186" s="5" t="s">
        <v>1137</v>
      </c>
      <c r="H186" s="5" t="n">
        <v>28.633</v>
      </c>
      <c r="I186" s="5" t="n">
        <v>77.15</v>
      </c>
      <c r="J186" s="5" t="s">
        <v>83</v>
      </c>
      <c r="K186" s="5" t="s">
        <v>4934</v>
      </c>
      <c r="L186" s="5" t="s">
        <v>84</v>
      </c>
      <c r="M186" s="5" t="s">
        <v>85</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t="n">
        <v>8.67</v>
      </c>
      <c r="BK186" s="5" t="n">
        <v>8.52</v>
      </c>
      <c r="BL186" s="5"/>
      <c r="BM186" s="5" t="n">
        <v>8.75</v>
      </c>
      <c r="BN186" s="5"/>
      <c r="BO186" s="5"/>
      <c r="BP186" s="5"/>
      <c r="BQ186" s="5"/>
      <c r="BR186" s="5"/>
      <c r="BS186" s="5"/>
      <c r="BT186" s="5"/>
      <c r="BU186" s="5"/>
      <c r="BV186" s="5" t="n">
        <v>8</v>
      </c>
      <c r="BW186" s="5" t="n">
        <v>3</v>
      </c>
      <c r="BX186" s="5" t="n">
        <f aca="false">IF(AND(N(BV186)&gt;0,N(BW186)&gt;0),SQRT(2*BV186/BW186),"")</f>
        <v>2.3094010767585</v>
      </c>
      <c r="BY186" s="5"/>
      <c r="BZ186" s="5" t="n">
        <v>5</v>
      </c>
      <c r="CA186" s="5" t="n">
        <v>46</v>
      </c>
      <c r="CB186" s="5" t="n">
        <v>642</v>
      </c>
      <c r="CC186" s="5" t="n">
        <v>28.633</v>
      </c>
      <c r="CD186" s="5" t="n">
        <v>6</v>
      </c>
      <c r="CE186" s="5"/>
      <c r="CF186" s="5"/>
      <c r="CG186" s="5"/>
      <c r="CH186" s="5" t="n">
        <v>4.9</v>
      </c>
      <c r="CI186" s="5" t="n">
        <v>1.52</v>
      </c>
      <c r="CJ186" s="5"/>
      <c r="CK186" s="5"/>
      <c r="CL186" s="5" t="s">
        <v>4977</v>
      </c>
      <c r="CM186" s="5" t="s">
        <v>2165</v>
      </c>
      <c r="CN186" s="5" t="s">
        <v>5006</v>
      </c>
      <c r="CO186" s="5" t="s">
        <v>2167</v>
      </c>
      <c r="CP186" s="5" t="s">
        <v>91</v>
      </c>
      <c r="CQ186" s="23" t="s">
        <v>5008</v>
      </c>
      <c r="CR186" s="5" t="s">
        <v>1148</v>
      </c>
      <c r="CS186" s="5" t="s">
        <v>4980</v>
      </c>
    </row>
    <row r="187" customFormat="false" ht="14.25" hidden="false" customHeight="true" outlineLevel="0" collapsed="false">
      <c r="A187" s="5" t="n">
        <v>173</v>
      </c>
      <c r="B187" s="5" t="n">
        <v>173</v>
      </c>
      <c r="C187" s="5" t="s">
        <v>1133</v>
      </c>
      <c r="D187" s="5" t="n">
        <v>2023</v>
      </c>
      <c r="E187" s="5" t="s">
        <v>1134</v>
      </c>
      <c r="F187" s="5" t="s">
        <v>866</v>
      </c>
      <c r="G187" s="5" t="s">
        <v>1137</v>
      </c>
      <c r="H187" s="5" t="n">
        <v>28.633</v>
      </c>
      <c r="I187" s="5" t="n">
        <v>77.15</v>
      </c>
      <c r="J187" s="5" t="s">
        <v>83</v>
      </c>
      <c r="K187" s="5" t="s">
        <v>4934</v>
      </c>
      <c r="L187" s="5" t="s">
        <v>84</v>
      </c>
      <c r="M187" s="5" t="s">
        <v>85</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t="n">
        <v>9.57</v>
      </c>
      <c r="BK187" s="5" t="n">
        <v>8.64</v>
      </c>
      <c r="BL187" s="5"/>
      <c r="BM187" s="5" t="n">
        <v>8.98</v>
      </c>
      <c r="BN187" s="5"/>
      <c r="BO187" s="5"/>
      <c r="BP187" s="5"/>
      <c r="BQ187" s="5"/>
      <c r="BR187" s="5"/>
      <c r="BS187" s="5"/>
      <c r="BT187" s="5"/>
      <c r="BU187" s="5"/>
      <c r="BV187" s="5" t="n">
        <v>8</v>
      </c>
      <c r="BW187" s="5" t="n">
        <v>3</v>
      </c>
      <c r="BX187" s="5" t="n">
        <f aca="false">IF(AND(N(BV187)&gt;0,N(BW187)&gt;0),SQRT(2*BV187/BW187),"")</f>
        <v>2.3094010767585</v>
      </c>
      <c r="BY187" s="5"/>
      <c r="BZ187" s="5" t="n">
        <v>5</v>
      </c>
      <c r="CA187" s="5" t="n">
        <v>46</v>
      </c>
      <c r="CB187" s="5" t="n">
        <v>642</v>
      </c>
      <c r="CC187" s="5" t="n">
        <v>28.633</v>
      </c>
      <c r="CD187" s="5" t="n">
        <v>6</v>
      </c>
      <c r="CE187" s="5"/>
      <c r="CF187" s="5"/>
      <c r="CG187" s="5"/>
      <c r="CH187" s="5" t="n">
        <v>4.9</v>
      </c>
      <c r="CI187" s="5" t="n">
        <v>1.52</v>
      </c>
      <c r="CJ187" s="5"/>
      <c r="CK187" s="5"/>
      <c r="CL187" s="5" t="s">
        <v>4977</v>
      </c>
      <c r="CM187" s="5" t="s">
        <v>2165</v>
      </c>
      <c r="CN187" s="5" t="s">
        <v>5006</v>
      </c>
      <c r="CO187" s="5" t="s">
        <v>2167</v>
      </c>
      <c r="CP187" s="5" t="s">
        <v>91</v>
      </c>
      <c r="CQ187" s="23" t="s">
        <v>5009</v>
      </c>
      <c r="CR187" s="5" t="s">
        <v>1148</v>
      </c>
      <c r="CS187" s="5" t="s">
        <v>4980</v>
      </c>
    </row>
    <row r="188" customFormat="false" ht="14.25" hidden="false" customHeight="true" outlineLevel="0" collapsed="false">
      <c r="A188" s="5" t="n">
        <v>173</v>
      </c>
      <c r="B188" s="5" t="n">
        <v>173</v>
      </c>
      <c r="C188" s="5" t="s">
        <v>1133</v>
      </c>
      <c r="D188" s="5" t="n">
        <v>2023</v>
      </c>
      <c r="E188" s="5" t="s">
        <v>1134</v>
      </c>
      <c r="F188" s="5" t="s">
        <v>866</v>
      </c>
      <c r="G188" s="5" t="s">
        <v>1137</v>
      </c>
      <c r="H188" s="5" t="n">
        <v>28.633</v>
      </c>
      <c r="I188" s="5" t="n">
        <v>77.15</v>
      </c>
      <c r="J188" s="5" t="s">
        <v>83</v>
      </c>
      <c r="K188" s="5" t="s">
        <v>4934</v>
      </c>
      <c r="L188" s="5" t="s">
        <v>84</v>
      </c>
      <c r="M188" s="5" t="s">
        <v>85</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t="n">
        <v>9.51</v>
      </c>
      <c r="BK188" s="5" t="n">
        <v>8.52</v>
      </c>
      <c r="BL188" s="5"/>
      <c r="BM188" s="5" t="n">
        <v>8.75</v>
      </c>
      <c r="BN188" s="5"/>
      <c r="BO188" s="5"/>
      <c r="BP188" s="5"/>
      <c r="BQ188" s="5"/>
      <c r="BR188" s="5"/>
      <c r="BS188" s="5"/>
      <c r="BT188" s="5"/>
      <c r="BU188" s="5"/>
      <c r="BV188" s="5" t="n">
        <v>8</v>
      </c>
      <c r="BW188" s="5" t="n">
        <v>3</v>
      </c>
      <c r="BX188" s="5" t="n">
        <f aca="false">IF(AND(N(BV188)&gt;0,N(BW188)&gt;0),SQRT(2*BV188/BW188),"")</f>
        <v>2.3094010767585</v>
      </c>
      <c r="BY188" s="5"/>
      <c r="BZ188" s="5" t="n">
        <v>5</v>
      </c>
      <c r="CA188" s="5" t="n">
        <v>46</v>
      </c>
      <c r="CB188" s="5" t="n">
        <v>642</v>
      </c>
      <c r="CC188" s="5" t="n">
        <v>28.633</v>
      </c>
      <c r="CD188" s="5" t="n">
        <v>6</v>
      </c>
      <c r="CE188" s="5"/>
      <c r="CF188" s="5"/>
      <c r="CG188" s="5"/>
      <c r="CH188" s="5" t="n">
        <v>4.9</v>
      </c>
      <c r="CI188" s="5" t="n">
        <v>1.52</v>
      </c>
      <c r="CJ188" s="5"/>
      <c r="CK188" s="5"/>
      <c r="CL188" s="5" t="s">
        <v>4977</v>
      </c>
      <c r="CM188" s="5" t="s">
        <v>2165</v>
      </c>
      <c r="CN188" s="5" t="s">
        <v>5006</v>
      </c>
      <c r="CO188" s="5" t="s">
        <v>2167</v>
      </c>
      <c r="CP188" s="5" t="s">
        <v>91</v>
      </c>
      <c r="CQ188" s="23" t="s">
        <v>5010</v>
      </c>
      <c r="CR188" s="5" t="s">
        <v>1148</v>
      </c>
      <c r="CS188" s="5" t="s">
        <v>4980</v>
      </c>
    </row>
    <row r="189" customFormat="false" ht="14.25" hidden="false" customHeight="false" outlineLevel="0" collapsed="false">
      <c r="A189" s="24" t="n">
        <v>175</v>
      </c>
      <c r="B189" s="24" t="n">
        <v>175</v>
      </c>
      <c r="C189" s="24" t="s">
        <v>1170</v>
      </c>
      <c r="D189" s="24" t="n">
        <v>2022</v>
      </c>
      <c r="E189" s="24" t="s">
        <v>1171</v>
      </c>
      <c r="F189" s="24" t="s">
        <v>1045</v>
      </c>
      <c r="G189" s="24" t="s">
        <v>1174</v>
      </c>
      <c r="H189" s="24" t="n">
        <v>24.4514</v>
      </c>
      <c r="I189" s="24" t="n">
        <v>90.2411</v>
      </c>
      <c r="J189" s="24" t="s">
        <v>83</v>
      </c>
      <c r="K189" s="24" t="s">
        <v>5011</v>
      </c>
      <c r="L189" s="24" t="s">
        <v>872</v>
      </c>
      <c r="M189" s="24" t="s">
        <v>85</v>
      </c>
      <c r="N189" s="24"/>
      <c r="O189" s="24" t="n">
        <v>3.61</v>
      </c>
      <c r="P189" s="24"/>
      <c r="Q189" s="24"/>
      <c r="R189" s="24" t="n">
        <v>4.74</v>
      </c>
      <c r="S189" s="24"/>
      <c r="T189" s="24"/>
      <c r="U189" s="24"/>
      <c r="V189" s="24"/>
      <c r="W189" s="24"/>
      <c r="X189" s="24"/>
      <c r="Y189" s="24"/>
      <c r="Z189" s="24"/>
      <c r="AA189" s="24"/>
      <c r="AB189" s="24"/>
      <c r="AC189" s="24"/>
      <c r="AD189" s="24"/>
      <c r="AE189" s="24"/>
      <c r="AF189" s="24"/>
      <c r="AG189" s="24"/>
      <c r="AH189" s="24"/>
      <c r="AI189" s="24"/>
      <c r="AJ189" s="24"/>
      <c r="AK189" s="24"/>
      <c r="AL189" s="24"/>
      <c r="AM189" s="24" t="n">
        <v>5.41</v>
      </c>
      <c r="AN189" s="24"/>
      <c r="AO189" s="24"/>
      <c r="AP189" s="24" t="n">
        <v>6.23</v>
      </c>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t="n">
        <v>4</v>
      </c>
      <c r="BW189" s="24" t="n">
        <v>4</v>
      </c>
      <c r="BX189" s="24" t="n">
        <f aca="false">IF(AND(N(BV189)&gt;0,N(BW189)&gt;0),SQRT(2*BV189/BW189),"")</f>
        <v>1.4142135623731</v>
      </c>
      <c r="BY189" s="24" t="n">
        <v>28</v>
      </c>
      <c r="BZ189" s="24" t="n">
        <v>12</v>
      </c>
      <c r="CA189" s="24" t="n">
        <v>33</v>
      </c>
      <c r="CB189" s="24" t="n">
        <v>172</v>
      </c>
      <c r="CC189" s="24" t="n">
        <v>24.4514</v>
      </c>
      <c r="CD189" s="24" t="n">
        <v>2</v>
      </c>
      <c r="CE189" s="24"/>
      <c r="CF189" s="24"/>
      <c r="CG189" s="24" t="n">
        <v>6.81</v>
      </c>
      <c r="CH189" s="24"/>
      <c r="CI189" s="24"/>
      <c r="CJ189" s="24" t="n">
        <v>52</v>
      </c>
      <c r="CK189" s="24" t="n">
        <v>20</v>
      </c>
      <c r="CL189" s="24" t="s">
        <v>5012</v>
      </c>
      <c r="CM189" s="24" t="s">
        <v>5013</v>
      </c>
      <c r="CN189" s="24" t="s">
        <v>5014</v>
      </c>
      <c r="CO189" s="24" t="s">
        <v>5015</v>
      </c>
      <c r="CP189" s="24" t="s">
        <v>5016</v>
      </c>
      <c r="CQ189" s="25" t="s">
        <v>5017</v>
      </c>
      <c r="CR189" s="24" t="s">
        <v>1188</v>
      </c>
      <c r="CS189" s="24" t="s">
        <v>5018</v>
      </c>
    </row>
    <row r="190" customFormat="false" ht="14.25" hidden="false" customHeight="false" outlineLevel="0" collapsed="false">
      <c r="A190" s="24" t="n">
        <v>175</v>
      </c>
      <c r="B190" s="24" t="n">
        <v>175</v>
      </c>
      <c r="C190" s="24" t="s">
        <v>1170</v>
      </c>
      <c r="D190" s="24" t="n">
        <v>2022</v>
      </c>
      <c r="E190" s="24" t="s">
        <v>1171</v>
      </c>
      <c r="F190" s="24" t="s">
        <v>1045</v>
      </c>
      <c r="G190" s="24" t="s">
        <v>1174</v>
      </c>
      <c r="H190" s="24" t="n">
        <v>24.4514</v>
      </c>
      <c r="I190" s="24" t="n">
        <v>90.2411</v>
      </c>
      <c r="J190" s="24" t="s">
        <v>83</v>
      </c>
      <c r="K190" s="24" t="s">
        <v>5011</v>
      </c>
      <c r="L190" s="24" t="s">
        <v>872</v>
      </c>
      <c r="M190" s="24" t="s">
        <v>85</v>
      </c>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t="n">
        <v>9.91</v>
      </c>
      <c r="BL190" s="24"/>
      <c r="BM190" s="24"/>
      <c r="BN190" s="24" t="n">
        <v>12.76</v>
      </c>
      <c r="BO190" s="24"/>
      <c r="BP190" s="24"/>
      <c r="BQ190" s="24"/>
      <c r="BR190" s="24"/>
      <c r="BS190" s="24"/>
      <c r="BT190" s="24"/>
      <c r="BU190" s="24"/>
      <c r="BV190" s="24" t="n">
        <v>2</v>
      </c>
      <c r="BW190" s="24" t="n">
        <v>4</v>
      </c>
      <c r="BX190" s="24" t="n">
        <f aca="false">IF(AND(N(BV190)&gt;0,N(BW190)&gt;0),SQRT(2*BV190/BW190),"")</f>
        <v>1</v>
      </c>
      <c r="BY190" s="24" t="n">
        <v>28</v>
      </c>
      <c r="BZ190" s="24" t="n">
        <v>12</v>
      </c>
      <c r="CA190" s="24" t="n">
        <v>33</v>
      </c>
      <c r="CB190" s="24" t="n">
        <v>172</v>
      </c>
      <c r="CC190" s="24" t="n">
        <v>24.4514</v>
      </c>
      <c r="CD190" s="24" t="n">
        <v>2</v>
      </c>
      <c r="CE190" s="24"/>
      <c r="CF190" s="24"/>
      <c r="CG190" s="24" t="n">
        <v>6.81</v>
      </c>
      <c r="CH190" s="24"/>
      <c r="CI190" s="24"/>
      <c r="CJ190" s="24" t="n">
        <v>52</v>
      </c>
      <c r="CK190" s="24" t="n">
        <v>20</v>
      </c>
      <c r="CL190" s="24" t="s">
        <v>5019</v>
      </c>
      <c r="CM190" s="24" t="s">
        <v>5013</v>
      </c>
      <c r="CN190" s="24" t="s">
        <v>5020</v>
      </c>
      <c r="CO190" s="24" t="s">
        <v>5015</v>
      </c>
      <c r="CP190" s="24" t="s">
        <v>2047</v>
      </c>
      <c r="CQ190" s="25" t="s">
        <v>5021</v>
      </c>
      <c r="CR190" s="24" t="s">
        <v>1188</v>
      </c>
      <c r="CS190" s="24" t="s">
        <v>5022</v>
      </c>
    </row>
    <row r="191" customFormat="false" ht="14.25" hidden="false" customHeight="false" outlineLevel="0" collapsed="false">
      <c r="A191" s="24" t="n">
        <v>175</v>
      </c>
      <c r="B191" s="24" t="n">
        <v>175</v>
      </c>
      <c r="C191" s="24" t="s">
        <v>1170</v>
      </c>
      <c r="D191" s="24" t="n">
        <v>2022</v>
      </c>
      <c r="E191" s="24" t="s">
        <v>1171</v>
      </c>
      <c r="F191" s="24" t="s">
        <v>1045</v>
      </c>
      <c r="G191" s="24" t="s">
        <v>1174</v>
      </c>
      <c r="H191" s="24" t="n">
        <v>24.4514</v>
      </c>
      <c r="I191" s="24" t="n">
        <v>90.2411</v>
      </c>
      <c r="J191" s="24" t="s">
        <v>83</v>
      </c>
      <c r="K191" s="24" t="s">
        <v>5011</v>
      </c>
      <c r="L191" s="24" t="s">
        <v>872</v>
      </c>
      <c r="M191" s="24" t="s">
        <v>85</v>
      </c>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t="n">
        <v>13.57</v>
      </c>
      <c r="BL191" s="24"/>
      <c r="BM191" s="24"/>
      <c r="BN191" s="24" t="n">
        <v>17.81</v>
      </c>
      <c r="BO191" s="24"/>
      <c r="BP191" s="24"/>
      <c r="BQ191" s="24"/>
      <c r="BR191" s="24"/>
      <c r="BS191" s="24"/>
      <c r="BT191" s="24"/>
      <c r="BU191" s="24"/>
      <c r="BV191" s="24" t="n">
        <v>2</v>
      </c>
      <c r="BW191" s="24" t="n">
        <v>4</v>
      </c>
      <c r="BX191" s="24" t="n">
        <f aca="false">IF(AND(N(BV191)&gt;0,N(BW191)&gt;0),SQRT(2*BV191/BW191),"")</f>
        <v>1</v>
      </c>
      <c r="BY191" s="24" t="n">
        <v>28</v>
      </c>
      <c r="BZ191" s="24" t="n">
        <v>12</v>
      </c>
      <c r="CA191" s="24" t="n">
        <v>33</v>
      </c>
      <c r="CB191" s="24" t="n">
        <v>172</v>
      </c>
      <c r="CC191" s="24" t="n">
        <v>24.4514</v>
      </c>
      <c r="CD191" s="24" t="n">
        <v>2</v>
      </c>
      <c r="CE191" s="24"/>
      <c r="CF191" s="24"/>
      <c r="CG191" s="24" t="n">
        <v>6.81</v>
      </c>
      <c r="CH191" s="24"/>
      <c r="CI191" s="24"/>
      <c r="CJ191" s="24" t="n">
        <v>52</v>
      </c>
      <c r="CK191" s="24" t="n">
        <v>20</v>
      </c>
      <c r="CL191" s="24" t="s">
        <v>5019</v>
      </c>
      <c r="CM191" s="24" t="s">
        <v>5013</v>
      </c>
      <c r="CN191" s="24" t="s">
        <v>5023</v>
      </c>
      <c r="CO191" s="24" t="s">
        <v>5015</v>
      </c>
      <c r="CP191" s="24" t="s">
        <v>2047</v>
      </c>
      <c r="CQ191" s="25" t="s">
        <v>5024</v>
      </c>
      <c r="CR191" s="24" t="s">
        <v>1188</v>
      </c>
      <c r="CS191" s="24" t="s">
        <v>5022</v>
      </c>
    </row>
    <row r="192" customFormat="false" ht="14.25" hidden="false" customHeight="false" outlineLevel="0" collapsed="false">
      <c r="A192" s="24" t="s">
        <v>1214</v>
      </c>
      <c r="B192" s="24" t="s">
        <v>1214</v>
      </c>
      <c r="C192" s="24" t="s">
        <v>1215</v>
      </c>
      <c r="D192" s="24" t="n">
        <v>2015</v>
      </c>
      <c r="E192" s="24" t="s">
        <v>1216</v>
      </c>
      <c r="F192" s="24" t="s">
        <v>1195</v>
      </c>
      <c r="G192" s="24" t="s">
        <v>1196</v>
      </c>
      <c r="H192" s="24" t="n">
        <v>41.55</v>
      </c>
      <c r="I192" s="24" t="n">
        <v>60.63</v>
      </c>
      <c r="J192" s="24" t="s">
        <v>921</v>
      </c>
      <c r="K192" s="24" t="s">
        <v>2355</v>
      </c>
      <c r="L192" s="24" t="s">
        <v>872</v>
      </c>
      <c r="M192" s="24" t="s">
        <v>85</v>
      </c>
      <c r="N192" s="24" t="n">
        <f aca="false">ROUND(5419/1000,2)</f>
        <v>5.42</v>
      </c>
      <c r="O192" s="24"/>
      <c r="P192" s="24" t="n">
        <f aca="false">ROUND(6032/1000,2)</f>
        <v>6.03</v>
      </c>
      <c r="Q192" s="24"/>
      <c r="R192" s="24"/>
      <c r="S192" s="24"/>
      <c r="T192" s="24"/>
      <c r="U192" s="24"/>
      <c r="V192" s="24"/>
      <c r="W192" s="24"/>
      <c r="X192" s="24"/>
      <c r="Y192" s="24"/>
      <c r="Z192" s="24"/>
      <c r="AA192" s="24"/>
      <c r="AB192" s="24"/>
      <c r="AC192" s="24"/>
      <c r="AD192" s="24"/>
      <c r="AE192" s="24"/>
      <c r="AF192" s="24"/>
      <c r="AG192" s="24"/>
      <c r="AH192" s="24"/>
      <c r="AI192" s="24"/>
      <c r="AJ192" s="24"/>
      <c r="AK192" s="24"/>
      <c r="AL192" s="24" t="n">
        <f aca="false">ROUND(4945/1000,2)</f>
        <v>4.95</v>
      </c>
      <c r="AM192" s="24"/>
      <c r="AN192" s="24" t="n">
        <f aca="false">ROUND(4992/1000,2)</f>
        <v>4.99</v>
      </c>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t="n">
        <v>6</v>
      </c>
      <c r="BW192" s="24" t="n">
        <v>4</v>
      </c>
      <c r="BX192" s="24" t="n">
        <f aca="false">IF(AND(N(BV192)&gt;0,N(BW192)&gt;0),SQRT(2*BV192/BW192),"")</f>
        <v>1.73205080756888</v>
      </c>
      <c r="BY192" s="24" t="n">
        <v>19</v>
      </c>
      <c r="BZ192" s="24" t="n">
        <v>-7</v>
      </c>
      <c r="CA192" s="24" t="n">
        <v>40</v>
      </c>
      <c r="CB192" s="24" t="n">
        <v>100</v>
      </c>
      <c r="CC192" s="24" t="n">
        <v>41.55</v>
      </c>
      <c r="CD192" s="24" t="n">
        <v>1</v>
      </c>
      <c r="CE192" s="24" t="n">
        <v>13.4</v>
      </c>
      <c r="CF192" s="24"/>
      <c r="CG192" s="24"/>
      <c r="CH192" s="24" t="n">
        <v>3.6</v>
      </c>
      <c r="CI192" s="24" t="n">
        <v>1.35</v>
      </c>
      <c r="CJ192" s="24" t="n">
        <v>23</v>
      </c>
      <c r="CK192" s="24" t="n">
        <v>58</v>
      </c>
      <c r="CL192" s="24" t="s">
        <v>5025</v>
      </c>
      <c r="CM192" s="24" t="s">
        <v>3590</v>
      </c>
      <c r="CN192" s="24" t="s">
        <v>5026</v>
      </c>
      <c r="CO192" s="24" t="s">
        <v>3592</v>
      </c>
      <c r="CP192" s="24" t="s">
        <v>5027</v>
      </c>
      <c r="CQ192" s="25" t="s">
        <v>5028</v>
      </c>
      <c r="CR192" s="24" t="s">
        <v>1211</v>
      </c>
      <c r="CS192" s="24" t="s">
        <v>5029</v>
      </c>
    </row>
    <row r="193" customFormat="false" ht="14.25" hidden="false" customHeight="false" outlineLevel="0" collapsed="false">
      <c r="A193" s="24" t="s">
        <v>1214</v>
      </c>
      <c r="B193" s="24" t="s">
        <v>1214</v>
      </c>
      <c r="C193" s="24" t="s">
        <v>1215</v>
      </c>
      <c r="D193" s="24" t="n">
        <v>2015</v>
      </c>
      <c r="E193" s="24" t="s">
        <v>1216</v>
      </c>
      <c r="F193" s="24" t="s">
        <v>1195</v>
      </c>
      <c r="G193" s="24" t="s">
        <v>1196</v>
      </c>
      <c r="H193" s="24" t="n">
        <v>41.55</v>
      </c>
      <c r="I193" s="24" t="n">
        <v>60.63</v>
      </c>
      <c r="J193" s="24" t="s">
        <v>921</v>
      </c>
      <c r="K193" s="24" t="s">
        <v>2355</v>
      </c>
      <c r="L193" s="24" t="s">
        <v>872</v>
      </c>
      <c r="M193" s="24" t="s">
        <v>85</v>
      </c>
      <c r="N193" s="24" t="n">
        <f aca="false">ROUND(5444/1000,2)</f>
        <v>5.44</v>
      </c>
      <c r="O193" s="24"/>
      <c r="P193" s="24" t="n">
        <f aca="false">ROUND(6032/1000,2)</f>
        <v>6.03</v>
      </c>
      <c r="Q193" s="24"/>
      <c r="R193" s="24"/>
      <c r="S193" s="24"/>
      <c r="T193" s="24"/>
      <c r="U193" s="24"/>
      <c r="V193" s="24"/>
      <c r="W193" s="24"/>
      <c r="X193" s="24"/>
      <c r="Y193" s="24"/>
      <c r="Z193" s="24"/>
      <c r="AA193" s="24"/>
      <c r="AB193" s="24"/>
      <c r="AC193" s="24"/>
      <c r="AD193" s="24"/>
      <c r="AE193" s="24"/>
      <c r="AF193" s="24"/>
      <c r="AG193" s="24"/>
      <c r="AH193" s="24"/>
      <c r="AI193" s="24"/>
      <c r="AJ193" s="24"/>
      <c r="AK193" s="24"/>
      <c r="AL193" s="24" t="n">
        <f aca="false">ROUND(4446/1000,2)</f>
        <v>4.45</v>
      </c>
      <c r="AM193" s="24"/>
      <c r="AN193" s="24" t="n">
        <f aca="false">ROUND(4992/1000,2)</f>
        <v>4.99</v>
      </c>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t="n">
        <v>6</v>
      </c>
      <c r="BW193" s="24" t="n">
        <v>4</v>
      </c>
      <c r="BX193" s="24" t="n">
        <f aca="false">IF(AND(N(BV193)&gt;0,N(BW193)&gt;0),SQRT(2*BV193/BW193),"")</f>
        <v>1.73205080756888</v>
      </c>
      <c r="BY193" s="24" t="n">
        <v>19</v>
      </c>
      <c r="BZ193" s="24" t="n">
        <v>-7</v>
      </c>
      <c r="CA193" s="24" t="n">
        <v>40</v>
      </c>
      <c r="CB193" s="24" t="n">
        <v>100</v>
      </c>
      <c r="CC193" s="24" t="n">
        <v>41.55</v>
      </c>
      <c r="CD193" s="24" t="n">
        <v>1</v>
      </c>
      <c r="CE193" s="24" t="n">
        <v>13.4</v>
      </c>
      <c r="CF193" s="24"/>
      <c r="CG193" s="24"/>
      <c r="CH193" s="24" t="n">
        <v>3.6</v>
      </c>
      <c r="CI193" s="24" t="n">
        <v>1.35</v>
      </c>
      <c r="CJ193" s="24" t="n">
        <v>23</v>
      </c>
      <c r="CK193" s="24" t="n">
        <v>58</v>
      </c>
      <c r="CL193" s="24" t="s">
        <v>5025</v>
      </c>
      <c r="CM193" s="24" t="s">
        <v>3590</v>
      </c>
      <c r="CN193" s="24" t="s">
        <v>5026</v>
      </c>
      <c r="CO193" s="24" t="s">
        <v>3592</v>
      </c>
      <c r="CP193" s="24" t="s">
        <v>5027</v>
      </c>
      <c r="CQ193" s="25" t="s">
        <v>5030</v>
      </c>
      <c r="CR193" s="24" t="s">
        <v>1211</v>
      </c>
      <c r="CS193" s="24" t="s">
        <v>5029</v>
      </c>
    </row>
    <row r="194" customFormat="false" ht="14.25" hidden="false" customHeight="false" outlineLevel="0" collapsed="false">
      <c r="A194" s="24" t="s">
        <v>1214</v>
      </c>
      <c r="B194" s="24" t="s">
        <v>1214</v>
      </c>
      <c r="C194" s="24" t="s">
        <v>1215</v>
      </c>
      <c r="D194" s="24" t="n">
        <v>2015</v>
      </c>
      <c r="E194" s="24" t="s">
        <v>1216</v>
      </c>
      <c r="F194" s="24" t="s">
        <v>1195</v>
      </c>
      <c r="G194" s="24" t="s">
        <v>1196</v>
      </c>
      <c r="H194" s="24" t="n">
        <v>41.55</v>
      </c>
      <c r="I194" s="24" t="n">
        <v>60.63</v>
      </c>
      <c r="J194" s="24" t="s">
        <v>921</v>
      </c>
      <c r="K194" s="24" t="s">
        <v>2355</v>
      </c>
      <c r="L194" s="24" t="s">
        <v>872</v>
      </c>
      <c r="M194" s="24" t="s">
        <v>85</v>
      </c>
      <c r="N194" s="24" t="n">
        <f aca="false">ROUND(5385/1000,2)</f>
        <v>5.39</v>
      </c>
      <c r="O194" s="24"/>
      <c r="P194" s="24" t="n">
        <f aca="false">ROUND(4812/1000,2)</f>
        <v>4.81</v>
      </c>
      <c r="Q194" s="24"/>
      <c r="R194" s="24"/>
      <c r="S194" s="24"/>
      <c r="T194" s="24"/>
      <c r="U194" s="24"/>
      <c r="V194" s="24"/>
      <c r="W194" s="24"/>
      <c r="X194" s="24"/>
      <c r="Y194" s="24"/>
      <c r="Z194" s="24"/>
      <c r="AA194" s="24"/>
      <c r="AB194" s="24"/>
      <c r="AC194" s="24"/>
      <c r="AD194" s="24"/>
      <c r="AE194" s="24"/>
      <c r="AF194" s="24"/>
      <c r="AG194" s="24"/>
      <c r="AH194" s="24"/>
      <c r="AI194" s="24"/>
      <c r="AJ194" s="24"/>
      <c r="AK194" s="24"/>
      <c r="AL194" s="24" t="n">
        <f aca="false">ROUND(4429/1000,2)</f>
        <v>4.43</v>
      </c>
      <c r="AM194" s="24"/>
      <c r="AN194" s="24" t="n">
        <f aca="false">ROUND(4693/1000,2)</f>
        <v>4.69</v>
      </c>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t="n">
        <v>6</v>
      </c>
      <c r="BW194" s="24" t="n">
        <v>4</v>
      </c>
      <c r="BX194" s="24" t="n">
        <f aca="false">IF(AND(N(BV194)&gt;0,N(BW194)&gt;0),SQRT(2*BV194/BW194),"")</f>
        <v>1.73205080756888</v>
      </c>
      <c r="BY194" s="24" t="n">
        <v>19</v>
      </c>
      <c r="BZ194" s="24" t="n">
        <v>-7</v>
      </c>
      <c r="CA194" s="24" t="n">
        <v>40</v>
      </c>
      <c r="CB194" s="24" t="n">
        <v>100</v>
      </c>
      <c r="CC194" s="24" t="n">
        <v>41.55</v>
      </c>
      <c r="CD194" s="24" t="n">
        <v>1</v>
      </c>
      <c r="CE194" s="24" t="n">
        <v>13.4</v>
      </c>
      <c r="CF194" s="24"/>
      <c r="CG194" s="24"/>
      <c r="CH194" s="24" t="n">
        <v>3.6</v>
      </c>
      <c r="CI194" s="24" t="n">
        <v>1.35</v>
      </c>
      <c r="CJ194" s="24" t="n">
        <v>23</v>
      </c>
      <c r="CK194" s="24" t="n">
        <v>58</v>
      </c>
      <c r="CL194" s="24" t="s">
        <v>5025</v>
      </c>
      <c r="CM194" s="24" t="s">
        <v>3590</v>
      </c>
      <c r="CN194" s="24" t="s">
        <v>5026</v>
      </c>
      <c r="CO194" s="24" t="s">
        <v>3592</v>
      </c>
      <c r="CP194" s="24" t="s">
        <v>5027</v>
      </c>
      <c r="CQ194" s="25" t="s">
        <v>5031</v>
      </c>
      <c r="CR194" s="24" t="s">
        <v>1211</v>
      </c>
      <c r="CS194" s="24" t="s">
        <v>5029</v>
      </c>
    </row>
    <row r="195" customFormat="false" ht="14.25" hidden="false" customHeight="false" outlineLevel="0" collapsed="false">
      <c r="A195" s="24" t="s">
        <v>1214</v>
      </c>
      <c r="B195" s="24" t="s">
        <v>1214</v>
      </c>
      <c r="C195" s="24" t="s">
        <v>1215</v>
      </c>
      <c r="D195" s="24" t="n">
        <v>2015</v>
      </c>
      <c r="E195" s="24" t="s">
        <v>1216</v>
      </c>
      <c r="F195" s="24" t="s">
        <v>1195</v>
      </c>
      <c r="G195" s="24" t="s">
        <v>1196</v>
      </c>
      <c r="H195" s="24" t="n">
        <v>41.55</v>
      </c>
      <c r="I195" s="24" t="n">
        <v>60.63</v>
      </c>
      <c r="J195" s="24" t="s">
        <v>921</v>
      </c>
      <c r="K195" s="24" t="s">
        <v>2355</v>
      </c>
      <c r="L195" s="24" t="s">
        <v>872</v>
      </c>
      <c r="M195" s="24" t="s">
        <v>85</v>
      </c>
      <c r="N195" s="24" t="n">
        <f aca="false">ROUND(5607/1000,2)</f>
        <v>5.61</v>
      </c>
      <c r="O195" s="24"/>
      <c r="P195" s="24" t="n">
        <f aca="false">ROUND(4812/1000,2)</f>
        <v>4.81</v>
      </c>
      <c r="Q195" s="24"/>
      <c r="R195" s="24"/>
      <c r="S195" s="24"/>
      <c r="T195" s="24"/>
      <c r="U195" s="24"/>
      <c r="V195" s="24"/>
      <c r="W195" s="24"/>
      <c r="X195" s="24"/>
      <c r="Y195" s="24"/>
      <c r="Z195" s="24"/>
      <c r="AA195" s="24"/>
      <c r="AB195" s="24"/>
      <c r="AC195" s="24"/>
      <c r="AD195" s="24"/>
      <c r="AE195" s="24"/>
      <c r="AF195" s="24"/>
      <c r="AG195" s="24"/>
      <c r="AH195" s="24"/>
      <c r="AI195" s="24"/>
      <c r="AJ195" s="24"/>
      <c r="AK195" s="24"/>
      <c r="AL195" s="24" t="n">
        <f aca="false">ROUND(4286/1000,2)</f>
        <v>4.29</v>
      </c>
      <c r="AM195" s="24"/>
      <c r="AN195" s="24" t="n">
        <f aca="false">ROUND(4693/1000,2)</f>
        <v>4.69</v>
      </c>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t="n">
        <v>6</v>
      </c>
      <c r="BW195" s="24" t="n">
        <v>4</v>
      </c>
      <c r="BX195" s="24" t="n">
        <f aca="false">IF(AND(N(BV195)&gt;0,N(BW195)&gt;0),SQRT(2*BV195/BW195),"")</f>
        <v>1.73205080756888</v>
      </c>
      <c r="BY195" s="24" t="n">
        <v>19</v>
      </c>
      <c r="BZ195" s="24" t="n">
        <v>-7</v>
      </c>
      <c r="CA195" s="24" t="n">
        <v>40</v>
      </c>
      <c r="CB195" s="24" t="n">
        <v>100</v>
      </c>
      <c r="CC195" s="24" t="n">
        <v>41.55</v>
      </c>
      <c r="CD195" s="24" t="n">
        <v>1</v>
      </c>
      <c r="CE195" s="24" t="n">
        <v>13.4</v>
      </c>
      <c r="CF195" s="24"/>
      <c r="CG195" s="24"/>
      <c r="CH195" s="24" t="n">
        <v>3.6</v>
      </c>
      <c r="CI195" s="24" t="n">
        <v>1.35</v>
      </c>
      <c r="CJ195" s="24" t="n">
        <v>23</v>
      </c>
      <c r="CK195" s="24" t="n">
        <v>58</v>
      </c>
      <c r="CL195" s="24" t="s">
        <v>5025</v>
      </c>
      <c r="CM195" s="24" t="s">
        <v>3590</v>
      </c>
      <c r="CN195" s="24" t="s">
        <v>5026</v>
      </c>
      <c r="CO195" s="24" t="s">
        <v>3592</v>
      </c>
      <c r="CP195" s="24" t="s">
        <v>5027</v>
      </c>
      <c r="CQ195" s="25" t="s">
        <v>5032</v>
      </c>
      <c r="CR195" s="24" t="s">
        <v>1211</v>
      </c>
      <c r="CS195" s="24" t="s">
        <v>5029</v>
      </c>
    </row>
    <row r="196" customFormat="false" ht="14.25" hidden="false" customHeight="false" outlineLevel="0" collapsed="false">
      <c r="A196" s="24" t="s">
        <v>1214</v>
      </c>
      <c r="B196" s="24" t="s">
        <v>1214</v>
      </c>
      <c r="C196" s="24" t="s">
        <v>1215</v>
      </c>
      <c r="D196" s="24" t="n">
        <v>2015</v>
      </c>
      <c r="E196" s="24" t="s">
        <v>1216</v>
      </c>
      <c r="F196" s="24" t="s">
        <v>1195</v>
      </c>
      <c r="G196" s="24" t="s">
        <v>1196</v>
      </c>
      <c r="H196" s="24" t="n">
        <v>41.55</v>
      </c>
      <c r="I196" s="24" t="n">
        <v>60.63</v>
      </c>
      <c r="J196" s="24" t="s">
        <v>921</v>
      </c>
      <c r="K196" s="24" t="s">
        <v>4865</v>
      </c>
      <c r="L196" s="24" t="s">
        <v>872</v>
      </c>
      <c r="M196" s="24" t="s">
        <v>85</v>
      </c>
      <c r="N196" s="24" t="n">
        <f aca="false">ROUND(5564/1000,2)</f>
        <v>5.56</v>
      </c>
      <c r="O196" s="24"/>
      <c r="P196" s="24" t="n">
        <f aca="false">ROUND(5438/1000,2)</f>
        <v>5.44</v>
      </c>
      <c r="Q196" s="24"/>
      <c r="R196" s="24"/>
      <c r="S196" s="24"/>
      <c r="T196" s="24"/>
      <c r="U196" s="24"/>
      <c r="V196" s="24"/>
      <c r="W196" s="24"/>
      <c r="X196" s="24"/>
      <c r="Y196" s="24"/>
      <c r="Z196" s="24"/>
      <c r="AA196" s="24"/>
      <c r="AB196" s="24"/>
      <c r="AC196" s="24"/>
      <c r="AD196" s="24"/>
      <c r="AE196" s="24"/>
      <c r="AF196" s="24"/>
      <c r="AG196" s="24"/>
      <c r="AH196" s="24"/>
      <c r="AI196" s="24"/>
      <c r="AJ196" s="24"/>
      <c r="AK196" s="24"/>
      <c r="AL196" s="24" t="n">
        <f aca="false">ROUND(3072/1000,2)</f>
        <v>3.07</v>
      </c>
      <c r="AM196" s="24"/>
      <c r="AN196" s="24" t="n">
        <f aca="false">ROUND(3540/1000,2)</f>
        <v>3.54</v>
      </c>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t="n">
        <v>6</v>
      </c>
      <c r="BW196" s="24" t="n">
        <v>4</v>
      </c>
      <c r="BX196" s="24" t="n">
        <f aca="false">IF(AND(N(BV196)&gt;0,N(BW196)&gt;0),SQRT(2*BV196/BW196),"")</f>
        <v>1.73205080756888</v>
      </c>
      <c r="BY196" s="24" t="n">
        <v>19</v>
      </c>
      <c r="BZ196" s="24" t="n">
        <v>-7</v>
      </c>
      <c r="CA196" s="24" t="n">
        <v>40</v>
      </c>
      <c r="CB196" s="24" t="n">
        <v>100</v>
      </c>
      <c r="CC196" s="24" t="n">
        <v>41.55</v>
      </c>
      <c r="CD196" s="24" t="n">
        <v>2</v>
      </c>
      <c r="CE196" s="24" t="n">
        <v>13.4</v>
      </c>
      <c r="CF196" s="24"/>
      <c r="CG196" s="24"/>
      <c r="CH196" s="24" t="n">
        <v>3.6</v>
      </c>
      <c r="CI196" s="24" t="n">
        <v>1.35</v>
      </c>
      <c r="CJ196" s="24" t="n">
        <v>23</v>
      </c>
      <c r="CK196" s="24" t="n">
        <v>58</v>
      </c>
      <c r="CL196" s="24" t="s">
        <v>5025</v>
      </c>
      <c r="CM196" s="24" t="s">
        <v>3590</v>
      </c>
      <c r="CN196" s="24" t="s">
        <v>5033</v>
      </c>
      <c r="CO196" s="24" t="s">
        <v>3592</v>
      </c>
      <c r="CP196" s="24" t="s">
        <v>5034</v>
      </c>
      <c r="CQ196" s="25" t="s">
        <v>5035</v>
      </c>
      <c r="CR196" s="24" t="s">
        <v>1211</v>
      </c>
      <c r="CS196" s="24" t="s">
        <v>5029</v>
      </c>
    </row>
    <row r="197" customFormat="false" ht="14.25" hidden="false" customHeight="false" outlineLevel="0" collapsed="false">
      <c r="A197" s="24" t="s">
        <v>1214</v>
      </c>
      <c r="B197" s="24" t="s">
        <v>1214</v>
      </c>
      <c r="C197" s="24" t="s">
        <v>1215</v>
      </c>
      <c r="D197" s="24" t="n">
        <v>2015</v>
      </c>
      <c r="E197" s="24" t="s">
        <v>1216</v>
      </c>
      <c r="F197" s="24" t="s">
        <v>1195</v>
      </c>
      <c r="G197" s="24" t="s">
        <v>1196</v>
      </c>
      <c r="H197" s="24" t="n">
        <v>41.55</v>
      </c>
      <c r="I197" s="24" t="n">
        <v>60.63</v>
      </c>
      <c r="J197" s="24" t="s">
        <v>921</v>
      </c>
      <c r="K197" s="24" t="s">
        <v>4865</v>
      </c>
      <c r="L197" s="24" t="s">
        <v>872</v>
      </c>
      <c r="M197" s="24" t="s">
        <v>85</v>
      </c>
      <c r="N197" s="24" t="n">
        <f aca="false">ROUND(4963/1000,2)</f>
        <v>4.96</v>
      </c>
      <c r="O197" s="24"/>
      <c r="P197" s="24" t="n">
        <f aca="false">ROUND(5438/1000,2)</f>
        <v>5.44</v>
      </c>
      <c r="Q197" s="24"/>
      <c r="R197" s="24"/>
      <c r="S197" s="24"/>
      <c r="T197" s="24"/>
      <c r="U197" s="24"/>
      <c r="V197" s="24"/>
      <c r="W197" s="24"/>
      <c r="X197" s="24"/>
      <c r="Y197" s="24"/>
      <c r="Z197" s="24"/>
      <c r="AA197" s="24"/>
      <c r="AB197" s="24"/>
      <c r="AC197" s="24"/>
      <c r="AD197" s="24"/>
      <c r="AE197" s="24"/>
      <c r="AF197" s="24"/>
      <c r="AG197" s="24"/>
      <c r="AH197" s="24"/>
      <c r="AI197" s="24"/>
      <c r="AJ197" s="24"/>
      <c r="AK197" s="24"/>
      <c r="AL197" s="24" t="n">
        <f aca="false">ROUND(1794/1000,2)</f>
        <v>1.79</v>
      </c>
      <c r="AM197" s="24"/>
      <c r="AN197" s="24" t="n">
        <f aca="false">ROUND(3540/1000,2)</f>
        <v>3.54</v>
      </c>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t="n">
        <v>6</v>
      </c>
      <c r="BW197" s="24" t="n">
        <v>4</v>
      </c>
      <c r="BX197" s="24" t="n">
        <f aca="false">IF(AND(N(BV197)&gt;0,N(BW197)&gt;0),SQRT(2*BV197/BW197),"")</f>
        <v>1.73205080756888</v>
      </c>
      <c r="BY197" s="24" t="n">
        <v>19</v>
      </c>
      <c r="BZ197" s="24" t="n">
        <v>-7</v>
      </c>
      <c r="CA197" s="24" t="n">
        <v>40</v>
      </c>
      <c r="CB197" s="24" t="n">
        <v>100</v>
      </c>
      <c r="CC197" s="24" t="n">
        <v>41.55</v>
      </c>
      <c r="CD197" s="24" t="n">
        <v>2</v>
      </c>
      <c r="CE197" s="24" t="n">
        <v>13.4</v>
      </c>
      <c r="CF197" s="24"/>
      <c r="CG197" s="24"/>
      <c r="CH197" s="24" t="n">
        <v>3.6</v>
      </c>
      <c r="CI197" s="24" t="n">
        <v>1.35</v>
      </c>
      <c r="CJ197" s="24" t="n">
        <v>23</v>
      </c>
      <c r="CK197" s="24" t="n">
        <v>58</v>
      </c>
      <c r="CL197" s="24" t="s">
        <v>5025</v>
      </c>
      <c r="CM197" s="24" t="s">
        <v>3590</v>
      </c>
      <c r="CN197" s="24" t="s">
        <v>5033</v>
      </c>
      <c r="CO197" s="24" t="s">
        <v>3592</v>
      </c>
      <c r="CP197" s="24" t="s">
        <v>5034</v>
      </c>
      <c r="CQ197" s="25" t="s">
        <v>5036</v>
      </c>
      <c r="CR197" s="24" t="s">
        <v>1211</v>
      </c>
      <c r="CS197" s="24" t="s">
        <v>5029</v>
      </c>
    </row>
    <row r="198" customFormat="false" ht="14.25" hidden="false" customHeight="false" outlineLevel="0" collapsed="false">
      <c r="A198" s="24" t="s">
        <v>1214</v>
      </c>
      <c r="B198" s="24" t="s">
        <v>1214</v>
      </c>
      <c r="C198" s="24" t="s">
        <v>1215</v>
      </c>
      <c r="D198" s="24" t="n">
        <v>2015</v>
      </c>
      <c r="E198" s="24" t="s">
        <v>1216</v>
      </c>
      <c r="F198" s="24" t="s">
        <v>1195</v>
      </c>
      <c r="G198" s="24" t="s">
        <v>1196</v>
      </c>
      <c r="H198" s="24" t="n">
        <v>41.55</v>
      </c>
      <c r="I198" s="24" t="n">
        <v>60.63</v>
      </c>
      <c r="J198" s="24" t="s">
        <v>921</v>
      </c>
      <c r="K198" s="24" t="s">
        <v>4865</v>
      </c>
      <c r="L198" s="24" t="s">
        <v>872</v>
      </c>
      <c r="M198" s="24" t="s">
        <v>85</v>
      </c>
      <c r="N198" s="24" t="n">
        <f aca="false">ROUND(5352/1000,2)</f>
        <v>5.35</v>
      </c>
      <c r="O198" s="24"/>
      <c r="P198" s="24" t="n">
        <f aca="false">ROUND(5964/1000,2)</f>
        <v>5.96</v>
      </c>
      <c r="Q198" s="24"/>
      <c r="R198" s="24"/>
      <c r="S198" s="24"/>
      <c r="T198" s="24"/>
      <c r="U198" s="24"/>
      <c r="V198" s="24"/>
      <c r="W198" s="24"/>
      <c r="X198" s="24"/>
      <c r="Y198" s="24"/>
      <c r="Z198" s="24"/>
      <c r="AA198" s="24"/>
      <c r="AB198" s="24"/>
      <c r="AC198" s="24"/>
      <c r="AD198" s="24"/>
      <c r="AE198" s="24"/>
      <c r="AF198" s="24"/>
      <c r="AG198" s="24"/>
      <c r="AH198" s="24"/>
      <c r="AI198" s="24"/>
      <c r="AJ198" s="24"/>
      <c r="AK198" s="24"/>
      <c r="AL198" s="24" t="n">
        <f aca="false">ROUND(2783/1000,2)</f>
        <v>2.78</v>
      </c>
      <c r="AM198" s="24"/>
      <c r="AN198" s="24" t="n">
        <f aca="false">ROUND(3884/1000,2)</f>
        <v>3.88</v>
      </c>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t="n">
        <v>6</v>
      </c>
      <c r="BW198" s="24" t="n">
        <v>4</v>
      </c>
      <c r="BX198" s="24" t="n">
        <f aca="false">IF(AND(N(BV198)&gt;0,N(BW198)&gt;0),SQRT(2*BV198/BW198),"")</f>
        <v>1.73205080756888</v>
      </c>
      <c r="BY198" s="24" t="n">
        <v>19</v>
      </c>
      <c r="BZ198" s="24" t="n">
        <v>-7</v>
      </c>
      <c r="CA198" s="24" t="n">
        <v>40</v>
      </c>
      <c r="CB198" s="24" t="n">
        <v>100</v>
      </c>
      <c r="CC198" s="24" t="n">
        <v>41.55</v>
      </c>
      <c r="CD198" s="24" t="n">
        <v>2</v>
      </c>
      <c r="CE198" s="24" t="n">
        <v>13.4</v>
      </c>
      <c r="CF198" s="24"/>
      <c r="CG198" s="24"/>
      <c r="CH198" s="24" t="n">
        <v>3.6</v>
      </c>
      <c r="CI198" s="24" t="n">
        <v>1.35</v>
      </c>
      <c r="CJ198" s="24" t="n">
        <v>23</v>
      </c>
      <c r="CK198" s="24" t="n">
        <v>58</v>
      </c>
      <c r="CL198" s="24" t="s">
        <v>5025</v>
      </c>
      <c r="CM198" s="24" t="s">
        <v>3590</v>
      </c>
      <c r="CN198" s="24" t="s">
        <v>5033</v>
      </c>
      <c r="CO198" s="24" t="s">
        <v>3592</v>
      </c>
      <c r="CP198" s="24" t="s">
        <v>5034</v>
      </c>
      <c r="CQ198" s="25" t="s">
        <v>5037</v>
      </c>
      <c r="CR198" s="24" t="s">
        <v>1211</v>
      </c>
      <c r="CS198" s="24" t="s">
        <v>5029</v>
      </c>
    </row>
    <row r="199" customFormat="false" ht="14.25" hidden="false" customHeight="false" outlineLevel="0" collapsed="false">
      <c r="A199" s="24" t="s">
        <v>1214</v>
      </c>
      <c r="B199" s="24" t="s">
        <v>1214</v>
      </c>
      <c r="C199" s="24" t="s">
        <v>1215</v>
      </c>
      <c r="D199" s="24" t="n">
        <v>2015</v>
      </c>
      <c r="E199" s="24" t="s">
        <v>1216</v>
      </c>
      <c r="F199" s="24" t="s">
        <v>1195</v>
      </c>
      <c r="G199" s="24" t="s">
        <v>1196</v>
      </c>
      <c r="H199" s="24" t="n">
        <v>41.55</v>
      </c>
      <c r="I199" s="24" t="n">
        <v>60.63</v>
      </c>
      <c r="J199" s="24" t="s">
        <v>921</v>
      </c>
      <c r="K199" s="24" t="s">
        <v>4865</v>
      </c>
      <c r="L199" s="24" t="s">
        <v>872</v>
      </c>
      <c r="M199" s="24" t="s">
        <v>85</v>
      </c>
      <c r="N199" s="24" t="n">
        <f aca="false">ROUND(4580/1000,2)</f>
        <v>4.58</v>
      </c>
      <c r="O199" s="24"/>
      <c r="P199" s="24" t="n">
        <f aca="false">ROUND(5964/1000,2)</f>
        <v>5.96</v>
      </c>
      <c r="Q199" s="24"/>
      <c r="R199" s="24"/>
      <c r="S199" s="24"/>
      <c r="T199" s="24"/>
      <c r="U199" s="24"/>
      <c r="V199" s="24"/>
      <c r="W199" s="24"/>
      <c r="X199" s="24"/>
      <c r="Y199" s="24"/>
      <c r="Z199" s="24"/>
      <c r="AA199" s="24"/>
      <c r="AB199" s="24"/>
      <c r="AC199" s="24"/>
      <c r="AD199" s="24"/>
      <c r="AE199" s="24"/>
      <c r="AF199" s="24"/>
      <c r="AG199" s="24"/>
      <c r="AH199" s="24"/>
      <c r="AI199" s="24"/>
      <c r="AJ199" s="24"/>
      <c r="AK199" s="24"/>
      <c r="AL199" s="24" t="n">
        <f aca="false">ROUND(1313/1000,2)</f>
        <v>1.31</v>
      </c>
      <c r="AM199" s="24"/>
      <c r="AN199" s="24" t="n">
        <f aca="false">ROUND(3884/1000,2)</f>
        <v>3.88</v>
      </c>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t="n">
        <v>6</v>
      </c>
      <c r="BW199" s="24" t="n">
        <v>4</v>
      </c>
      <c r="BX199" s="24" t="n">
        <f aca="false">IF(AND(N(BV199)&gt;0,N(BW199)&gt;0),SQRT(2*BV199/BW199),"")</f>
        <v>1.73205080756888</v>
      </c>
      <c r="BY199" s="24" t="n">
        <v>19</v>
      </c>
      <c r="BZ199" s="24" t="n">
        <v>-7</v>
      </c>
      <c r="CA199" s="24" t="n">
        <v>40</v>
      </c>
      <c r="CB199" s="24" t="n">
        <v>100</v>
      </c>
      <c r="CC199" s="24" t="n">
        <v>41.55</v>
      </c>
      <c r="CD199" s="24" t="n">
        <v>2</v>
      </c>
      <c r="CE199" s="24" t="n">
        <v>13.4</v>
      </c>
      <c r="CF199" s="24"/>
      <c r="CG199" s="24"/>
      <c r="CH199" s="24" t="n">
        <v>3.6</v>
      </c>
      <c r="CI199" s="24" t="n">
        <v>1.35</v>
      </c>
      <c r="CJ199" s="24" t="n">
        <v>23</v>
      </c>
      <c r="CK199" s="24" t="n">
        <v>58</v>
      </c>
      <c r="CL199" s="24" t="s">
        <v>5025</v>
      </c>
      <c r="CM199" s="24" t="s">
        <v>3590</v>
      </c>
      <c r="CN199" s="24" t="s">
        <v>5033</v>
      </c>
      <c r="CO199" s="24" t="s">
        <v>3592</v>
      </c>
      <c r="CP199" s="24" t="s">
        <v>5034</v>
      </c>
      <c r="CQ199" s="25" t="s">
        <v>5038</v>
      </c>
      <c r="CR199" s="24" t="s">
        <v>1211</v>
      </c>
      <c r="CS199" s="24" t="s">
        <v>5029</v>
      </c>
    </row>
    <row r="200" customFormat="false" ht="14.25" hidden="false" customHeight="false" outlineLevel="0" collapsed="false">
      <c r="A200" s="24" t="s">
        <v>1214</v>
      </c>
      <c r="B200" s="24" t="s">
        <v>1214</v>
      </c>
      <c r="C200" s="24" t="s">
        <v>1215</v>
      </c>
      <c r="D200" s="24" t="n">
        <v>2015</v>
      </c>
      <c r="E200" s="24" t="s">
        <v>1216</v>
      </c>
      <c r="F200" s="24" t="s">
        <v>1195</v>
      </c>
      <c r="G200" s="24" t="s">
        <v>1196</v>
      </c>
      <c r="H200" s="24" t="n">
        <v>41.55</v>
      </c>
      <c r="I200" s="24" t="n">
        <v>60.63</v>
      </c>
      <c r="J200" s="24" t="s">
        <v>921</v>
      </c>
      <c r="K200" s="24" t="s">
        <v>3967</v>
      </c>
      <c r="L200" s="24" t="s">
        <v>872</v>
      </c>
      <c r="M200" s="24" t="s">
        <v>85</v>
      </c>
      <c r="N200" s="24" t="n">
        <f aca="false">ROUND(6107/1000,2)</f>
        <v>6.11</v>
      </c>
      <c r="O200" s="24"/>
      <c r="P200" s="24" t="n">
        <f aca="false">ROUND(5658/1000,2)</f>
        <v>5.66</v>
      </c>
      <c r="Q200" s="24"/>
      <c r="R200" s="24"/>
      <c r="S200" s="24"/>
      <c r="T200" s="24"/>
      <c r="U200" s="24"/>
      <c r="V200" s="24"/>
      <c r="W200" s="24"/>
      <c r="X200" s="24"/>
      <c r="Y200" s="24"/>
      <c r="Z200" s="24"/>
      <c r="AA200" s="24"/>
      <c r="AB200" s="24"/>
      <c r="AC200" s="24"/>
      <c r="AD200" s="24"/>
      <c r="AE200" s="24"/>
      <c r="AF200" s="24"/>
      <c r="AG200" s="24"/>
      <c r="AH200" s="24"/>
      <c r="AI200" s="24"/>
      <c r="AJ200" s="24"/>
      <c r="AK200" s="24"/>
      <c r="AL200" s="24" t="n">
        <f aca="false">ROUND(3714/1000,2)</f>
        <v>3.71</v>
      </c>
      <c r="AM200" s="24"/>
      <c r="AN200" s="24" t="n">
        <f aca="false">ROUND(3624/1000,2)</f>
        <v>3.62</v>
      </c>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t="n">
        <v>43</v>
      </c>
      <c r="BW200" s="24" t="n">
        <v>4</v>
      </c>
      <c r="BX200" s="24" t="n">
        <f aca="false">IF(AND(N(BV200)&gt;0,N(BW200)&gt;0),SQRT(2*BV200/BW200),"")</f>
        <v>4.63680924774785</v>
      </c>
      <c r="BY200" s="24" t="n">
        <v>19</v>
      </c>
      <c r="BZ200" s="24" t="n">
        <v>-7</v>
      </c>
      <c r="CA200" s="24" t="n">
        <v>40</v>
      </c>
      <c r="CB200" s="24" t="n">
        <v>100</v>
      </c>
      <c r="CC200" s="24" t="n">
        <v>41.55</v>
      </c>
      <c r="CD200" s="24" t="n">
        <v>39</v>
      </c>
      <c r="CE200" s="24" t="n">
        <v>13.4</v>
      </c>
      <c r="CF200" s="24"/>
      <c r="CG200" s="24"/>
      <c r="CH200" s="24" t="n">
        <v>3.6</v>
      </c>
      <c r="CI200" s="24" t="n">
        <v>1.35</v>
      </c>
      <c r="CJ200" s="24" t="n">
        <v>23</v>
      </c>
      <c r="CK200" s="24" t="n">
        <v>58</v>
      </c>
      <c r="CL200" s="24" t="s">
        <v>5039</v>
      </c>
      <c r="CM200" s="24" t="s">
        <v>3590</v>
      </c>
      <c r="CN200" s="24" t="s">
        <v>5040</v>
      </c>
      <c r="CO200" s="24" t="s">
        <v>3592</v>
      </c>
      <c r="CP200" s="24" t="s">
        <v>5041</v>
      </c>
      <c r="CQ200" s="25" t="s">
        <v>5042</v>
      </c>
      <c r="CR200" s="24" t="s">
        <v>1211</v>
      </c>
      <c r="CS200" s="24" t="s">
        <v>3973</v>
      </c>
    </row>
    <row r="201" customFormat="false" ht="14.25" hidden="false" customHeight="false" outlineLevel="0" collapsed="false">
      <c r="A201" s="24" t="s">
        <v>1214</v>
      </c>
      <c r="B201" s="24" t="s">
        <v>1214</v>
      </c>
      <c r="C201" s="24" t="s">
        <v>1215</v>
      </c>
      <c r="D201" s="24" t="n">
        <v>2015</v>
      </c>
      <c r="E201" s="24" t="s">
        <v>1216</v>
      </c>
      <c r="F201" s="24" t="s">
        <v>1195</v>
      </c>
      <c r="G201" s="24" t="s">
        <v>1196</v>
      </c>
      <c r="H201" s="24" t="n">
        <v>41.55</v>
      </c>
      <c r="I201" s="24" t="n">
        <v>60.63</v>
      </c>
      <c r="J201" s="24" t="s">
        <v>921</v>
      </c>
      <c r="K201" s="24" t="s">
        <v>3967</v>
      </c>
      <c r="L201" s="24" t="s">
        <v>872</v>
      </c>
      <c r="M201" s="24" t="s">
        <v>85</v>
      </c>
      <c r="N201" s="24" t="n">
        <f aca="false">ROUND(6298/1000,2)</f>
        <v>6.3</v>
      </c>
      <c r="O201" s="24"/>
      <c r="P201" s="24" t="n">
        <f aca="false">ROUND(5658/1000,2)</f>
        <v>5.66</v>
      </c>
      <c r="Q201" s="24"/>
      <c r="R201" s="24"/>
      <c r="S201" s="24"/>
      <c r="T201" s="24"/>
      <c r="U201" s="24"/>
      <c r="V201" s="24"/>
      <c r="W201" s="24"/>
      <c r="X201" s="24"/>
      <c r="Y201" s="24"/>
      <c r="Z201" s="24"/>
      <c r="AA201" s="24"/>
      <c r="AB201" s="24"/>
      <c r="AC201" s="24"/>
      <c r="AD201" s="24"/>
      <c r="AE201" s="24"/>
      <c r="AF201" s="24"/>
      <c r="AG201" s="24"/>
      <c r="AH201" s="24"/>
      <c r="AI201" s="24"/>
      <c r="AJ201" s="24"/>
      <c r="AK201" s="24"/>
      <c r="AL201" s="24" t="n">
        <f aca="false">ROUND(3890/1000,2)</f>
        <v>3.89</v>
      </c>
      <c r="AM201" s="24"/>
      <c r="AN201" s="24" t="n">
        <f aca="false">ROUND(3624/1000,2)</f>
        <v>3.62</v>
      </c>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t="n">
        <v>43</v>
      </c>
      <c r="BW201" s="24" t="n">
        <v>4</v>
      </c>
      <c r="BX201" s="24" t="n">
        <f aca="false">IF(AND(N(BV201)&gt;0,N(BW201)&gt;0),SQRT(2*BV201/BW201),"")</f>
        <v>4.63680924774785</v>
      </c>
      <c r="BY201" s="24" t="n">
        <v>19</v>
      </c>
      <c r="BZ201" s="24" t="n">
        <v>-7</v>
      </c>
      <c r="CA201" s="24" t="n">
        <v>40</v>
      </c>
      <c r="CB201" s="24" t="n">
        <v>100</v>
      </c>
      <c r="CC201" s="24" t="n">
        <v>41.55</v>
      </c>
      <c r="CD201" s="24" t="n">
        <v>39</v>
      </c>
      <c r="CE201" s="24" t="n">
        <v>13.4</v>
      </c>
      <c r="CF201" s="24"/>
      <c r="CG201" s="24"/>
      <c r="CH201" s="24" t="n">
        <v>3.6</v>
      </c>
      <c r="CI201" s="24" t="n">
        <v>1.35</v>
      </c>
      <c r="CJ201" s="24" t="n">
        <v>23</v>
      </c>
      <c r="CK201" s="24" t="n">
        <v>58</v>
      </c>
      <c r="CL201" s="24" t="s">
        <v>5039</v>
      </c>
      <c r="CM201" s="24" t="s">
        <v>3590</v>
      </c>
      <c r="CN201" s="24" t="s">
        <v>5040</v>
      </c>
      <c r="CO201" s="24" t="s">
        <v>3592</v>
      </c>
      <c r="CP201" s="24" t="s">
        <v>5041</v>
      </c>
      <c r="CQ201" s="25" t="s">
        <v>5043</v>
      </c>
      <c r="CR201" s="24" t="s">
        <v>1211</v>
      </c>
      <c r="CS201" s="24" t="s">
        <v>3973</v>
      </c>
    </row>
    <row r="202" customFormat="false" ht="14.25" hidden="false" customHeight="false" outlineLevel="0" collapsed="false">
      <c r="A202" s="24" t="s">
        <v>1214</v>
      </c>
      <c r="B202" s="24" t="s">
        <v>1214</v>
      </c>
      <c r="C202" s="24" t="s">
        <v>1215</v>
      </c>
      <c r="D202" s="24" t="n">
        <v>2015</v>
      </c>
      <c r="E202" s="24" t="s">
        <v>1216</v>
      </c>
      <c r="F202" s="24" t="s">
        <v>1195</v>
      </c>
      <c r="G202" s="24" t="s">
        <v>1196</v>
      </c>
      <c r="H202" s="24" t="n">
        <v>41.55</v>
      </c>
      <c r="I202" s="24" t="n">
        <v>60.63</v>
      </c>
      <c r="J202" s="24" t="s">
        <v>921</v>
      </c>
      <c r="K202" s="24" t="s">
        <v>3967</v>
      </c>
      <c r="L202" s="24" t="s">
        <v>872</v>
      </c>
      <c r="M202" s="24" t="s">
        <v>85</v>
      </c>
      <c r="N202" s="24" t="n">
        <f aca="false">ROUND(6119/1000,2)</f>
        <v>6.12</v>
      </c>
      <c r="O202" s="24"/>
      <c r="P202" s="24" t="n">
        <f aca="false">ROUND(5590/1000,2)</f>
        <v>5.59</v>
      </c>
      <c r="Q202" s="24"/>
      <c r="R202" s="24"/>
      <c r="S202" s="24"/>
      <c r="T202" s="24"/>
      <c r="U202" s="24"/>
      <c r="V202" s="24"/>
      <c r="W202" s="24"/>
      <c r="X202" s="24"/>
      <c r="Y202" s="24"/>
      <c r="Z202" s="24"/>
      <c r="AA202" s="24"/>
      <c r="AB202" s="24"/>
      <c r="AC202" s="24"/>
      <c r="AD202" s="24"/>
      <c r="AE202" s="24"/>
      <c r="AF202" s="24"/>
      <c r="AG202" s="24"/>
      <c r="AH202" s="24"/>
      <c r="AI202" s="24"/>
      <c r="AJ202" s="24"/>
      <c r="AK202" s="24"/>
      <c r="AL202" s="24" t="n">
        <f aca="false">ROUND(3958/1000,2)</f>
        <v>3.96</v>
      </c>
      <c r="AM202" s="24"/>
      <c r="AN202" s="24" t="n">
        <f aca="false">ROUND(3817/1000,2)</f>
        <v>3.82</v>
      </c>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t="n">
        <v>43</v>
      </c>
      <c r="BW202" s="24" t="n">
        <v>4</v>
      </c>
      <c r="BX202" s="24" t="n">
        <f aca="false">IF(AND(N(BV202)&gt;0,N(BW202)&gt;0),SQRT(2*BV202/BW202),"")</f>
        <v>4.63680924774785</v>
      </c>
      <c r="BY202" s="24" t="n">
        <v>19</v>
      </c>
      <c r="BZ202" s="24" t="n">
        <v>-7</v>
      </c>
      <c r="CA202" s="24" t="n">
        <v>40</v>
      </c>
      <c r="CB202" s="24" t="n">
        <v>100</v>
      </c>
      <c r="CC202" s="24" t="n">
        <v>41.55</v>
      </c>
      <c r="CD202" s="24" t="n">
        <v>39</v>
      </c>
      <c r="CE202" s="24" t="n">
        <v>13.4</v>
      </c>
      <c r="CF202" s="24"/>
      <c r="CG202" s="24"/>
      <c r="CH202" s="24" t="n">
        <v>3.6</v>
      </c>
      <c r="CI202" s="24" t="n">
        <v>1.35</v>
      </c>
      <c r="CJ202" s="24" t="n">
        <v>23</v>
      </c>
      <c r="CK202" s="24" t="n">
        <v>58</v>
      </c>
      <c r="CL202" s="24" t="s">
        <v>5039</v>
      </c>
      <c r="CM202" s="24" t="s">
        <v>3590</v>
      </c>
      <c r="CN202" s="24" t="s">
        <v>5040</v>
      </c>
      <c r="CO202" s="24" t="s">
        <v>3592</v>
      </c>
      <c r="CP202" s="24" t="s">
        <v>5041</v>
      </c>
      <c r="CQ202" s="25" t="s">
        <v>5044</v>
      </c>
      <c r="CR202" s="24" t="s">
        <v>1211</v>
      </c>
      <c r="CS202" s="24" t="s">
        <v>3973</v>
      </c>
    </row>
    <row r="203" customFormat="false" ht="14.25" hidden="false" customHeight="false" outlineLevel="0" collapsed="false">
      <c r="A203" s="24" t="s">
        <v>1214</v>
      </c>
      <c r="B203" s="24" t="s">
        <v>1214</v>
      </c>
      <c r="C203" s="24" t="s">
        <v>1215</v>
      </c>
      <c r="D203" s="24" t="n">
        <v>2015</v>
      </c>
      <c r="E203" s="24" t="s">
        <v>1216</v>
      </c>
      <c r="F203" s="24" t="s">
        <v>1195</v>
      </c>
      <c r="G203" s="24" t="s">
        <v>1196</v>
      </c>
      <c r="H203" s="24" t="n">
        <v>41.55</v>
      </c>
      <c r="I203" s="24" t="n">
        <v>60.63</v>
      </c>
      <c r="J203" s="24" t="s">
        <v>921</v>
      </c>
      <c r="K203" s="24" t="s">
        <v>3967</v>
      </c>
      <c r="L203" s="24" t="s">
        <v>872</v>
      </c>
      <c r="M203" s="24" t="s">
        <v>85</v>
      </c>
      <c r="N203" s="24" t="n">
        <f aca="false">ROUND(6307/1000,2)</f>
        <v>6.31</v>
      </c>
      <c r="O203" s="24"/>
      <c r="P203" s="24" t="n">
        <f aca="false">ROUND(5590/1000,2)</f>
        <v>5.59</v>
      </c>
      <c r="Q203" s="24"/>
      <c r="R203" s="24"/>
      <c r="S203" s="24"/>
      <c r="T203" s="24"/>
      <c r="U203" s="24"/>
      <c r="V203" s="24"/>
      <c r="W203" s="24"/>
      <c r="X203" s="24"/>
      <c r="Y203" s="24"/>
      <c r="Z203" s="24"/>
      <c r="AA203" s="24"/>
      <c r="AB203" s="24"/>
      <c r="AC203" s="24"/>
      <c r="AD203" s="24"/>
      <c r="AE203" s="24"/>
      <c r="AF203" s="24"/>
      <c r="AG203" s="24"/>
      <c r="AH203" s="24"/>
      <c r="AI203" s="24"/>
      <c r="AJ203" s="24"/>
      <c r="AK203" s="24"/>
      <c r="AL203" s="24" t="n">
        <f aca="false">ROUND(4113/1000,2)</f>
        <v>4.11</v>
      </c>
      <c r="AM203" s="24"/>
      <c r="AN203" s="24" t="n">
        <f aca="false">ROUND(3817/1000,2)</f>
        <v>3.82</v>
      </c>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t="n">
        <v>43</v>
      </c>
      <c r="BW203" s="24" t="n">
        <v>4</v>
      </c>
      <c r="BX203" s="24" t="n">
        <f aca="false">IF(AND(N(BV203)&gt;0,N(BW203)&gt;0),SQRT(2*BV203/BW203),"")</f>
        <v>4.63680924774785</v>
      </c>
      <c r="BY203" s="24" t="n">
        <v>19</v>
      </c>
      <c r="BZ203" s="24" t="n">
        <v>-7</v>
      </c>
      <c r="CA203" s="24" t="n">
        <v>40</v>
      </c>
      <c r="CB203" s="24" t="n">
        <v>100</v>
      </c>
      <c r="CC203" s="24" t="n">
        <v>41.55</v>
      </c>
      <c r="CD203" s="24" t="n">
        <v>39</v>
      </c>
      <c r="CE203" s="24" t="n">
        <v>13.4</v>
      </c>
      <c r="CF203" s="24"/>
      <c r="CG203" s="24"/>
      <c r="CH203" s="24" t="n">
        <v>3.6</v>
      </c>
      <c r="CI203" s="24" t="n">
        <v>1.35</v>
      </c>
      <c r="CJ203" s="24" t="n">
        <v>23</v>
      </c>
      <c r="CK203" s="24" t="n">
        <v>58</v>
      </c>
      <c r="CL203" s="24" t="s">
        <v>5039</v>
      </c>
      <c r="CM203" s="24" t="s">
        <v>3590</v>
      </c>
      <c r="CN203" s="24" t="s">
        <v>5040</v>
      </c>
      <c r="CO203" s="24" t="s">
        <v>3592</v>
      </c>
      <c r="CP203" s="24" t="s">
        <v>5041</v>
      </c>
      <c r="CQ203" s="25" t="s">
        <v>5045</v>
      </c>
      <c r="CR203" s="24" t="s">
        <v>1211</v>
      </c>
      <c r="CS203" s="24" t="s">
        <v>3973</v>
      </c>
    </row>
    <row r="204" customFormat="false" ht="14.25" hidden="false" customHeight="false" outlineLevel="0" collapsed="false">
      <c r="A204" s="24" t="s">
        <v>1225</v>
      </c>
      <c r="B204" s="24" t="s">
        <v>1225</v>
      </c>
      <c r="C204" s="24" t="s">
        <v>1226</v>
      </c>
      <c r="D204" s="24" t="n">
        <v>2018</v>
      </c>
      <c r="E204" s="24" t="s">
        <v>1227</v>
      </c>
      <c r="F204" s="24" t="s">
        <v>1083</v>
      </c>
      <c r="G204" s="24" t="s">
        <v>1230</v>
      </c>
      <c r="H204" s="24" t="n">
        <v>26.67</v>
      </c>
      <c r="I204" s="24" t="n">
        <v>87.13</v>
      </c>
      <c r="J204" s="24" t="s">
        <v>83</v>
      </c>
      <c r="K204" s="24" t="s">
        <v>5046</v>
      </c>
      <c r="L204" s="24" t="s">
        <v>872</v>
      </c>
      <c r="M204" s="24" t="s">
        <v>85</v>
      </c>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t="n">
        <v>3.21</v>
      </c>
      <c r="AM204" s="24" t="n">
        <v>3.02</v>
      </c>
      <c r="AN204" s="24"/>
      <c r="AO204" s="24"/>
      <c r="AP204" s="24"/>
      <c r="AQ204" s="24"/>
      <c r="AR204" s="24"/>
      <c r="AS204" s="24"/>
      <c r="AT204" s="24" t="n">
        <v>3.2</v>
      </c>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t="n">
        <v>4</v>
      </c>
      <c r="BW204" s="24" t="n">
        <v>3</v>
      </c>
      <c r="BX204" s="24" t="n">
        <f aca="false">IF(AND(N(BV204)&gt;0,N(BW204)&gt;0),SQRT(2*BV204/BW204),"")</f>
        <v>1.63299316185545</v>
      </c>
      <c r="BY204" s="24"/>
      <c r="BZ204" s="24" t="n">
        <v>10</v>
      </c>
      <c r="CA204" s="24" t="n">
        <v>43</v>
      </c>
      <c r="CB204" s="24" t="n">
        <v>1943</v>
      </c>
      <c r="CC204" s="24" t="n">
        <v>26.67</v>
      </c>
      <c r="CD204" s="24" t="n">
        <v>2</v>
      </c>
      <c r="CE204" s="24"/>
      <c r="CF204" s="24"/>
      <c r="CG204" s="24"/>
      <c r="CH204" s="24"/>
      <c r="CI204" s="24"/>
      <c r="CJ204" s="24"/>
      <c r="CK204" s="24"/>
      <c r="CL204" s="24" t="s">
        <v>5047</v>
      </c>
      <c r="CM204" s="24" t="s">
        <v>5048</v>
      </c>
      <c r="CN204" s="24" t="s">
        <v>5049</v>
      </c>
      <c r="CO204" s="24" t="s">
        <v>5050</v>
      </c>
      <c r="CP204" s="24" t="s">
        <v>5051</v>
      </c>
      <c r="CQ204" s="25" t="s">
        <v>5052</v>
      </c>
      <c r="CR204" s="24" t="s">
        <v>1237</v>
      </c>
      <c r="CS204" s="24" t="s">
        <v>5053</v>
      </c>
    </row>
    <row r="205" customFormat="false" ht="14.25" hidden="false" customHeight="false" outlineLevel="0" collapsed="false">
      <c r="A205" s="24" t="s">
        <v>1225</v>
      </c>
      <c r="B205" s="24" t="s">
        <v>1225</v>
      </c>
      <c r="C205" s="24" t="s">
        <v>1226</v>
      </c>
      <c r="D205" s="24" t="n">
        <v>2018</v>
      </c>
      <c r="E205" s="24" t="s">
        <v>1227</v>
      </c>
      <c r="F205" s="24" t="s">
        <v>1083</v>
      </c>
      <c r="G205" s="24" t="s">
        <v>1230</v>
      </c>
      <c r="H205" s="24" t="n">
        <v>26.67</v>
      </c>
      <c r="I205" s="24" t="n">
        <v>87.13</v>
      </c>
      <c r="J205" s="24" t="s">
        <v>83</v>
      </c>
      <c r="K205" s="24" t="s">
        <v>2075</v>
      </c>
      <c r="L205" s="24" t="s">
        <v>872</v>
      </c>
      <c r="M205" s="24" t="s">
        <v>85</v>
      </c>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t="n">
        <v>7.15</v>
      </c>
      <c r="BK205" s="24" t="n">
        <v>8.08</v>
      </c>
      <c r="BL205" s="24"/>
      <c r="BM205" s="24"/>
      <c r="BN205" s="24"/>
      <c r="BO205" s="24"/>
      <c r="BP205" s="24"/>
      <c r="BQ205" s="24"/>
      <c r="BR205" s="24" t="n">
        <v>8.19</v>
      </c>
      <c r="BS205" s="24"/>
      <c r="BT205" s="24"/>
      <c r="BU205" s="24"/>
      <c r="BV205" s="24" t="n">
        <v>2</v>
      </c>
      <c r="BW205" s="24" t="n">
        <v>3</v>
      </c>
      <c r="BX205" s="24" t="n">
        <f aca="false">IF(AND(N(BV205)&gt;0,N(BW205)&gt;0),SQRT(2*BV205/BW205),"")</f>
        <v>1.15470053837925</v>
      </c>
      <c r="BY205" s="24"/>
      <c r="BZ205" s="24" t="n">
        <v>10</v>
      </c>
      <c r="CA205" s="24" t="n">
        <v>43</v>
      </c>
      <c r="CB205" s="24" t="n">
        <v>1943</v>
      </c>
      <c r="CC205" s="24" t="n">
        <v>26.67</v>
      </c>
      <c r="CD205" s="24" t="n">
        <v>2</v>
      </c>
      <c r="CE205" s="24"/>
      <c r="CF205" s="24"/>
      <c r="CG205" s="24"/>
      <c r="CH205" s="24"/>
      <c r="CI205" s="24"/>
      <c r="CJ205" s="24"/>
      <c r="CK205" s="24"/>
      <c r="CL205" s="24" t="s">
        <v>5054</v>
      </c>
      <c r="CM205" s="24" t="s">
        <v>5048</v>
      </c>
      <c r="CN205" s="24" t="s">
        <v>5055</v>
      </c>
      <c r="CO205" s="24" t="s">
        <v>5050</v>
      </c>
      <c r="CP205" s="24" t="s">
        <v>91</v>
      </c>
      <c r="CQ205" s="25" t="s">
        <v>5056</v>
      </c>
      <c r="CR205" s="24" t="s">
        <v>1237</v>
      </c>
      <c r="CS205" s="24" t="s">
        <v>5057</v>
      </c>
    </row>
    <row r="206" customFormat="false" ht="14.25" hidden="false" customHeight="false" outlineLevel="0" collapsed="false">
      <c r="A206" s="24" t="s">
        <v>1225</v>
      </c>
      <c r="B206" s="24" t="s">
        <v>1225</v>
      </c>
      <c r="C206" s="24" t="s">
        <v>1226</v>
      </c>
      <c r="D206" s="24" t="n">
        <v>2018</v>
      </c>
      <c r="E206" s="24" t="s">
        <v>1227</v>
      </c>
      <c r="F206" s="24" t="s">
        <v>1083</v>
      </c>
      <c r="G206" s="24" t="s">
        <v>1230</v>
      </c>
      <c r="H206" s="24" t="n">
        <v>26.67</v>
      </c>
      <c r="I206" s="24" t="n">
        <v>87.13</v>
      </c>
      <c r="J206" s="24" t="s">
        <v>83</v>
      </c>
      <c r="K206" s="24" t="s">
        <v>5046</v>
      </c>
      <c r="L206" s="24" t="s">
        <v>872</v>
      </c>
      <c r="M206" s="24" t="s">
        <v>85</v>
      </c>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t="n">
        <v>3.14</v>
      </c>
      <c r="AM206" s="24" t="n">
        <v>3.02</v>
      </c>
      <c r="AN206" s="24"/>
      <c r="AO206" s="24"/>
      <c r="AP206" s="24"/>
      <c r="AQ206" s="24"/>
      <c r="AR206" s="24"/>
      <c r="AS206" s="24"/>
      <c r="AT206" s="24" t="n">
        <v>3.2</v>
      </c>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t="n">
        <v>4</v>
      </c>
      <c r="BW206" s="24" t="n">
        <v>3</v>
      </c>
      <c r="BX206" s="24" t="n">
        <f aca="false">IF(AND(N(BV206)&gt;0,N(BW206)&gt;0),SQRT(2*BV206/BW206),"")</f>
        <v>1.63299316185545</v>
      </c>
      <c r="BY206" s="24"/>
      <c r="BZ206" s="24" t="n">
        <v>10</v>
      </c>
      <c r="CA206" s="24" t="n">
        <v>43</v>
      </c>
      <c r="CB206" s="24" t="n">
        <v>1943</v>
      </c>
      <c r="CC206" s="24" t="n">
        <v>26.67</v>
      </c>
      <c r="CD206" s="24" t="n">
        <v>2</v>
      </c>
      <c r="CE206" s="24"/>
      <c r="CF206" s="24"/>
      <c r="CG206" s="24"/>
      <c r="CH206" s="24"/>
      <c r="CI206" s="24"/>
      <c r="CJ206" s="24"/>
      <c r="CK206" s="24"/>
      <c r="CL206" s="24" t="s">
        <v>5047</v>
      </c>
      <c r="CM206" s="24" t="s">
        <v>5048</v>
      </c>
      <c r="CN206" s="24" t="s">
        <v>5049</v>
      </c>
      <c r="CO206" s="24" t="s">
        <v>5050</v>
      </c>
      <c r="CP206" s="24" t="s">
        <v>5051</v>
      </c>
      <c r="CQ206" s="25" t="s">
        <v>5058</v>
      </c>
      <c r="CR206" s="24" t="s">
        <v>1237</v>
      </c>
      <c r="CS206" s="24" t="s">
        <v>5053</v>
      </c>
    </row>
    <row r="207" customFormat="false" ht="14.25" hidden="false" customHeight="false" outlineLevel="0" collapsed="false">
      <c r="A207" s="24" t="s">
        <v>1225</v>
      </c>
      <c r="B207" s="24" t="s">
        <v>1225</v>
      </c>
      <c r="C207" s="24" t="s">
        <v>1226</v>
      </c>
      <c r="D207" s="24" t="n">
        <v>2018</v>
      </c>
      <c r="E207" s="24" t="s">
        <v>1227</v>
      </c>
      <c r="F207" s="24" t="s">
        <v>1083</v>
      </c>
      <c r="G207" s="24" t="s">
        <v>1230</v>
      </c>
      <c r="H207" s="24" t="n">
        <v>26.67</v>
      </c>
      <c r="I207" s="24" t="n">
        <v>87.13</v>
      </c>
      <c r="J207" s="24" t="s">
        <v>83</v>
      </c>
      <c r="K207" s="24" t="s">
        <v>2075</v>
      </c>
      <c r="L207" s="24" t="s">
        <v>872</v>
      </c>
      <c r="M207" s="24" t="s">
        <v>85</v>
      </c>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t="n">
        <v>8.11</v>
      </c>
      <c r="BK207" s="24" t="n">
        <v>8.08</v>
      </c>
      <c r="BL207" s="24"/>
      <c r="BM207" s="24"/>
      <c r="BN207" s="24"/>
      <c r="BO207" s="24"/>
      <c r="BP207" s="24"/>
      <c r="BQ207" s="24"/>
      <c r="BR207" s="24" t="n">
        <v>8.19</v>
      </c>
      <c r="BS207" s="24"/>
      <c r="BT207" s="24"/>
      <c r="BU207" s="24"/>
      <c r="BV207" s="24" t="n">
        <v>2</v>
      </c>
      <c r="BW207" s="24" t="n">
        <v>3</v>
      </c>
      <c r="BX207" s="24" t="n">
        <f aca="false">IF(AND(N(BV207)&gt;0,N(BW207)&gt;0),SQRT(2*BV207/BW207),"")</f>
        <v>1.15470053837925</v>
      </c>
      <c r="BY207" s="24"/>
      <c r="BZ207" s="24" t="n">
        <v>10</v>
      </c>
      <c r="CA207" s="24" t="n">
        <v>43</v>
      </c>
      <c r="CB207" s="24" t="n">
        <v>1943</v>
      </c>
      <c r="CC207" s="24" t="n">
        <v>26.67</v>
      </c>
      <c r="CD207" s="24" t="n">
        <v>2</v>
      </c>
      <c r="CE207" s="24"/>
      <c r="CF207" s="24"/>
      <c r="CG207" s="24"/>
      <c r="CH207" s="24"/>
      <c r="CI207" s="24"/>
      <c r="CJ207" s="24"/>
      <c r="CK207" s="24"/>
      <c r="CL207" s="24" t="s">
        <v>5054</v>
      </c>
      <c r="CM207" s="24" t="s">
        <v>5048</v>
      </c>
      <c r="CN207" s="24" t="s">
        <v>5055</v>
      </c>
      <c r="CO207" s="24" t="s">
        <v>5050</v>
      </c>
      <c r="CP207" s="24" t="s">
        <v>91</v>
      </c>
      <c r="CQ207" s="25" t="s">
        <v>5059</v>
      </c>
      <c r="CR207" s="24" t="s">
        <v>1237</v>
      </c>
      <c r="CS207" s="24" t="s">
        <v>5057</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5060</v>
      </c>
      <c r="O1" s="27" t="s">
        <v>5061</v>
      </c>
      <c r="P1" s="27" t="s">
        <v>5062</v>
      </c>
      <c r="Q1" s="27" t="s">
        <v>5063</v>
      </c>
      <c r="R1" s="27" t="s">
        <v>5064</v>
      </c>
      <c r="S1" s="27" t="s">
        <v>5065</v>
      </c>
      <c r="T1" s="27" t="s">
        <v>5066</v>
      </c>
      <c r="U1" s="27" t="s">
        <v>5067</v>
      </c>
      <c r="V1" s="30" t="s">
        <v>5068</v>
      </c>
      <c r="W1" s="30" t="s">
        <v>5069</v>
      </c>
      <c r="X1" s="30" t="s">
        <v>5070</v>
      </c>
      <c r="Y1" s="30" t="s">
        <v>5071</v>
      </c>
      <c r="Z1" s="27" t="s">
        <v>5072</v>
      </c>
      <c r="AA1" s="28" t="s">
        <v>35</v>
      </c>
      <c r="AB1" s="28" t="s">
        <v>33</v>
      </c>
      <c r="AC1" s="28" t="s">
        <v>37</v>
      </c>
      <c r="AD1" s="21" t="s">
        <v>73</v>
      </c>
      <c r="AE1" s="21" t="s">
        <v>826</v>
      </c>
      <c r="AF1" s="21" t="s">
        <v>827</v>
      </c>
      <c r="AG1" s="21" t="s">
        <v>74</v>
      </c>
      <c r="AH1" s="21" t="s">
        <v>2036</v>
      </c>
      <c r="AI1" s="21" t="s">
        <v>2037</v>
      </c>
      <c r="AJ1" s="21" t="s">
        <v>828</v>
      </c>
      <c r="AK1" s="21" t="s">
        <v>829</v>
      </c>
      <c r="AL1" s="21" t="s">
        <v>75</v>
      </c>
      <c r="AM1" s="21" t="s">
        <v>824</v>
      </c>
      <c r="AN1" s="21" t="s">
        <v>825</v>
      </c>
      <c r="AO1" s="21" t="s">
        <v>822</v>
      </c>
      <c r="AP1" s="21" t="s">
        <v>823</v>
      </c>
      <c r="AQ1" s="22" t="s">
        <v>76</v>
      </c>
      <c r="AR1" s="22" t="s">
        <v>77</v>
      </c>
      <c r="AS1" s="22" t="s">
        <v>2038</v>
      </c>
      <c r="AT1" s="22" t="s">
        <v>2039</v>
      </c>
      <c r="AU1" s="22" t="s">
        <v>78</v>
      </c>
      <c r="AV1" s="22" t="s">
        <v>841</v>
      </c>
      <c r="AW1" s="22" t="s">
        <v>2040</v>
      </c>
      <c r="AX1" s="22" t="s">
        <v>2041</v>
      </c>
      <c r="AZ1" s="31" t="s">
        <v>2042</v>
      </c>
    </row>
    <row r="2" customFormat="false" ht="15" hidden="false" customHeight="true" outlineLevel="0" collapsed="false">
      <c r="A2" s="24" t="s">
        <v>1225</v>
      </c>
      <c r="B2" s="24" t="s">
        <v>1225</v>
      </c>
      <c r="C2" s="24" t="s">
        <v>1226</v>
      </c>
      <c r="D2" s="24" t="n">
        <v>2018</v>
      </c>
      <c r="E2" s="24" t="s">
        <v>1227</v>
      </c>
      <c r="F2" s="24" t="s">
        <v>1083</v>
      </c>
      <c r="G2" s="24" t="s">
        <v>1230</v>
      </c>
      <c r="H2" s="24" t="n">
        <v>26.67</v>
      </c>
      <c r="I2" s="24" t="n">
        <v>87.13</v>
      </c>
      <c r="J2" s="24" t="s">
        <v>83</v>
      </c>
      <c r="K2" s="24" t="s">
        <v>2075</v>
      </c>
      <c r="L2" s="24" t="s">
        <v>872</v>
      </c>
      <c r="M2" s="24" t="s">
        <v>85</v>
      </c>
      <c r="N2" s="24" t="n">
        <f aca="false">ROUND(14.42-YIELD!BJ205,2)</f>
        <v>7.27</v>
      </c>
      <c r="O2" s="24" t="n">
        <f aca="false">ROUND(15.91-YIELD!BK205,2)</f>
        <v>7.83</v>
      </c>
      <c r="P2" s="24"/>
      <c r="Q2" s="24"/>
      <c r="R2" s="24"/>
      <c r="S2" s="24"/>
      <c r="T2" s="24"/>
      <c r="U2" s="24"/>
      <c r="V2" s="24" t="n">
        <f aca="false">ROUND(16.09-YIELD!BR205,2)</f>
        <v>7.9</v>
      </c>
      <c r="W2" s="24"/>
      <c r="X2" s="24"/>
      <c r="Y2" s="24"/>
      <c r="Z2" s="24"/>
      <c r="AA2" s="24" t="n">
        <v>2</v>
      </c>
      <c r="AB2" s="24" t="n">
        <v>3</v>
      </c>
      <c r="AC2" s="24" t="n">
        <f aca="false">IF(AND(N(AA2)&gt;0,N(AB2)&gt;0),SQRT(2*AA2/AB2),"")</f>
        <v>1.15470053837925</v>
      </c>
      <c r="AD2" s="24"/>
      <c r="AE2" s="24" t="n">
        <v>10</v>
      </c>
      <c r="AF2" s="24" t="n">
        <v>43</v>
      </c>
      <c r="AG2" s="24" t="n">
        <v>1943</v>
      </c>
      <c r="AH2" s="24" t="n">
        <v>26.67</v>
      </c>
      <c r="AI2" s="24" t="n">
        <v>2</v>
      </c>
      <c r="AJ2" s="24"/>
      <c r="AK2" s="24"/>
      <c r="AL2" s="24"/>
      <c r="AM2" s="24"/>
      <c r="AN2" s="24"/>
      <c r="AO2" s="24"/>
      <c r="AP2" s="24"/>
      <c r="AQ2" s="24" t="s">
        <v>5073</v>
      </c>
      <c r="AR2" s="24" t="s">
        <v>5048</v>
      </c>
      <c r="AS2" s="24" t="s">
        <v>5055</v>
      </c>
      <c r="AT2" s="24" t="s">
        <v>5050</v>
      </c>
      <c r="AU2" s="24" t="s">
        <v>5074</v>
      </c>
      <c r="AV2" s="25" t="s">
        <v>5075</v>
      </c>
      <c r="AW2" s="24" t="s">
        <v>1237</v>
      </c>
      <c r="AX2" s="24" t="s">
        <v>5076</v>
      </c>
      <c r="AZ2" s="33" t="s">
        <v>1513</v>
      </c>
    </row>
    <row r="3" customFormat="false" ht="15" hidden="false" customHeight="true" outlineLevel="0" collapsed="false">
      <c r="A3" s="24" t="s">
        <v>1225</v>
      </c>
      <c r="B3" s="24" t="s">
        <v>1225</v>
      </c>
      <c r="C3" s="24" t="s">
        <v>1226</v>
      </c>
      <c r="D3" s="24" t="n">
        <v>2018</v>
      </c>
      <c r="E3" s="24" t="s">
        <v>1227</v>
      </c>
      <c r="F3" s="24" t="s">
        <v>1083</v>
      </c>
      <c r="G3" s="24" t="s">
        <v>1230</v>
      </c>
      <c r="H3" s="24" t="n">
        <v>26.67</v>
      </c>
      <c r="I3" s="24" t="n">
        <v>87.13</v>
      </c>
      <c r="J3" s="24" t="s">
        <v>83</v>
      </c>
      <c r="K3" s="24" t="s">
        <v>2075</v>
      </c>
      <c r="L3" s="24" t="s">
        <v>872</v>
      </c>
      <c r="M3" s="24" t="s">
        <v>85</v>
      </c>
      <c r="N3" s="24" t="n">
        <f aca="false">ROUND(15.72-YIELD!BJ207,2)</f>
        <v>7.61</v>
      </c>
      <c r="O3" s="24" t="n">
        <f aca="false">ROUND(15.91-YIELD!BK207,2)</f>
        <v>7.83</v>
      </c>
      <c r="P3" s="24"/>
      <c r="Q3" s="24"/>
      <c r="R3" s="24"/>
      <c r="S3" s="24"/>
      <c r="T3" s="24"/>
      <c r="U3" s="24"/>
      <c r="V3" s="24" t="n">
        <f aca="false">ROUND(16.09-YIELD!BR207,2)</f>
        <v>7.9</v>
      </c>
      <c r="W3" s="24"/>
      <c r="X3" s="24"/>
      <c r="Y3" s="24"/>
      <c r="Z3" s="24"/>
      <c r="AA3" s="24" t="n">
        <v>2</v>
      </c>
      <c r="AB3" s="24" t="n">
        <v>3</v>
      </c>
      <c r="AC3" s="24" t="n">
        <f aca="false">IF(AND(N(AA3)&gt;0,N(AB3)&gt;0),SQRT(2*AA3/AB3),"")</f>
        <v>1.15470053837925</v>
      </c>
      <c r="AD3" s="24"/>
      <c r="AE3" s="24" t="n">
        <v>10</v>
      </c>
      <c r="AF3" s="24" t="n">
        <v>43</v>
      </c>
      <c r="AG3" s="24" t="n">
        <v>1943</v>
      </c>
      <c r="AH3" s="24" t="n">
        <v>26.67</v>
      </c>
      <c r="AI3" s="24" t="n">
        <v>2</v>
      </c>
      <c r="AJ3" s="24"/>
      <c r="AK3" s="24"/>
      <c r="AL3" s="24"/>
      <c r="AM3" s="24"/>
      <c r="AN3" s="24"/>
      <c r="AO3" s="24"/>
      <c r="AP3" s="24"/>
      <c r="AQ3" s="24" t="s">
        <v>5073</v>
      </c>
      <c r="AR3" s="24" t="s">
        <v>5048</v>
      </c>
      <c r="AS3" s="24" t="s">
        <v>5055</v>
      </c>
      <c r="AT3" s="24" t="s">
        <v>5050</v>
      </c>
      <c r="AU3" s="24" t="s">
        <v>5074</v>
      </c>
      <c r="AV3" s="25" t="s">
        <v>5077</v>
      </c>
      <c r="AW3" s="24" t="s">
        <v>1237</v>
      </c>
      <c r="AX3" s="24" t="s">
        <v>5076</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5078</v>
      </c>
      <c r="Q1" s="27" t="s">
        <v>5079</v>
      </c>
      <c r="R1" s="27" t="s">
        <v>5080</v>
      </c>
      <c r="S1" s="27" t="s">
        <v>5081</v>
      </c>
      <c r="T1" s="27" t="s">
        <v>5082</v>
      </c>
      <c r="U1" s="27" t="s">
        <v>5083</v>
      </c>
      <c r="V1" s="27" t="s">
        <v>5084</v>
      </c>
      <c r="W1" s="27" t="s">
        <v>5085</v>
      </c>
      <c r="X1" s="30" t="s">
        <v>5086</v>
      </c>
      <c r="Y1" s="30" t="s">
        <v>5087</v>
      </c>
      <c r="Z1" s="30" t="s">
        <v>5088</v>
      </c>
      <c r="AA1" s="30" t="s">
        <v>5089</v>
      </c>
      <c r="AB1" s="27" t="s">
        <v>5090</v>
      </c>
      <c r="AC1" s="27" t="s">
        <v>5091</v>
      </c>
      <c r="AD1" s="27" t="s">
        <v>5092</v>
      </c>
      <c r="AE1" s="27" t="s">
        <v>5093</v>
      </c>
      <c r="AF1" s="27" t="s">
        <v>5094</v>
      </c>
      <c r="AG1" s="27" t="s">
        <v>5095</v>
      </c>
      <c r="AH1" s="27" t="s">
        <v>5096</v>
      </c>
      <c r="AI1" s="27" t="s">
        <v>5097</v>
      </c>
      <c r="AJ1" s="30" t="s">
        <v>5098</v>
      </c>
      <c r="AK1" s="30" t="s">
        <v>5099</v>
      </c>
      <c r="AL1" s="30" t="s">
        <v>5100</v>
      </c>
      <c r="AM1" s="30" t="s">
        <v>5101</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A2" s="5" t="s">
        <v>982</v>
      </c>
      <c r="B2" s="5" t="s">
        <v>982</v>
      </c>
      <c r="C2" s="5" t="s">
        <v>983</v>
      </c>
      <c r="D2" s="5" t="n">
        <v>2023</v>
      </c>
      <c r="E2" s="5" t="s">
        <v>984</v>
      </c>
      <c r="F2" s="5" t="s">
        <v>987</v>
      </c>
      <c r="G2" s="5" t="s">
        <v>988</v>
      </c>
      <c r="H2" s="5" t="n">
        <v>35.27</v>
      </c>
      <c r="I2" s="5" t="n">
        <v>119.38</v>
      </c>
      <c r="J2" s="5" t="s">
        <v>921</v>
      </c>
      <c r="K2" s="5" t="s">
        <v>4859</v>
      </c>
      <c r="L2" s="5" t="s">
        <v>872</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5102</v>
      </c>
      <c r="BE2" s="5" t="s">
        <v>2063</v>
      </c>
      <c r="BF2" s="5" t="s">
        <v>4861</v>
      </c>
      <c r="BG2" s="5" t="s">
        <v>2065</v>
      </c>
      <c r="BH2" s="5" t="s">
        <v>5103</v>
      </c>
      <c r="BI2" s="23" t="s">
        <v>4863</v>
      </c>
      <c r="BJ2" s="5" t="s">
        <v>998</v>
      </c>
      <c r="BK2" s="5" t="s">
        <v>5104</v>
      </c>
      <c r="BM2" s="33" t="s">
        <v>1516</v>
      </c>
    </row>
    <row r="3" customFormat="false" ht="14.25" hidden="false" customHeight="false" outlineLevel="0" collapsed="false">
      <c r="A3" s="24" t="n">
        <v>175</v>
      </c>
      <c r="B3" s="24" t="n">
        <v>175</v>
      </c>
      <c r="C3" s="24" t="s">
        <v>1170</v>
      </c>
      <c r="D3" s="24" t="n">
        <v>2022</v>
      </c>
      <c r="E3" s="24" t="s">
        <v>1171</v>
      </c>
      <c r="F3" s="24" t="s">
        <v>1045</v>
      </c>
      <c r="G3" s="24" t="s">
        <v>1174</v>
      </c>
      <c r="H3" s="24" t="n">
        <v>24.4514</v>
      </c>
      <c r="I3" s="24" t="n">
        <v>90.2411</v>
      </c>
      <c r="J3" s="24" t="s">
        <v>83</v>
      </c>
      <c r="K3" s="24" t="s">
        <v>5011</v>
      </c>
      <c r="L3" s="24" t="s">
        <v>872</v>
      </c>
      <c r="M3" s="24" t="s">
        <v>85</v>
      </c>
      <c r="N3" s="24"/>
      <c r="O3" s="24"/>
      <c r="P3" s="24"/>
      <c r="Q3" s="24" t="n">
        <v>293</v>
      </c>
      <c r="R3" s="24"/>
      <c r="S3" s="24"/>
      <c r="T3" s="24" t="n">
        <v>324</v>
      </c>
      <c r="U3" s="24"/>
      <c r="V3" s="24"/>
      <c r="W3" s="24"/>
      <c r="X3" s="24"/>
      <c r="Y3" s="24"/>
      <c r="Z3" s="24"/>
      <c r="AA3" s="24"/>
      <c r="AB3" s="24"/>
      <c r="AC3" s="24" t="n">
        <v>239</v>
      </c>
      <c r="AD3" s="24"/>
      <c r="AE3" s="24"/>
      <c r="AF3" s="24" t="n">
        <v>288</v>
      </c>
      <c r="AG3" s="24"/>
      <c r="AH3" s="24"/>
      <c r="AI3" s="24"/>
      <c r="AJ3" s="24"/>
      <c r="AK3" s="24"/>
      <c r="AL3" s="24"/>
      <c r="AM3" s="24"/>
      <c r="AN3" s="24" t="n">
        <v>4</v>
      </c>
      <c r="AO3" s="24" t="n">
        <v>4</v>
      </c>
      <c r="AP3" s="24" t="n">
        <f aca="false">IF(AND(N(AN3)&gt;0,N(AO3)&gt;0),SQRT(2*AN3/AO3),"")</f>
        <v>1.4142135623731</v>
      </c>
      <c r="AQ3" s="24" t="n">
        <v>28</v>
      </c>
      <c r="AR3" s="24" t="n">
        <v>12</v>
      </c>
      <c r="AS3" s="24" t="n">
        <v>33</v>
      </c>
      <c r="AT3" s="24" t="n">
        <v>172</v>
      </c>
      <c r="AU3" s="24" t="n">
        <v>24.4514</v>
      </c>
      <c r="AV3" s="24" t="n">
        <v>2</v>
      </c>
      <c r="AW3" s="24"/>
      <c r="AX3" s="24"/>
      <c r="AY3" s="24" t="n">
        <v>6.81</v>
      </c>
      <c r="AZ3" s="24"/>
      <c r="BA3" s="24"/>
      <c r="BB3" s="24" t="n">
        <v>52</v>
      </c>
      <c r="BC3" s="24" t="n">
        <v>20</v>
      </c>
      <c r="BD3" s="24" t="s">
        <v>5105</v>
      </c>
      <c r="BE3" s="24" t="s">
        <v>5013</v>
      </c>
      <c r="BF3" s="24" t="s">
        <v>5014</v>
      </c>
      <c r="BG3" s="24" t="s">
        <v>5015</v>
      </c>
      <c r="BH3" s="24" t="s">
        <v>5016</v>
      </c>
      <c r="BI3" s="25" t="s">
        <v>5106</v>
      </c>
      <c r="BJ3" s="24" t="s">
        <v>1188</v>
      </c>
      <c r="BK3" s="24" t="s">
        <v>5018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5107</v>
      </c>
      <c r="Q1" s="27" t="s">
        <v>5108</v>
      </c>
      <c r="R1" s="27" t="s">
        <v>5109</v>
      </c>
      <c r="S1" s="27" t="s">
        <v>5110</v>
      </c>
      <c r="T1" s="27" t="s">
        <v>5111</v>
      </c>
      <c r="U1" s="27" t="s">
        <v>5112</v>
      </c>
      <c r="V1" s="27" t="s">
        <v>5113</v>
      </c>
      <c r="W1" s="27" t="s">
        <v>5114</v>
      </c>
      <c r="X1" s="30" t="s">
        <v>5115</v>
      </c>
      <c r="Y1" s="30" t="s">
        <v>5116</v>
      </c>
      <c r="Z1" s="30" t="s">
        <v>5117</v>
      </c>
      <c r="AA1" s="30" t="s">
        <v>5118</v>
      </c>
      <c r="AB1" s="27" t="s">
        <v>5119</v>
      </c>
      <c r="AC1" s="27" t="s">
        <v>5120</v>
      </c>
      <c r="AD1" s="27" t="s">
        <v>5121</v>
      </c>
      <c r="AE1" s="27" t="s">
        <v>5122</v>
      </c>
      <c r="AF1" s="27" t="s">
        <v>5123</v>
      </c>
      <c r="AG1" s="27" t="s">
        <v>5124</v>
      </c>
      <c r="AH1" s="27" t="s">
        <v>5125</v>
      </c>
      <c r="AI1" s="27" t="s">
        <v>5126</v>
      </c>
      <c r="AJ1" s="30" t="s">
        <v>5127</v>
      </c>
      <c r="AK1" s="30" t="s">
        <v>5128</v>
      </c>
      <c r="AL1" s="30" t="s">
        <v>5129</v>
      </c>
      <c r="AM1" s="30" t="s">
        <v>5130</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A2" s="5" t="s">
        <v>982</v>
      </c>
      <c r="B2" s="5" t="s">
        <v>982</v>
      </c>
      <c r="C2" s="5" t="s">
        <v>983</v>
      </c>
      <c r="D2" s="5" t="n">
        <v>2023</v>
      </c>
      <c r="E2" s="5" t="s">
        <v>984</v>
      </c>
      <c r="F2" s="5" t="s">
        <v>987</v>
      </c>
      <c r="G2" s="5" t="s">
        <v>988</v>
      </c>
      <c r="H2" s="5" t="n">
        <v>35.27</v>
      </c>
      <c r="I2" s="5" t="n">
        <v>119.38</v>
      </c>
      <c r="J2" s="5" t="s">
        <v>921</v>
      </c>
      <c r="K2" s="5" t="s">
        <v>4859</v>
      </c>
      <c r="L2" s="5" t="s">
        <v>872</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5131</v>
      </c>
      <c r="BE2" s="5" t="s">
        <v>2063</v>
      </c>
      <c r="BF2" s="5" t="s">
        <v>4861</v>
      </c>
      <c r="BG2" s="5" t="s">
        <v>2065</v>
      </c>
      <c r="BH2" s="5" t="s">
        <v>4862</v>
      </c>
      <c r="BI2" s="23" t="s">
        <v>4863</v>
      </c>
      <c r="BJ2" s="5" t="s">
        <v>998</v>
      </c>
      <c r="BK2" s="5" t="s">
        <v>5132</v>
      </c>
      <c r="BM2" s="33" t="s">
        <v>1519</v>
      </c>
    </row>
    <row r="3" customFormat="false" ht="14.25" hidden="false" customHeight="false" outlineLevel="0" collapsed="false">
      <c r="A3" s="24" t="n">
        <v>175</v>
      </c>
      <c r="B3" s="24" t="n">
        <v>175</v>
      </c>
      <c r="C3" s="24" t="s">
        <v>1170</v>
      </c>
      <c r="D3" s="24" t="n">
        <v>2022</v>
      </c>
      <c r="E3" s="24" t="s">
        <v>1171</v>
      </c>
      <c r="F3" s="24" t="s">
        <v>1045</v>
      </c>
      <c r="G3" s="24" t="s">
        <v>1174</v>
      </c>
      <c r="H3" s="24" t="n">
        <v>24.4514</v>
      </c>
      <c r="I3" s="24" t="n">
        <v>90.2411</v>
      </c>
      <c r="J3" s="24" t="s">
        <v>83</v>
      </c>
      <c r="K3" s="24" t="s">
        <v>5011</v>
      </c>
      <c r="L3" s="24" t="s">
        <v>872</v>
      </c>
      <c r="M3" s="24" t="s">
        <v>85</v>
      </c>
      <c r="N3" s="24"/>
      <c r="O3" s="24"/>
      <c r="P3" s="24"/>
      <c r="Q3" s="24" t="n">
        <v>31</v>
      </c>
      <c r="R3" s="24"/>
      <c r="S3" s="24"/>
      <c r="T3" s="24" t="n">
        <v>39</v>
      </c>
      <c r="U3" s="24"/>
      <c r="V3" s="24"/>
      <c r="W3" s="24"/>
      <c r="X3" s="24"/>
      <c r="Y3" s="24"/>
      <c r="Z3" s="24"/>
      <c r="AA3" s="24"/>
      <c r="AB3" s="24"/>
      <c r="AC3" s="24" t="n">
        <v>145</v>
      </c>
      <c r="AD3" s="24"/>
      <c r="AE3" s="24"/>
      <c r="AF3" s="24" t="n">
        <v>199</v>
      </c>
      <c r="AG3" s="24"/>
      <c r="AH3" s="24"/>
      <c r="AI3" s="24"/>
      <c r="AJ3" s="24"/>
      <c r="AK3" s="24"/>
      <c r="AL3" s="24"/>
      <c r="AM3" s="24"/>
      <c r="AN3" s="24" t="n">
        <v>4</v>
      </c>
      <c r="AO3" s="24" t="n">
        <v>4</v>
      </c>
      <c r="AP3" s="24" t="n">
        <f aca="false">IF(AND(N(AN3)&gt;0,N(AO3)&gt;0),SQRT(2*AN3/AO3),"")</f>
        <v>1.4142135623731</v>
      </c>
      <c r="AQ3" s="24" t="n">
        <v>28</v>
      </c>
      <c r="AR3" s="24" t="n">
        <v>12</v>
      </c>
      <c r="AS3" s="24" t="n">
        <v>33</v>
      </c>
      <c r="AT3" s="24" t="n">
        <v>172</v>
      </c>
      <c r="AU3" s="24" t="n">
        <v>24.4514</v>
      </c>
      <c r="AV3" s="24" t="n">
        <v>2</v>
      </c>
      <c r="AW3" s="24"/>
      <c r="AX3" s="24"/>
      <c r="AY3" s="24" t="n">
        <v>6.81</v>
      </c>
      <c r="AZ3" s="24"/>
      <c r="BA3" s="24"/>
      <c r="BB3" s="24" t="n">
        <v>52</v>
      </c>
      <c r="BC3" s="24" t="n">
        <v>20</v>
      </c>
      <c r="BD3" s="24" t="s">
        <v>5131</v>
      </c>
      <c r="BE3" s="24" t="s">
        <v>5013</v>
      </c>
      <c r="BF3" s="24" t="s">
        <v>5014</v>
      </c>
      <c r="BG3" s="24" t="s">
        <v>5015</v>
      </c>
      <c r="BH3" s="24" t="s">
        <v>5016</v>
      </c>
      <c r="BI3" s="25" t="s">
        <v>5133</v>
      </c>
      <c r="BJ3" s="24" t="s">
        <v>1188</v>
      </c>
      <c r="BK3" s="24" t="s">
        <v>5018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5134</v>
      </c>
      <c r="Q1" s="27" t="s">
        <v>5135</v>
      </c>
      <c r="R1" s="27" t="s">
        <v>5136</v>
      </c>
      <c r="S1" s="27" t="s">
        <v>5137</v>
      </c>
      <c r="T1" s="27" t="s">
        <v>5138</v>
      </c>
      <c r="U1" s="27" t="s">
        <v>5139</v>
      </c>
      <c r="V1" s="27" t="s">
        <v>5140</v>
      </c>
      <c r="W1" s="27" t="s">
        <v>5141</v>
      </c>
      <c r="X1" s="30" t="s">
        <v>5142</v>
      </c>
      <c r="Y1" s="30" t="s">
        <v>5143</v>
      </c>
      <c r="Z1" s="30" t="s">
        <v>5144</v>
      </c>
      <c r="AA1" s="30" t="s">
        <v>5145</v>
      </c>
      <c r="AB1" s="27" t="s">
        <v>5146</v>
      </c>
      <c r="AC1" s="27" t="s">
        <v>5147</v>
      </c>
      <c r="AD1" s="27" t="s">
        <v>5148</v>
      </c>
      <c r="AE1" s="27" t="s">
        <v>5149</v>
      </c>
      <c r="AF1" s="27" t="s">
        <v>5150</v>
      </c>
      <c r="AG1" s="27" t="s">
        <v>5151</v>
      </c>
      <c r="AH1" s="27" t="s">
        <v>5152</v>
      </c>
      <c r="AI1" s="27" t="s">
        <v>5153</v>
      </c>
      <c r="AJ1" s="30" t="s">
        <v>5154</v>
      </c>
      <c r="AK1" s="30" t="s">
        <v>5155</v>
      </c>
      <c r="AL1" s="30" t="s">
        <v>5156</v>
      </c>
      <c r="AM1" s="30" t="s">
        <v>5157</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A2" s="5" t="s">
        <v>982</v>
      </c>
      <c r="B2" s="5" t="s">
        <v>982</v>
      </c>
      <c r="C2" s="5" t="s">
        <v>983</v>
      </c>
      <c r="D2" s="5" t="n">
        <v>2023</v>
      </c>
      <c r="E2" s="5" t="s">
        <v>984</v>
      </c>
      <c r="F2" s="5" t="s">
        <v>987</v>
      </c>
      <c r="G2" s="5" t="s">
        <v>988</v>
      </c>
      <c r="H2" s="5" t="n">
        <v>35.27</v>
      </c>
      <c r="I2" s="5" t="n">
        <v>119.38</v>
      </c>
      <c r="J2" s="5" t="s">
        <v>921</v>
      </c>
      <c r="K2" s="5" t="s">
        <v>4859</v>
      </c>
      <c r="L2" s="5" t="s">
        <v>872</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5158</v>
      </c>
      <c r="BE2" s="5" t="s">
        <v>2063</v>
      </c>
      <c r="BF2" s="5" t="s">
        <v>4861</v>
      </c>
      <c r="BG2" s="5" t="s">
        <v>2065</v>
      </c>
      <c r="BH2" s="5" t="s">
        <v>4862</v>
      </c>
      <c r="BI2" s="23" t="s">
        <v>4863</v>
      </c>
      <c r="BJ2" s="5" t="s">
        <v>998</v>
      </c>
      <c r="BK2" s="5" t="s">
        <v>5159</v>
      </c>
      <c r="BM2" s="33" t="s">
        <v>1521</v>
      </c>
    </row>
    <row r="3" customFormat="false" ht="14.25" hidden="false" customHeight="false" outlineLevel="0" collapsed="false">
      <c r="A3" s="24" t="n">
        <v>175</v>
      </c>
      <c r="B3" s="24" t="n">
        <v>175</v>
      </c>
      <c r="C3" s="24" t="s">
        <v>1170</v>
      </c>
      <c r="D3" s="24" t="n">
        <v>2022</v>
      </c>
      <c r="E3" s="24" t="s">
        <v>1171</v>
      </c>
      <c r="F3" s="24" t="s">
        <v>1045</v>
      </c>
      <c r="G3" s="24" t="s">
        <v>1174</v>
      </c>
      <c r="H3" s="24" t="n">
        <v>24.4514</v>
      </c>
      <c r="I3" s="24" t="n">
        <v>90.2411</v>
      </c>
      <c r="J3" s="24" t="s">
        <v>83</v>
      </c>
      <c r="K3" s="24" t="s">
        <v>5011</v>
      </c>
      <c r="L3" s="24" t="s">
        <v>872</v>
      </c>
      <c r="M3" s="24" t="s">
        <v>85</v>
      </c>
      <c r="N3" s="24"/>
      <c r="O3" s="24"/>
      <c r="P3" s="24"/>
      <c r="Q3" s="24" t="n">
        <v>44.87</v>
      </c>
      <c r="R3" s="24"/>
      <c r="S3" s="24"/>
      <c r="T3" s="24" t="n">
        <v>46.13</v>
      </c>
      <c r="U3" s="24"/>
      <c r="V3" s="24"/>
      <c r="W3" s="24"/>
      <c r="X3" s="24"/>
      <c r="Y3" s="24"/>
      <c r="Z3" s="24"/>
      <c r="AA3" s="24"/>
      <c r="AB3" s="24"/>
      <c r="AC3" s="24" t="n">
        <v>29.6</v>
      </c>
      <c r="AD3" s="24"/>
      <c r="AE3" s="24"/>
      <c r="AF3" s="24" t="n">
        <v>32.48</v>
      </c>
      <c r="AG3" s="24"/>
      <c r="AH3" s="24"/>
      <c r="AI3" s="24"/>
      <c r="AJ3" s="24"/>
      <c r="AK3" s="24"/>
      <c r="AL3" s="24"/>
      <c r="AM3" s="24"/>
      <c r="AN3" s="24" t="n">
        <v>4</v>
      </c>
      <c r="AO3" s="24" t="n">
        <v>4</v>
      </c>
      <c r="AP3" s="24" t="n">
        <f aca="false">IF(AND(N(AN3)&gt;0,N(AO3)&gt;0),SQRT(2*AN3/AO3),"")</f>
        <v>1.4142135623731</v>
      </c>
      <c r="AQ3" s="24" t="n">
        <v>28</v>
      </c>
      <c r="AR3" s="24" t="n">
        <v>12</v>
      </c>
      <c r="AS3" s="24" t="n">
        <v>33</v>
      </c>
      <c r="AT3" s="24" t="n">
        <v>172</v>
      </c>
      <c r="AU3" s="24" t="n">
        <v>24.4514</v>
      </c>
      <c r="AV3" s="24" t="n">
        <v>2</v>
      </c>
      <c r="AW3" s="24"/>
      <c r="AX3" s="24"/>
      <c r="AY3" s="24" t="n">
        <v>6.81</v>
      </c>
      <c r="AZ3" s="24"/>
      <c r="BA3" s="24"/>
      <c r="BB3" s="24" t="n">
        <v>52</v>
      </c>
      <c r="BC3" s="24" t="n">
        <v>20</v>
      </c>
      <c r="BD3" s="24" t="s">
        <v>5158</v>
      </c>
      <c r="BE3" s="24" t="s">
        <v>5013</v>
      </c>
      <c r="BF3" s="24" t="s">
        <v>5014</v>
      </c>
      <c r="BG3" s="24" t="s">
        <v>5015</v>
      </c>
      <c r="BH3" s="24" t="s">
        <v>5016</v>
      </c>
      <c r="BI3" s="25" t="s">
        <v>5160</v>
      </c>
      <c r="BJ3" s="24" t="s">
        <v>1188</v>
      </c>
      <c r="BK3" s="24" t="s">
        <v>5018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5161</v>
      </c>
      <c r="Q1" s="27" t="s">
        <v>5162</v>
      </c>
      <c r="R1" s="27" t="s">
        <v>5163</v>
      </c>
      <c r="S1" s="27" t="s">
        <v>5164</v>
      </c>
      <c r="T1" s="27" t="s">
        <v>5165</v>
      </c>
      <c r="U1" s="27" t="s">
        <v>5166</v>
      </c>
      <c r="V1" s="27" t="s">
        <v>5167</v>
      </c>
      <c r="W1" s="27" t="s">
        <v>5168</v>
      </c>
      <c r="X1" s="30" t="s">
        <v>5169</v>
      </c>
      <c r="Y1" s="30" t="s">
        <v>5170</v>
      </c>
      <c r="Z1" s="30" t="s">
        <v>5171</v>
      </c>
      <c r="AA1" s="30" t="s">
        <v>5172</v>
      </c>
      <c r="AB1" s="27" t="s">
        <v>5173</v>
      </c>
      <c r="AC1" s="27" t="s">
        <v>5174</v>
      </c>
      <c r="AD1" s="27" t="s">
        <v>5175</v>
      </c>
      <c r="AE1" s="27" t="s">
        <v>5176</v>
      </c>
      <c r="AF1" s="27" t="s">
        <v>5177</v>
      </c>
      <c r="AG1" s="27" t="s">
        <v>5178</v>
      </c>
      <c r="AH1" s="27" t="s">
        <v>5179</v>
      </c>
      <c r="AI1" s="27" t="s">
        <v>5180</v>
      </c>
      <c r="AJ1" s="30" t="s">
        <v>5181</v>
      </c>
      <c r="AK1" s="30" t="s">
        <v>5182</v>
      </c>
      <c r="AL1" s="30" t="s">
        <v>5183</v>
      </c>
      <c r="AM1" s="30" t="s">
        <v>5184</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1522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5185</v>
      </c>
      <c r="Q1" s="27" t="s">
        <v>5186</v>
      </c>
      <c r="R1" s="27" t="s">
        <v>5187</v>
      </c>
      <c r="S1" s="27" t="s">
        <v>5188</v>
      </c>
      <c r="T1" s="27" t="s">
        <v>5189</v>
      </c>
      <c r="U1" s="27" t="s">
        <v>5190</v>
      </c>
      <c r="V1" s="27" t="s">
        <v>5191</v>
      </c>
      <c r="W1" s="27" t="s">
        <v>5192</v>
      </c>
      <c r="X1" s="30" t="s">
        <v>5193</v>
      </c>
      <c r="Y1" s="30" t="s">
        <v>5194</v>
      </c>
      <c r="Z1" s="30" t="s">
        <v>5195</v>
      </c>
      <c r="AA1" s="30" t="s">
        <v>5196</v>
      </c>
      <c r="AB1" s="27" t="s">
        <v>5197</v>
      </c>
      <c r="AC1" s="27" t="s">
        <v>5198</v>
      </c>
      <c r="AD1" s="27" t="s">
        <v>5199</v>
      </c>
      <c r="AE1" s="27" t="s">
        <v>5200</v>
      </c>
      <c r="AF1" s="27" t="s">
        <v>5201</v>
      </c>
      <c r="AG1" s="27" t="s">
        <v>5202</v>
      </c>
      <c r="AH1" s="27" t="s">
        <v>5203</v>
      </c>
      <c r="AI1" s="27" t="s">
        <v>5204</v>
      </c>
      <c r="AJ1" s="30" t="s">
        <v>5205</v>
      </c>
      <c r="AK1" s="30" t="s">
        <v>5206</v>
      </c>
      <c r="AL1" s="30" t="s">
        <v>5207</v>
      </c>
      <c r="AM1" s="30" t="s">
        <v>5208</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1524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5209</v>
      </c>
      <c r="Q1" s="27" t="s">
        <v>5210</v>
      </c>
      <c r="R1" s="27" t="s">
        <v>5211</v>
      </c>
      <c r="S1" s="27" t="s">
        <v>5212</v>
      </c>
      <c r="T1" s="27" t="s">
        <v>5213</v>
      </c>
      <c r="U1" s="27" t="s">
        <v>5214</v>
      </c>
      <c r="V1" s="27" t="s">
        <v>5215</v>
      </c>
      <c r="W1" s="27" t="s">
        <v>5216</v>
      </c>
      <c r="X1" s="30" t="s">
        <v>5217</v>
      </c>
      <c r="Y1" s="30" t="s">
        <v>5218</v>
      </c>
      <c r="Z1" s="30" t="s">
        <v>5219</v>
      </c>
      <c r="AA1" s="30" t="s">
        <v>5220</v>
      </c>
      <c r="AB1" s="27" t="s">
        <v>5221</v>
      </c>
      <c r="AC1" s="27" t="s">
        <v>5222</v>
      </c>
      <c r="AD1" s="27" t="s">
        <v>5223</v>
      </c>
      <c r="AE1" s="27" t="s">
        <v>5224</v>
      </c>
      <c r="AF1" s="27" t="s">
        <v>5225</v>
      </c>
      <c r="AG1" s="27" t="s">
        <v>5226</v>
      </c>
      <c r="AH1" s="27" t="s">
        <v>5227</v>
      </c>
      <c r="AI1" s="27" t="s">
        <v>5228</v>
      </c>
      <c r="AJ1" s="30" t="s">
        <v>5229</v>
      </c>
      <c r="AK1" s="30" t="s">
        <v>5230</v>
      </c>
      <c r="AL1" s="30" t="s">
        <v>5231</v>
      </c>
      <c r="AM1" s="30" t="s">
        <v>5232</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A2" s="24" t="n">
        <v>175</v>
      </c>
      <c r="B2" s="24" t="n">
        <v>175</v>
      </c>
      <c r="C2" s="24" t="s">
        <v>1170</v>
      </c>
      <c r="D2" s="24" t="n">
        <v>2022</v>
      </c>
      <c r="E2" s="24" t="s">
        <v>1171</v>
      </c>
      <c r="F2" s="24" t="s">
        <v>1045</v>
      </c>
      <c r="G2" s="24" t="s">
        <v>1174</v>
      </c>
      <c r="H2" s="24" t="n">
        <v>24.4514</v>
      </c>
      <c r="I2" s="24" t="n">
        <v>90.2411</v>
      </c>
      <c r="J2" s="24" t="s">
        <v>83</v>
      </c>
      <c r="K2" s="24" t="s">
        <v>5011</v>
      </c>
      <c r="L2" s="24" t="s">
        <v>872</v>
      </c>
      <c r="M2" s="24" t="s">
        <v>85</v>
      </c>
      <c r="N2" s="24"/>
      <c r="O2" s="24"/>
      <c r="P2" s="24"/>
      <c r="Q2" s="24" t="n">
        <v>146</v>
      </c>
      <c r="R2" s="24"/>
      <c r="S2" s="24"/>
      <c r="T2" s="24" t="n">
        <v>139</v>
      </c>
      <c r="U2" s="24"/>
      <c r="V2" s="24"/>
      <c r="W2" s="24"/>
      <c r="X2" s="24"/>
      <c r="Y2" s="24"/>
      <c r="Z2" s="24"/>
      <c r="AA2" s="24"/>
      <c r="AB2" s="24"/>
      <c r="AC2" s="24" t="n">
        <v>153</v>
      </c>
      <c r="AD2" s="24"/>
      <c r="AE2" s="24"/>
      <c r="AF2" s="24" t="n">
        <v>142</v>
      </c>
      <c r="AG2" s="24"/>
      <c r="AH2" s="24"/>
      <c r="AI2" s="24"/>
      <c r="AJ2" s="24"/>
      <c r="AK2" s="24"/>
      <c r="AL2" s="24"/>
      <c r="AM2" s="24"/>
      <c r="AN2" s="24" t="n">
        <v>2</v>
      </c>
      <c r="AO2" s="24" t="n">
        <v>4</v>
      </c>
      <c r="AP2" s="24" t="n">
        <f aca="false">IF(AND(N(AN2)&gt;0,N(AO2)&gt;0),SQRT(2*AN2/AO2),"")</f>
        <v>1</v>
      </c>
      <c r="AQ2" s="24" t="n">
        <v>28</v>
      </c>
      <c r="AR2" s="24" t="n">
        <v>12</v>
      </c>
      <c r="AS2" s="24" t="n">
        <v>33</v>
      </c>
      <c r="AT2" s="24" t="n">
        <v>172</v>
      </c>
      <c r="AU2" s="24" t="n">
        <v>24.4514</v>
      </c>
      <c r="AV2" s="24" t="n">
        <v>2</v>
      </c>
      <c r="AW2" s="24"/>
      <c r="AX2" s="24"/>
      <c r="AY2" s="24" t="n">
        <v>6.81</v>
      </c>
      <c r="AZ2" s="24"/>
      <c r="BA2" s="24"/>
      <c r="BB2" s="24" t="n">
        <v>52</v>
      </c>
      <c r="BC2" s="24" t="n">
        <v>20</v>
      </c>
      <c r="BD2" s="24" t="s">
        <v>5233</v>
      </c>
      <c r="BE2" s="24" t="s">
        <v>5013</v>
      </c>
      <c r="BF2" s="24" t="s">
        <v>5020</v>
      </c>
      <c r="BG2" s="24" t="s">
        <v>5015</v>
      </c>
      <c r="BH2" s="24" t="s">
        <v>2047</v>
      </c>
      <c r="BI2" s="25" t="s">
        <v>5234</v>
      </c>
      <c r="BJ2" s="24" t="s">
        <v>1188</v>
      </c>
      <c r="BK2" s="24" t="s">
        <v>5235</v>
      </c>
      <c r="BM2" s="33" t="s">
        <v>1526</v>
      </c>
    </row>
    <row r="3" customFormat="false" ht="14.25" hidden="false" customHeight="false" outlineLevel="0" collapsed="false">
      <c r="A3" s="24" t="n">
        <v>175</v>
      </c>
      <c r="B3" s="24" t="n">
        <v>175</v>
      </c>
      <c r="C3" s="24" t="s">
        <v>1170</v>
      </c>
      <c r="D3" s="24" t="n">
        <v>2022</v>
      </c>
      <c r="E3" s="24" t="s">
        <v>1171</v>
      </c>
      <c r="F3" s="24" t="s">
        <v>1045</v>
      </c>
      <c r="G3" s="24" t="s">
        <v>1174</v>
      </c>
      <c r="H3" s="24" t="n">
        <v>24.4514</v>
      </c>
      <c r="I3" s="24" t="n">
        <v>90.2411</v>
      </c>
      <c r="J3" s="24" t="s">
        <v>83</v>
      </c>
      <c r="K3" s="24" t="s">
        <v>5011</v>
      </c>
      <c r="L3" s="24" t="s">
        <v>872</v>
      </c>
      <c r="M3" s="24" t="s">
        <v>85</v>
      </c>
      <c r="N3" s="24"/>
      <c r="O3" s="24"/>
      <c r="P3" s="24"/>
      <c r="Q3" s="24" t="n">
        <v>150</v>
      </c>
      <c r="R3" s="24"/>
      <c r="S3" s="24"/>
      <c r="T3" s="24" t="n">
        <v>139</v>
      </c>
      <c r="U3" s="24"/>
      <c r="V3" s="24"/>
      <c r="W3" s="24"/>
      <c r="X3" s="24"/>
      <c r="Y3" s="24"/>
      <c r="Z3" s="24"/>
      <c r="AA3" s="24"/>
      <c r="AB3" s="24"/>
      <c r="AC3" s="24" t="n">
        <v>153</v>
      </c>
      <c r="AD3" s="24"/>
      <c r="AE3" s="24"/>
      <c r="AF3" s="24" t="n">
        <v>142</v>
      </c>
      <c r="AG3" s="24"/>
      <c r="AH3" s="24"/>
      <c r="AI3" s="24"/>
      <c r="AJ3" s="24"/>
      <c r="AK3" s="24"/>
      <c r="AL3" s="24"/>
      <c r="AM3" s="24"/>
      <c r="AN3" s="24" t="n">
        <v>2</v>
      </c>
      <c r="AO3" s="24" t="n">
        <v>4</v>
      </c>
      <c r="AP3" s="24" t="n">
        <f aca="false">IF(AND(N(AN3)&gt;0,N(AO3)&gt;0),SQRT(2*AN3/AO3),"")</f>
        <v>1</v>
      </c>
      <c r="AQ3" s="24" t="n">
        <v>28</v>
      </c>
      <c r="AR3" s="24" t="n">
        <v>12</v>
      </c>
      <c r="AS3" s="24" t="n">
        <v>33</v>
      </c>
      <c r="AT3" s="24" t="n">
        <v>172</v>
      </c>
      <c r="AU3" s="24" t="n">
        <v>24.4514</v>
      </c>
      <c r="AV3" s="24" t="n">
        <v>2</v>
      </c>
      <c r="AW3" s="24"/>
      <c r="AX3" s="24"/>
      <c r="AY3" s="24" t="n">
        <v>6.81</v>
      </c>
      <c r="AZ3" s="24"/>
      <c r="BA3" s="24"/>
      <c r="BB3" s="24" t="n">
        <v>52</v>
      </c>
      <c r="BC3" s="24" t="n">
        <v>20</v>
      </c>
      <c r="BD3" s="24" t="s">
        <v>5233</v>
      </c>
      <c r="BE3" s="24" t="s">
        <v>5013</v>
      </c>
      <c r="BF3" s="24" t="s">
        <v>5236</v>
      </c>
      <c r="BG3" s="24" t="s">
        <v>5015</v>
      </c>
      <c r="BH3" s="24" t="s">
        <v>2047</v>
      </c>
      <c r="BI3" s="25" t="s">
        <v>5237</v>
      </c>
      <c r="BJ3" s="24" t="s">
        <v>1188</v>
      </c>
      <c r="BK3" s="24" t="s">
        <v>5235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5238</v>
      </c>
      <c r="Q1" s="27" t="s">
        <v>5239</v>
      </c>
      <c r="R1" s="27" t="s">
        <v>5240</v>
      </c>
      <c r="S1" s="27" t="s">
        <v>5241</v>
      </c>
      <c r="T1" s="27" t="s">
        <v>5242</v>
      </c>
      <c r="U1" s="27" t="s">
        <v>5243</v>
      </c>
      <c r="V1" s="27" t="s">
        <v>5244</v>
      </c>
      <c r="W1" s="27" t="s">
        <v>5245</v>
      </c>
      <c r="X1" s="30" t="s">
        <v>5246</v>
      </c>
      <c r="Y1" s="30" t="s">
        <v>5247</v>
      </c>
      <c r="Z1" s="30" t="s">
        <v>5248</v>
      </c>
      <c r="AA1" s="30" t="s">
        <v>5249</v>
      </c>
      <c r="AB1" s="27" t="s">
        <v>5250</v>
      </c>
      <c r="AC1" s="27" t="s">
        <v>5251</v>
      </c>
      <c r="AD1" s="27" t="s">
        <v>5252</v>
      </c>
      <c r="AE1" s="27" t="s">
        <v>5253</v>
      </c>
      <c r="AF1" s="27" t="s">
        <v>5254</v>
      </c>
      <c r="AG1" s="27" t="s">
        <v>5255</v>
      </c>
      <c r="AH1" s="27" t="s">
        <v>5256</v>
      </c>
      <c r="AI1" s="27" t="s">
        <v>5257</v>
      </c>
      <c r="AJ1" s="30" t="s">
        <v>5258</v>
      </c>
      <c r="AK1" s="30" t="s">
        <v>5259</v>
      </c>
      <c r="AL1" s="30" t="s">
        <v>5260</v>
      </c>
      <c r="AM1" s="30" t="s">
        <v>5261</v>
      </c>
      <c r="AN1" s="28" t="s">
        <v>35</v>
      </c>
      <c r="AO1" s="28" t="s">
        <v>33</v>
      </c>
      <c r="AP1" s="28" t="s">
        <v>37</v>
      </c>
      <c r="AQ1" s="21" t="s">
        <v>73</v>
      </c>
      <c r="AR1" s="21" t="s">
        <v>826</v>
      </c>
      <c r="AS1" s="21" t="s">
        <v>827</v>
      </c>
      <c r="AT1" s="21" t="s">
        <v>74</v>
      </c>
      <c r="AU1" s="21" t="s">
        <v>2036</v>
      </c>
      <c r="AV1" s="21" t="s">
        <v>2037</v>
      </c>
      <c r="AW1" s="21" t="s">
        <v>828</v>
      </c>
      <c r="AX1" s="21" t="s">
        <v>829</v>
      </c>
      <c r="AY1" s="21" t="s">
        <v>75</v>
      </c>
      <c r="AZ1" s="21" t="s">
        <v>824</v>
      </c>
      <c r="BA1" s="21" t="s">
        <v>825</v>
      </c>
      <c r="BB1" s="21" t="s">
        <v>822</v>
      </c>
      <c r="BC1" s="21" t="s">
        <v>823</v>
      </c>
      <c r="BD1" s="22" t="s">
        <v>76</v>
      </c>
      <c r="BE1" s="22" t="s">
        <v>77</v>
      </c>
      <c r="BF1" s="22" t="s">
        <v>2038</v>
      </c>
      <c r="BG1" s="22" t="s">
        <v>2039</v>
      </c>
      <c r="BH1" s="22" t="s">
        <v>78</v>
      </c>
      <c r="BI1" s="22" t="s">
        <v>841</v>
      </c>
      <c r="BJ1" s="22" t="s">
        <v>2040</v>
      </c>
      <c r="BK1" s="22" t="s">
        <v>2041</v>
      </c>
      <c r="BM1" s="31" t="s">
        <v>2042</v>
      </c>
    </row>
    <row r="2" customFormat="false" ht="15" hidden="false" customHeight="true" outlineLevel="0" collapsed="false">
      <c r="BM2" s="33" t="s">
        <v>1529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5262</v>
      </c>
      <c r="O1" s="27" t="s">
        <v>5263</v>
      </c>
      <c r="P1" s="27" t="s">
        <v>5264</v>
      </c>
      <c r="Q1" s="27" t="s">
        <v>5265</v>
      </c>
      <c r="R1" s="27" t="s">
        <v>5266</v>
      </c>
      <c r="S1" s="27" t="s">
        <v>5267</v>
      </c>
      <c r="T1" s="27" t="s">
        <v>5268</v>
      </c>
      <c r="U1" s="27" t="s">
        <v>5269</v>
      </c>
      <c r="V1" s="30" t="s">
        <v>5270</v>
      </c>
      <c r="W1" s="30" t="s">
        <v>5271</v>
      </c>
      <c r="X1" s="30" t="s">
        <v>5272</v>
      </c>
      <c r="Y1" s="30" t="s">
        <v>5273</v>
      </c>
      <c r="Z1" s="27" t="s">
        <v>5274</v>
      </c>
      <c r="AA1" s="27" t="s">
        <v>5275</v>
      </c>
      <c r="AB1" s="27" t="s">
        <v>5276</v>
      </c>
      <c r="AC1" s="27" t="s">
        <v>5277</v>
      </c>
      <c r="AD1" s="27" t="s">
        <v>5278</v>
      </c>
      <c r="AE1" s="27" t="s">
        <v>5279</v>
      </c>
      <c r="AF1" s="27" t="s">
        <v>5280</v>
      </c>
      <c r="AG1" s="27" t="s">
        <v>5281</v>
      </c>
      <c r="AH1" s="30" t="s">
        <v>5282</v>
      </c>
      <c r="AI1" s="30" t="s">
        <v>5283</v>
      </c>
      <c r="AJ1" s="30" t="s">
        <v>5284</v>
      </c>
      <c r="AK1" s="30" t="s">
        <v>5285</v>
      </c>
      <c r="AL1" s="27" t="s">
        <v>5072</v>
      </c>
      <c r="AM1" s="28" t="s">
        <v>35</v>
      </c>
      <c r="AN1" s="28" t="s">
        <v>33</v>
      </c>
      <c r="AO1" s="28" t="s">
        <v>37</v>
      </c>
      <c r="AP1" s="21" t="s">
        <v>73</v>
      </c>
      <c r="AQ1" s="21" t="s">
        <v>826</v>
      </c>
      <c r="AR1" s="21" t="s">
        <v>827</v>
      </c>
      <c r="AS1" s="21" t="s">
        <v>74</v>
      </c>
      <c r="AT1" s="21" t="s">
        <v>2036</v>
      </c>
      <c r="AU1" s="21" t="s">
        <v>2037</v>
      </c>
      <c r="AV1" s="21" t="s">
        <v>828</v>
      </c>
      <c r="AW1" s="21" t="s">
        <v>829</v>
      </c>
      <c r="AX1" s="21" t="s">
        <v>75</v>
      </c>
      <c r="AY1" s="21" t="s">
        <v>824</v>
      </c>
      <c r="AZ1" s="21" t="s">
        <v>825</v>
      </c>
      <c r="BA1" s="21" t="s">
        <v>822</v>
      </c>
      <c r="BB1" s="21" t="s">
        <v>823</v>
      </c>
      <c r="BC1" s="22" t="s">
        <v>76</v>
      </c>
      <c r="BD1" s="22" t="s">
        <v>77</v>
      </c>
      <c r="BE1" s="22" t="s">
        <v>2038</v>
      </c>
      <c r="BF1" s="22" t="s">
        <v>2039</v>
      </c>
      <c r="BG1" s="22" t="s">
        <v>78</v>
      </c>
      <c r="BH1" s="22" t="s">
        <v>841</v>
      </c>
      <c r="BI1" s="22" t="s">
        <v>2040</v>
      </c>
      <c r="BJ1" s="22" t="s">
        <v>2041</v>
      </c>
      <c r="BL1" s="31" t="s">
        <v>2042</v>
      </c>
    </row>
    <row r="2" customFormat="false" ht="15" hidden="false" customHeight="true" outlineLevel="0" collapsed="false">
      <c r="A2" s="5" t="n">
        <v>172</v>
      </c>
      <c r="B2" s="5" t="n">
        <v>172</v>
      </c>
      <c r="C2" s="5" t="s">
        <v>1100</v>
      </c>
      <c r="D2" s="5" t="n">
        <v>2005</v>
      </c>
      <c r="E2" s="5" t="s">
        <v>1101</v>
      </c>
      <c r="F2" s="5" t="s">
        <v>3054</v>
      </c>
      <c r="G2" s="5" t="s">
        <v>1105</v>
      </c>
      <c r="H2" s="5" t="n">
        <v>33.2</v>
      </c>
      <c r="I2" s="5" t="n">
        <v>130.5</v>
      </c>
      <c r="J2" s="5" t="s">
        <v>921</v>
      </c>
      <c r="K2" s="5" t="s">
        <v>5286</v>
      </c>
      <c r="L2" s="5" t="s">
        <v>853</v>
      </c>
      <c r="M2" s="5" t="s">
        <v>85</v>
      </c>
      <c r="N2" s="5"/>
      <c r="O2" s="5" t="n">
        <v>100</v>
      </c>
      <c r="P2" s="5"/>
      <c r="Q2" s="5"/>
      <c r="R2" s="5"/>
      <c r="S2" s="5"/>
      <c r="T2" s="5" t="n">
        <v>118</v>
      </c>
      <c r="U2" s="5"/>
      <c r="V2" s="5"/>
      <c r="W2" s="5"/>
      <c r="X2" s="5"/>
      <c r="Y2" s="5"/>
      <c r="Z2" s="5"/>
      <c r="AA2" s="5"/>
      <c r="AB2" s="5"/>
      <c r="AC2" s="5"/>
      <c r="AD2" s="5"/>
      <c r="AE2" s="5"/>
      <c r="AF2" s="5"/>
      <c r="AG2" s="5"/>
      <c r="AH2" s="5"/>
      <c r="AI2" s="5"/>
      <c r="AJ2" s="5"/>
      <c r="AK2" s="5"/>
      <c r="AL2" s="5"/>
      <c r="AM2" s="5" t="n">
        <v>3</v>
      </c>
      <c r="AN2" s="5" t="n">
        <v>3</v>
      </c>
      <c r="AO2" s="5" t="n">
        <f aca="false">IF(AND(N(AM2)&gt;0,N(AN2)&gt;0),SQRT(2*AM2/AN2),"")</f>
        <v>1.4142135623731</v>
      </c>
      <c r="AP2" s="5" t="n">
        <v>29</v>
      </c>
      <c r="AQ2" s="5"/>
      <c r="AR2" s="5"/>
      <c r="AS2" s="5"/>
      <c r="AT2" s="5" t="n">
        <v>33.2</v>
      </c>
      <c r="AU2" s="5" t="s">
        <v>5287</v>
      </c>
      <c r="AV2" s="5"/>
      <c r="AW2" s="5"/>
      <c r="AX2" s="5"/>
      <c r="AY2" s="5"/>
      <c r="AZ2" s="5"/>
      <c r="BA2" s="5" t="n">
        <v>16</v>
      </c>
      <c r="BB2" s="5" t="n">
        <v>56</v>
      </c>
      <c r="BC2" s="5" t="s">
        <v>5288</v>
      </c>
      <c r="BD2" s="5" t="s">
        <v>3057</v>
      </c>
      <c r="BE2" s="5" t="s">
        <v>5289</v>
      </c>
      <c r="BF2" s="5" t="s">
        <v>3059</v>
      </c>
      <c r="BG2" s="5" t="s">
        <v>5290</v>
      </c>
      <c r="BH2" s="23" t="s">
        <v>5291</v>
      </c>
      <c r="BI2" s="5" t="s">
        <v>1112</v>
      </c>
      <c r="BJ2" s="5" t="s">
        <v>5292</v>
      </c>
      <c r="BL2" s="33" t="s">
        <v>1531</v>
      </c>
    </row>
    <row r="3" customFormat="false" ht="15" hidden="false" customHeight="true" outlineLevel="0" collapsed="false">
      <c r="A3" s="5" t="n">
        <v>172</v>
      </c>
      <c r="B3" s="5" t="n">
        <v>172</v>
      </c>
      <c r="C3" s="5" t="s">
        <v>1100</v>
      </c>
      <c r="D3" s="5" t="n">
        <v>2005</v>
      </c>
      <c r="E3" s="5" t="s">
        <v>1101</v>
      </c>
      <c r="F3" s="5" t="s">
        <v>3054</v>
      </c>
      <c r="G3" s="5" t="s">
        <v>1105</v>
      </c>
      <c r="H3" s="5" t="n">
        <v>33.2</v>
      </c>
      <c r="I3" s="5" t="n">
        <v>130.5</v>
      </c>
      <c r="J3" s="5" t="s">
        <v>921</v>
      </c>
      <c r="K3" s="5" t="s">
        <v>5286</v>
      </c>
      <c r="L3" s="5" t="s">
        <v>853</v>
      </c>
      <c r="M3" s="5" t="s">
        <v>85</v>
      </c>
      <c r="N3" s="5"/>
      <c r="O3" s="5" t="n">
        <v>100</v>
      </c>
      <c r="P3" s="5"/>
      <c r="Q3" s="5"/>
      <c r="R3" s="5"/>
      <c r="S3" s="5"/>
      <c r="T3" s="5" t="n">
        <v>113</v>
      </c>
      <c r="U3" s="5"/>
      <c r="V3" s="5"/>
      <c r="W3" s="5"/>
      <c r="X3" s="5"/>
      <c r="Y3" s="5"/>
      <c r="Z3" s="5"/>
      <c r="AA3" s="5"/>
      <c r="AB3" s="5"/>
      <c r="AC3" s="5"/>
      <c r="AD3" s="5"/>
      <c r="AE3" s="5"/>
      <c r="AF3" s="5"/>
      <c r="AG3" s="5"/>
      <c r="AH3" s="5"/>
      <c r="AI3" s="5"/>
      <c r="AJ3" s="5"/>
      <c r="AK3" s="5"/>
      <c r="AL3" s="5"/>
      <c r="AM3" s="5" t="n">
        <v>3</v>
      </c>
      <c r="AN3" s="5" t="n">
        <v>3</v>
      </c>
      <c r="AO3" s="5" t="n">
        <f aca="false">IF(AND(N(AM3)&gt;0,N(AN3)&gt;0),SQRT(2*AM3/AN3),"")</f>
        <v>1.4142135623731</v>
      </c>
      <c r="AP3" s="5" t="n">
        <v>29</v>
      </c>
      <c r="AQ3" s="5"/>
      <c r="AR3" s="5"/>
      <c r="AS3" s="5"/>
      <c r="AT3" s="5" t="n">
        <v>33.2</v>
      </c>
      <c r="AU3" s="5" t="s">
        <v>5287</v>
      </c>
      <c r="AV3" s="5"/>
      <c r="AW3" s="5"/>
      <c r="AX3" s="5"/>
      <c r="AY3" s="5"/>
      <c r="AZ3" s="5"/>
      <c r="BA3" s="5" t="n">
        <v>16</v>
      </c>
      <c r="BB3" s="5" t="n">
        <v>56</v>
      </c>
      <c r="BC3" s="5" t="s">
        <v>5288</v>
      </c>
      <c r="BD3" s="5" t="s">
        <v>3057</v>
      </c>
      <c r="BE3" s="5" t="s">
        <v>5289</v>
      </c>
      <c r="BF3" s="5" t="s">
        <v>3059</v>
      </c>
      <c r="BG3" s="5" t="s">
        <v>5290</v>
      </c>
      <c r="BH3" s="23" t="s">
        <v>5293</v>
      </c>
      <c r="BI3" s="5" t="s">
        <v>1112</v>
      </c>
      <c r="BJ3" s="5" t="s">
        <v>5292</v>
      </c>
    </row>
    <row r="4" customFormat="false" ht="15" hidden="false" customHeight="true" outlineLevel="0" collapsed="false">
      <c r="A4" s="5" t="n">
        <v>172</v>
      </c>
      <c r="B4" s="5" t="n">
        <v>172</v>
      </c>
      <c r="C4" s="5" t="s">
        <v>1100</v>
      </c>
      <c r="D4" s="5" t="n">
        <v>2005</v>
      </c>
      <c r="E4" s="5" t="s">
        <v>1101</v>
      </c>
      <c r="F4" s="5" t="s">
        <v>3054</v>
      </c>
      <c r="G4" s="5" t="s">
        <v>1105</v>
      </c>
      <c r="H4" s="5" t="n">
        <v>33.2</v>
      </c>
      <c r="I4" s="5" t="n">
        <v>130.5</v>
      </c>
      <c r="J4" s="5" t="s">
        <v>921</v>
      </c>
      <c r="K4" s="5" t="s">
        <v>5286</v>
      </c>
      <c r="L4" s="5" t="s">
        <v>853</v>
      </c>
      <c r="M4" s="5" t="s">
        <v>85</v>
      </c>
      <c r="N4" s="5"/>
      <c r="O4" s="5" t="n">
        <v>100</v>
      </c>
      <c r="P4" s="5"/>
      <c r="Q4" s="5"/>
      <c r="R4" s="5"/>
      <c r="S4" s="5"/>
      <c r="T4" s="5" t="n">
        <v>120</v>
      </c>
      <c r="U4" s="5"/>
      <c r="V4" s="5"/>
      <c r="W4" s="5"/>
      <c r="X4" s="5"/>
      <c r="Y4" s="5"/>
      <c r="Z4" s="5"/>
      <c r="AA4" s="5"/>
      <c r="AB4" s="5"/>
      <c r="AC4" s="5"/>
      <c r="AD4" s="5"/>
      <c r="AE4" s="5"/>
      <c r="AF4" s="5"/>
      <c r="AG4" s="5"/>
      <c r="AH4" s="5"/>
      <c r="AI4" s="5"/>
      <c r="AJ4" s="5"/>
      <c r="AK4" s="5"/>
      <c r="AL4" s="5"/>
      <c r="AM4" s="5" t="n">
        <v>3</v>
      </c>
      <c r="AN4" s="5" t="n">
        <v>3</v>
      </c>
      <c r="AO4" s="5" t="n">
        <f aca="false">IF(AND(N(AM4)&gt;0,N(AN4)&gt;0),SQRT(2*AM4/AN4),"")</f>
        <v>1.4142135623731</v>
      </c>
      <c r="AP4" s="5" t="n">
        <v>29</v>
      </c>
      <c r="AQ4" s="5"/>
      <c r="AR4" s="5"/>
      <c r="AS4" s="5"/>
      <c r="AT4" s="5" t="n">
        <v>33.2</v>
      </c>
      <c r="AU4" s="5" t="s">
        <v>5287</v>
      </c>
      <c r="AV4" s="5"/>
      <c r="AW4" s="5"/>
      <c r="AX4" s="5"/>
      <c r="AY4" s="5"/>
      <c r="AZ4" s="5"/>
      <c r="BA4" s="5" t="n">
        <v>16</v>
      </c>
      <c r="BB4" s="5" t="n">
        <v>56</v>
      </c>
      <c r="BC4" s="5" t="s">
        <v>5288</v>
      </c>
      <c r="BD4" s="5" t="s">
        <v>3057</v>
      </c>
      <c r="BE4" s="5" t="s">
        <v>5289</v>
      </c>
      <c r="BF4" s="5" t="s">
        <v>3059</v>
      </c>
      <c r="BG4" s="5" t="s">
        <v>5290</v>
      </c>
      <c r="BH4" s="23" t="s">
        <v>5294</v>
      </c>
      <c r="BI4" s="5" t="s">
        <v>1112</v>
      </c>
      <c r="BJ4" s="5" t="s">
        <v>5292</v>
      </c>
    </row>
    <row r="5" customFormat="false" ht="15" hidden="false" customHeight="true" outlineLevel="0" collapsed="false">
      <c r="A5" s="24" t="s">
        <v>1214</v>
      </c>
      <c r="B5" s="24" t="s">
        <v>1214</v>
      </c>
      <c r="C5" s="24" t="s">
        <v>1215</v>
      </c>
      <c r="D5" s="24" t="n">
        <v>2015</v>
      </c>
      <c r="E5" s="24" t="s">
        <v>1216</v>
      </c>
      <c r="F5" s="24" t="s">
        <v>1195</v>
      </c>
      <c r="G5" s="24" t="s">
        <v>1196</v>
      </c>
      <c r="H5" s="24" t="n">
        <v>41.55</v>
      </c>
      <c r="I5" s="24" t="n">
        <v>60.63</v>
      </c>
      <c r="J5" s="24" t="s">
        <v>921</v>
      </c>
      <c r="K5" s="24" t="s">
        <v>3967</v>
      </c>
      <c r="L5" s="24" t="s">
        <v>872</v>
      </c>
      <c r="M5" s="24" t="s">
        <v>85</v>
      </c>
      <c r="N5" s="24" t="n">
        <v>137</v>
      </c>
      <c r="O5" s="24"/>
      <c r="P5" s="24" t="n">
        <v>130</v>
      </c>
      <c r="Q5" s="24"/>
      <c r="R5" s="24"/>
      <c r="S5" s="24"/>
      <c r="T5" s="24"/>
      <c r="U5" s="24"/>
      <c r="V5" s="24"/>
      <c r="W5" s="24"/>
      <c r="X5" s="24"/>
      <c r="Y5" s="24"/>
      <c r="Z5" s="24"/>
      <c r="AA5" s="24"/>
      <c r="AB5" s="24"/>
      <c r="AC5" s="24"/>
      <c r="AD5" s="24"/>
      <c r="AE5" s="24"/>
      <c r="AF5" s="24"/>
      <c r="AG5" s="24"/>
      <c r="AH5" s="24"/>
      <c r="AI5" s="24"/>
      <c r="AJ5" s="24"/>
      <c r="AK5" s="24"/>
      <c r="AL5" s="24" t="n">
        <v>250</v>
      </c>
      <c r="AM5" s="24" t="n">
        <v>43</v>
      </c>
      <c r="AN5" s="24" t="n">
        <v>4</v>
      </c>
      <c r="AO5" s="24" t="n">
        <f aca="false">IF(AND(N(AM5)&gt;0,N(AN5)&gt;0),SQRT(2*AM5/AN5),"")</f>
        <v>4.63680924774785</v>
      </c>
      <c r="AP5" s="24" t="n">
        <v>19</v>
      </c>
      <c r="AQ5" s="24" t="n">
        <v>-7</v>
      </c>
      <c r="AR5" s="24" t="n">
        <v>40</v>
      </c>
      <c r="AS5" s="24" t="n">
        <v>100</v>
      </c>
      <c r="AT5" s="24" t="n">
        <v>41.55</v>
      </c>
      <c r="AU5" s="24" t="n">
        <v>39</v>
      </c>
      <c r="AV5" s="24" t="n">
        <v>13.4</v>
      </c>
      <c r="AW5" s="24"/>
      <c r="AX5" s="24"/>
      <c r="AY5" s="24" t="n">
        <v>3.6</v>
      </c>
      <c r="AZ5" s="24" t="n">
        <v>1.35</v>
      </c>
      <c r="BA5" s="24" t="n">
        <v>23</v>
      </c>
      <c r="BB5" s="24" t="n">
        <v>58</v>
      </c>
      <c r="BC5" s="24" t="s">
        <v>5295</v>
      </c>
      <c r="BD5" s="24" t="s">
        <v>3590</v>
      </c>
      <c r="BE5" s="24" t="s">
        <v>5296</v>
      </c>
      <c r="BF5" s="24" t="s">
        <v>3592</v>
      </c>
      <c r="BG5" s="24" t="s">
        <v>3971</v>
      </c>
      <c r="BH5" s="25" t="s">
        <v>5297</v>
      </c>
      <c r="BI5" s="24" t="s">
        <v>1211</v>
      </c>
      <c r="BJ5" s="24" t="s">
        <v>3973</v>
      </c>
    </row>
    <row r="6" customFormat="false" ht="15" hidden="false" customHeight="true" outlineLevel="0" collapsed="false">
      <c r="A6" s="24" t="s">
        <v>1214</v>
      </c>
      <c r="B6" s="24" t="s">
        <v>1214</v>
      </c>
      <c r="C6" s="24" t="s">
        <v>1215</v>
      </c>
      <c r="D6" s="24" t="n">
        <v>2015</v>
      </c>
      <c r="E6" s="24" t="s">
        <v>1216</v>
      </c>
      <c r="F6" s="24" t="s">
        <v>1195</v>
      </c>
      <c r="G6" s="24" t="s">
        <v>1196</v>
      </c>
      <c r="H6" s="24" t="n">
        <v>41.55</v>
      </c>
      <c r="I6" s="24" t="n">
        <v>60.63</v>
      </c>
      <c r="J6" s="24" t="s">
        <v>921</v>
      </c>
      <c r="K6" s="24" t="s">
        <v>3967</v>
      </c>
      <c r="L6" s="24" t="s">
        <v>872</v>
      </c>
      <c r="M6" s="24" t="s">
        <v>85</v>
      </c>
      <c r="N6" s="24" t="n">
        <v>199</v>
      </c>
      <c r="O6" s="24"/>
      <c r="P6" s="24" t="n">
        <v>186</v>
      </c>
      <c r="Q6" s="24"/>
      <c r="R6" s="24"/>
      <c r="S6" s="24"/>
      <c r="T6" s="24"/>
      <c r="U6" s="24"/>
      <c r="V6" s="24"/>
      <c r="W6" s="24"/>
      <c r="X6" s="24"/>
      <c r="Y6" s="24"/>
      <c r="Z6" s="24"/>
      <c r="AA6" s="24"/>
      <c r="AB6" s="24"/>
      <c r="AC6" s="24"/>
      <c r="AD6" s="24"/>
      <c r="AE6" s="24"/>
      <c r="AF6" s="24"/>
      <c r="AG6" s="24"/>
      <c r="AH6" s="24"/>
      <c r="AI6" s="24"/>
      <c r="AJ6" s="24"/>
      <c r="AK6" s="24"/>
      <c r="AL6" s="24" t="n">
        <v>233</v>
      </c>
      <c r="AM6" s="24" t="n">
        <v>43</v>
      </c>
      <c r="AN6" s="24" t="n">
        <v>4</v>
      </c>
      <c r="AO6" s="24" t="n">
        <f aca="false">IF(AND(N(AM6)&gt;0,N(AN6)&gt;0),SQRT(2*AM6/AN6),"")</f>
        <v>4.63680924774785</v>
      </c>
      <c r="AP6" s="24" t="n">
        <v>19</v>
      </c>
      <c r="AQ6" s="24" t="n">
        <v>-7</v>
      </c>
      <c r="AR6" s="24" t="n">
        <v>40</v>
      </c>
      <c r="AS6" s="24" t="n">
        <v>100</v>
      </c>
      <c r="AT6" s="24" t="n">
        <v>41.55</v>
      </c>
      <c r="AU6" s="24" t="n">
        <v>39</v>
      </c>
      <c r="AV6" s="24" t="n">
        <v>13.4</v>
      </c>
      <c r="AW6" s="24"/>
      <c r="AX6" s="24"/>
      <c r="AY6" s="24" t="n">
        <v>3.6</v>
      </c>
      <c r="AZ6" s="24" t="n">
        <v>1.35</v>
      </c>
      <c r="BA6" s="24" t="n">
        <v>23</v>
      </c>
      <c r="BB6" s="24" t="n">
        <v>58</v>
      </c>
      <c r="BC6" s="24" t="s">
        <v>5295</v>
      </c>
      <c r="BD6" s="24" t="s">
        <v>3590</v>
      </c>
      <c r="BE6" s="24" t="s">
        <v>5298</v>
      </c>
      <c r="BF6" s="24" t="s">
        <v>3592</v>
      </c>
      <c r="BG6" s="24" t="s">
        <v>3971</v>
      </c>
      <c r="BH6" s="25" t="s">
        <v>5299</v>
      </c>
      <c r="BI6" s="24" t="s">
        <v>1211</v>
      </c>
      <c r="BJ6" s="24" t="s">
        <v>3973</v>
      </c>
    </row>
    <row r="7" customFormat="false" ht="14.25" hidden="false" customHeight="false" outlineLevel="0" collapsed="false">
      <c r="A7" s="24" t="s">
        <v>1214</v>
      </c>
      <c r="B7" s="24" t="s">
        <v>1214</v>
      </c>
      <c r="C7" s="24" t="s">
        <v>1215</v>
      </c>
      <c r="D7" s="24" t="n">
        <v>2015</v>
      </c>
      <c r="E7" s="24" t="s">
        <v>1216</v>
      </c>
      <c r="F7" s="24" t="s">
        <v>1195</v>
      </c>
      <c r="G7" s="24" t="s">
        <v>1196</v>
      </c>
      <c r="H7" s="24" t="n">
        <v>41.55</v>
      </c>
      <c r="I7" s="24" t="n">
        <v>60.63</v>
      </c>
      <c r="J7" s="24" t="s">
        <v>921</v>
      </c>
      <c r="K7" s="24" t="s">
        <v>3967</v>
      </c>
      <c r="L7" s="24" t="s">
        <v>872</v>
      </c>
      <c r="M7" s="24" t="s">
        <v>85</v>
      </c>
      <c r="N7" s="24" t="n">
        <v>143</v>
      </c>
      <c r="O7" s="24"/>
      <c r="P7" s="24" t="n">
        <v>130</v>
      </c>
      <c r="Q7" s="24"/>
      <c r="R7" s="24"/>
      <c r="S7" s="24"/>
      <c r="T7" s="24"/>
      <c r="U7" s="24"/>
      <c r="V7" s="24"/>
      <c r="W7" s="24"/>
      <c r="X7" s="24"/>
      <c r="Y7" s="24"/>
      <c r="Z7" s="24"/>
      <c r="AA7" s="24"/>
      <c r="AB7" s="24"/>
      <c r="AC7" s="24"/>
      <c r="AD7" s="24"/>
      <c r="AE7" s="24"/>
      <c r="AF7" s="24"/>
      <c r="AG7" s="24"/>
      <c r="AH7" s="24"/>
      <c r="AI7" s="24"/>
      <c r="AJ7" s="24"/>
      <c r="AK7" s="24"/>
      <c r="AL7" s="24" t="n">
        <v>250</v>
      </c>
      <c r="AM7" s="24" t="n">
        <v>43</v>
      </c>
      <c r="AN7" s="24" t="n">
        <v>4</v>
      </c>
      <c r="AO7" s="24" t="n">
        <f aca="false">IF(AND(N(AM7)&gt;0,N(AN7)&gt;0),SQRT(2*AM7/AN7),"")</f>
        <v>4.63680924774785</v>
      </c>
      <c r="AP7" s="24" t="n">
        <v>19</v>
      </c>
      <c r="AQ7" s="24" t="n">
        <v>-7</v>
      </c>
      <c r="AR7" s="24" t="n">
        <v>40</v>
      </c>
      <c r="AS7" s="24" t="n">
        <v>100</v>
      </c>
      <c r="AT7" s="24" t="n">
        <v>41.55</v>
      </c>
      <c r="AU7" s="24" t="n">
        <v>39</v>
      </c>
      <c r="AV7" s="24" t="n">
        <v>13.4</v>
      </c>
      <c r="AW7" s="24"/>
      <c r="AX7" s="24"/>
      <c r="AY7" s="24" t="n">
        <v>3.6</v>
      </c>
      <c r="AZ7" s="24" t="n">
        <v>1.35</v>
      </c>
      <c r="BA7" s="24" t="n">
        <v>23</v>
      </c>
      <c r="BB7" s="24" t="n">
        <v>58</v>
      </c>
      <c r="BC7" s="24" t="s">
        <v>5295</v>
      </c>
      <c r="BD7" s="24" t="s">
        <v>3590</v>
      </c>
      <c r="BE7" s="24" t="s">
        <v>5296</v>
      </c>
      <c r="BF7" s="24" t="s">
        <v>3592</v>
      </c>
      <c r="BG7" s="24" t="s">
        <v>3971</v>
      </c>
      <c r="BH7" s="25" t="s">
        <v>5300</v>
      </c>
      <c r="BI7" s="24" t="s">
        <v>1211</v>
      </c>
      <c r="BJ7" s="24" t="s">
        <v>3973</v>
      </c>
    </row>
    <row r="8" customFormat="false" ht="14.25" hidden="false" customHeight="false" outlineLevel="0" collapsed="false">
      <c r="A8" s="24" t="s">
        <v>1214</v>
      </c>
      <c r="B8" s="24" t="s">
        <v>1214</v>
      </c>
      <c r="C8" s="24" t="s">
        <v>1215</v>
      </c>
      <c r="D8" s="24" t="n">
        <v>2015</v>
      </c>
      <c r="E8" s="24" t="s">
        <v>1216</v>
      </c>
      <c r="F8" s="24" t="s">
        <v>1195</v>
      </c>
      <c r="G8" s="24" t="s">
        <v>1196</v>
      </c>
      <c r="H8" s="24" t="n">
        <v>41.55</v>
      </c>
      <c r="I8" s="24" t="n">
        <v>60.63</v>
      </c>
      <c r="J8" s="24" t="s">
        <v>921</v>
      </c>
      <c r="K8" s="24" t="s">
        <v>3967</v>
      </c>
      <c r="L8" s="24" t="s">
        <v>872</v>
      </c>
      <c r="M8" s="24" t="s">
        <v>85</v>
      </c>
      <c r="N8" s="24" t="n">
        <v>211</v>
      </c>
      <c r="O8" s="24"/>
      <c r="P8" s="24" t="n">
        <v>186</v>
      </c>
      <c r="Q8" s="24"/>
      <c r="R8" s="24"/>
      <c r="S8" s="24"/>
      <c r="T8" s="24"/>
      <c r="U8" s="24"/>
      <c r="V8" s="24"/>
      <c r="W8" s="24"/>
      <c r="X8" s="24"/>
      <c r="Y8" s="24"/>
      <c r="Z8" s="24"/>
      <c r="AA8" s="24"/>
      <c r="AB8" s="24"/>
      <c r="AC8" s="24"/>
      <c r="AD8" s="24"/>
      <c r="AE8" s="24"/>
      <c r="AF8" s="24"/>
      <c r="AG8" s="24"/>
      <c r="AH8" s="24"/>
      <c r="AI8" s="24"/>
      <c r="AJ8" s="24"/>
      <c r="AK8" s="24"/>
      <c r="AL8" s="24" t="n">
        <v>233</v>
      </c>
      <c r="AM8" s="24" t="n">
        <v>43</v>
      </c>
      <c r="AN8" s="24" t="n">
        <v>4</v>
      </c>
      <c r="AO8" s="24" t="n">
        <f aca="false">IF(AND(N(AM8)&gt;0,N(AN8)&gt;0),SQRT(2*AM8/AN8),"")</f>
        <v>4.63680924774785</v>
      </c>
      <c r="AP8" s="24" t="n">
        <v>19</v>
      </c>
      <c r="AQ8" s="24" t="n">
        <v>-7</v>
      </c>
      <c r="AR8" s="24" t="n">
        <v>40</v>
      </c>
      <c r="AS8" s="24" t="n">
        <v>100</v>
      </c>
      <c r="AT8" s="24" t="n">
        <v>41.55</v>
      </c>
      <c r="AU8" s="24" t="n">
        <v>39</v>
      </c>
      <c r="AV8" s="24" t="n">
        <v>13.4</v>
      </c>
      <c r="AW8" s="24"/>
      <c r="AX8" s="24"/>
      <c r="AY8" s="24" t="n">
        <v>3.6</v>
      </c>
      <c r="AZ8" s="24" t="n">
        <v>1.35</v>
      </c>
      <c r="BA8" s="24" t="n">
        <v>23</v>
      </c>
      <c r="BB8" s="24" t="n">
        <v>58</v>
      </c>
      <c r="BC8" s="24" t="s">
        <v>5295</v>
      </c>
      <c r="BD8" s="24" t="s">
        <v>3590</v>
      </c>
      <c r="BE8" s="24" t="s">
        <v>5298</v>
      </c>
      <c r="BF8" s="24" t="s">
        <v>3592</v>
      </c>
      <c r="BG8" s="24" t="s">
        <v>3971</v>
      </c>
      <c r="BH8" s="25" t="s">
        <v>5301</v>
      </c>
      <c r="BI8" s="24" t="s">
        <v>1211</v>
      </c>
      <c r="BJ8" s="24" t="s">
        <v>3973</v>
      </c>
    </row>
    <row r="9" customFormat="false" ht="14.25" hidden="false" customHeight="false" outlineLevel="0" collapsed="false">
      <c r="A9" s="24" t="s">
        <v>1214</v>
      </c>
      <c r="B9" s="24" t="s">
        <v>1214</v>
      </c>
      <c r="C9" s="24" t="s">
        <v>1215</v>
      </c>
      <c r="D9" s="24" t="n">
        <v>2015</v>
      </c>
      <c r="E9" s="24" t="s">
        <v>1216</v>
      </c>
      <c r="F9" s="24" t="s">
        <v>1195</v>
      </c>
      <c r="G9" s="24" t="s">
        <v>1196</v>
      </c>
      <c r="H9" s="24" t="n">
        <v>41.55</v>
      </c>
      <c r="I9" s="24" t="n">
        <v>60.63</v>
      </c>
      <c r="J9" s="24" t="s">
        <v>921</v>
      </c>
      <c r="K9" s="24" t="s">
        <v>3967</v>
      </c>
      <c r="L9" s="24" t="s">
        <v>872</v>
      </c>
      <c r="M9" s="24" t="s">
        <v>85</v>
      </c>
      <c r="N9" s="24" t="n">
        <v>143</v>
      </c>
      <c r="O9" s="24"/>
      <c r="P9" s="24" t="n">
        <v>132</v>
      </c>
      <c r="Q9" s="24"/>
      <c r="R9" s="24"/>
      <c r="S9" s="24"/>
      <c r="T9" s="24"/>
      <c r="U9" s="24"/>
      <c r="V9" s="24"/>
      <c r="W9" s="24"/>
      <c r="X9" s="24"/>
      <c r="Y9" s="24"/>
      <c r="Z9" s="24"/>
      <c r="AA9" s="24"/>
      <c r="AB9" s="24"/>
      <c r="AC9" s="24"/>
      <c r="AD9" s="24"/>
      <c r="AE9" s="24"/>
      <c r="AF9" s="24"/>
      <c r="AG9" s="24"/>
      <c r="AH9" s="24"/>
      <c r="AI9" s="24"/>
      <c r="AJ9" s="24"/>
      <c r="AK9" s="24"/>
      <c r="AL9" s="24" t="n">
        <v>250</v>
      </c>
      <c r="AM9" s="24" t="n">
        <v>43</v>
      </c>
      <c r="AN9" s="24" t="n">
        <v>4</v>
      </c>
      <c r="AO9" s="24" t="n">
        <f aca="false">IF(AND(N(AM9)&gt;0,N(AN9)&gt;0),SQRT(2*AM9/AN9),"")</f>
        <v>4.63680924774785</v>
      </c>
      <c r="AP9" s="24" t="n">
        <v>19</v>
      </c>
      <c r="AQ9" s="24" t="n">
        <v>-7</v>
      </c>
      <c r="AR9" s="24" t="n">
        <v>40</v>
      </c>
      <c r="AS9" s="24" t="n">
        <v>100</v>
      </c>
      <c r="AT9" s="24" t="n">
        <v>41.55</v>
      </c>
      <c r="AU9" s="24" t="n">
        <v>39</v>
      </c>
      <c r="AV9" s="24" t="n">
        <v>13.4</v>
      </c>
      <c r="AW9" s="24"/>
      <c r="AX9" s="24"/>
      <c r="AY9" s="24" t="n">
        <v>3.6</v>
      </c>
      <c r="AZ9" s="24" t="n">
        <v>1.35</v>
      </c>
      <c r="BA9" s="24" t="n">
        <v>23</v>
      </c>
      <c r="BB9" s="24" t="n">
        <v>58</v>
      </c>
      <c r="BC9" s="24" t="s">
        <v>5295</v>
      </c>
      <c r="BD9" s="24" t="s">
        <v>3590</v>
      </c>
      <c r="BE9" s="24" t="s">
        <v>5296</v>
      </c>
      <c r="BF9" s="24" t="s">
        <v>3592</v>
      </c>
      <c r="BG9" s="24" t="s">
        <v>3971</v>
      </c>
      <c r="BH9" s="25" t="s">
        <v>5302</v>
      </c>
      <c r="BI9" s="24" t="s">
        <v>1211</v>
      </c>
      <c r="BJ9" s="24" t="s">
        <v>3973</v>
      </c>
    </row>
    <row r="10" customFormat="false" ht="14.25" hidden="false" customHeight="false" outlineLevel="0" collapsed="false">
      <c r="A10" s="24" t="s">
        <v>1214</v>
      </c>
      <c r="B10" s="24" t="s">
        <v>1214</v>
      </c>
      <c r="C10" s="24" t="s">
        <v>1215</v>
      </c>
      <c r="D10" s="24" t="n">
        <v>2015</v>
      </c>
      <c r="E10" s="24" t="s">
        <v>1216</v>
      </c>
      <c r="F10" s="24" t="s">
        <v>1195</v>
      </c>
      <c r="G10" s="24" t="s">
        <v>1196</v>
      </c>
      <c r="H10" s="24" t="n">
        <v>41.55</v>
      </c>
      <c r="I10" s="24" t="n">
        <v>60.63</v>
      </c>
      <c r="J10" s="24" t="s">
        <v>921</v>
      </c>
      <c r="K10" s="24" t="s">
        <v>3967</v>
      </c>
      <c r="L10" s="24" t="s">
        <v>872</v>
      </c>
      <c r="M10" s="24" t="s">
        <v>85</v>
      </c>
      <c r="N10" s="24" t="n">
        <v>199</v>
      </c>
      <c r="O10" s="24"/>
      <c r="P10" s="24" t="n">
        <v>183</v>
      </c>
      <c r="Q10" s="24"/>
      <c r="R10" s="24"/>
      <c r="S10" s="24"/>
      <c r="T10" s="24"/>
      <c r="U10" s="24"/>
      <c r="V10" s="24"/>
      <c r="W10" s="24"/>
      <c r="X10" s="24"/>
      <c r="Y10" s="24"/>
      <c r="Z10" s="24"/>
      <c r="AA10" s="24"/>
      <c r="AB10" s="24"/>
      <c r="AC10" s="24"/>
      <c r="AD10" s="24"/>
      <c r="AE10" s="24"/>
      <c r="AF10" s="24"/>
      <c r="AG10" s="24"/>
      <c r="AH10" s="24"/>
      <c r="AI10" s="24"/>
      <c r="AJ10" s="24"/>
      <c r="AK10" s="24"/>
      <c r="AL10" s="24" t="n">
        <v>233</v>
      </c>
      <c r="AM10" s="24" t="n">
        <v>43</v>
      </c>
      <c r="AN10" s="24" t="n">
        <v>4</v>
      </c>
      <c r="AO10" s="24" t="n">
        <f aca="false">IF(AND(N(AM10)&gt;0,N(AN10)&gt;0),SQRT(2*AM10/AN10),"")</f>
        <v>4.63680924774785</v>
      </c>
      <c r="AP10" s="24" t="n">
        <v>19</v>
      </c>
      <c r="AQ10" s="24" t="n">
        <v>-7</v>
      </c>
      <c r="AR10" s="24" t="n">
        <v>40</v>
      </c>
      <c r="AS10" s="24" t="n">
        <v>100</v>
      </c>
      <c r="AT10" s="24" t="n">
        <v>41.55</v>
      </c>
      <c r="AU10" s="24" t="n">
        <v>39</v>
      </c>
      <c r="AV10" s="24" t="n">
        <v>13.4</v>
      </c>
      <c r="AW10" s="24"/>
      <c r="AX10" s="24"/>
      <c r="AY10" s="24" t="n">
        <v>3.6</v>
      </c>
      <c r="AZ10" s="24" t="n">
        <v>1.35</v>
      </c>
      <c r="BA10" s="24" t="n">
        <v>23</v>
      </c>
      <c r="BB10" s="24" t="n">
        <v>58</v>
      </c>
      <c r="BC10" s="24" t="s">
        <v>5295</v>
      </c>
      <c r="BD10" s="24" t="s">
        <v>3590</v>
      </c>
      <c r="BE10" s="24" t="s">
        <v>5298</v>
      </c>
      <c r="BF10" s="24" t="s">
        <v>3592</v>
      </c>
      <c r="BG10" s="24" t="s">
        <v>3971</v>
      </c>
      <c r="BH10" s="25" t="s">
        <v>5303</v>
      </c>
      <c r="BI10" s="24" t="s">
        <v>1211</v>
      </c>
      <c r="BJ10" s="24" t="s">
        <v>3973</v>
      </c>
    </row>
    <row r="11" customFormat="false" ht="14.25" hidden="false" customHeight="false" outlineLevel="0" collapsed="false">
      <c r="A11" s="24" t="s">
        <v>1214</v>
      </c>
      <c r="B11" s="24" t="s">
        <v>1214</v>
      </c>
      <c r="C11" s="24" t="s">
        <v>1215</v>
      </c>
      <c r="D11" s="24" t="n">
        <v>2015</v>
      </c>
      <c r="E11" s="24" t="s">
        <v>1216</v>
      </c>
      <c r="F11" s="24" t="s">
        <v>1195</v>
      </c>
      <c r="G11" s="24" t="s">
        <v>1196</v>
      </c>
      <c r="H11" s="24" t="n">
        <v>41.55</v>
      </c>
      <c r="I11" s="24" t="n">
        <v>60.63</v>
      </c>
      <c r="J11" s="24" t="s">
        <v>921</v>
      </c>
      <c r="K11" s="24" t="s">
        <v>3967</v>
      </c>
      <c r="L11" s="24" t="s">
        <v>872</v>
      </c>
      <c r="M11" s="24" t="s">
        <v>85</v>
      </c>
      <c r="N11" s="24" t="n">
        <v>149</v>
      </c>
      <c r="O11" s="24"/>
      <c r="P11" s="24" t="n">
        <v>132</v>
      </c>
      <c r="Q11" s="24"/>
      <c r="R11" s="24"/>
      <c r="S11" s="24"/>
      <c r="T11" s="24"/>
      <c r="U11" s="24"/>
      <c r="V11" s="24"/>
      <c r="W11" s="24"/>
      <c r="X11" s="24"/>
      <c r="Y11" s="24"/>
      <c r="Z11" s="24"/>
      <c r="AA11" s="24"/>
      <c r="AB11" s="24"/>
      <c r="AC11" s="24"/>
      <c r="AD11" s="24"/>
      <c r="AE11" s="24"/>
      <c r="AF11" s="24"/>
      <c r="AG11" s="24"/>
      <c r="AH11" s="24"/>
      <c r="AI11" s="24"/>
      <c r="AJ11" s="24"/>
      <c r="AK11" s="24"/>
      <c r="AL11" s="24" t="n">
        <v>250</v>
      </c>
      <c r="AM11" s="24" t="n">
        <v>43</v>
      </c>
      <c r="AN11" s="24" t="n">
        <v>4</v>
      </c>
      <c r="AO11" s="24" t="n">
        <f aca="false">IF(AND(N(AM11)&gt;0,N(AN11)&gt;0),SQRT(2*AM11/AN11),"")</f>
        <v>4.63680924774785</v>
      </c>
      <c r="AP11" s="24" t="n">
        <v>19</v>
      </c>
      <c r="AQ11" s="24" t="n">
        <v>-7</v>
      </c>
      <c r="AR11" s="24" t="n">
        <v>40</v>
      </c>
      <c r="AS11" s="24" t="n">
        <v>100</v>
      </c>
      <c r="AT11" s="24" t="n">
        <v>41.55</v>
      </c>
      <c r="AU11" s="24" t="n">
        <v>39</v>
      </c>
      <c r="AV11" s="24" t="n">
        <v>13.4</v>
      </c>
      <c r="AW11" s="24"/>
      <c r="AX11" s="24"/>
      <c r="AY11" s="24" t="n">
        <v>3.6</v>
      </c>
      <c r="AZ11" s="24" t="n">
        <v>1.35</v>
      </c>
      <c r="BA11" s="24" t="n">
        <v>23</v>
      </c>
      <c r="BB11" s="24" t="n">
        <v>58</v>
      </c>
      <c r="BC11" s="24" t="s">
        <v>5295</v>
      </c>
      <c r="BD11" s="24" t="s">
        <v>3590</v>
      </c>
      <c r="BE11" s="24" t="s">
        <v>5296</v>
      </c>
      <c r="BF11" s="24" t="s">
        <v>3592</v>
      </c>
      <c r="BG11" s="24" t="s">
        <v>3971</v>
      </c>
      <c r="BH11" s="25" t="s">
        <v>5304</v>
      </c>
      <c r="BI11" s="24" t="s">
        <v>1211</v>
      </c>
      <c r="BJ11" s="24" t="s">
        <v>3973</v>
      </c>
    </row>
    <row r="12" customFormat="false" ht="14.25" hidden="false" customHeight="false" outlineLevel="0" collapsed="false">
      <c r="A12" s="24" t="s">
        <v>1214</v>
      </c>
      <c r="B12" s="24" t="s">
        <v>1214</v>
      </c>
      <c r="C12" s="24" t="s">
        <v>1215</v>
      </c>
      <c r="D12" s="24" t="n">
        <v>2015</v>
      </c>
      <c r="E12" s="24" t="s">
        <v>1216</v>
      </c>
      <c r="F12" s="24" t="s">
        <v>1195</v>
      </c>
      <c r="G12" s="24" t="s">
        <v>1196</v>
      </c>
      <c r="H12" s="24" t="n">
        <v>41.55</v>
      </c>
      <c r="I12" s="24" t="n">
        <v>60.63</v>
      </c>
      <c r="J12" s="24" t="s">
        <v>921</v>
      </c>
      <c r="K12" s="24" t="s">
        <v>3967</v>
      </c>
      <c r="L12" s="24" t="s">
        <v>872</v>
      </c>
      <c r="M12" s="24" t="s">
        <v>85</v>
      </c>
      <c r="N12" s="24" t="n">
        <v>213</v>
      </c>
      <c r="O12" s="24"/>
      <c r="P12" s="24" t="n">
        <v>183</v>
      </c>
      <c r="Q12" s="24"/>
      <c r="R12" s="24"/>
      <c r="S12" s="24"/>
      <c r="T12" s="24"/>
      <c r="U12" s="24"/>
      <c r="V12" s="24"/>
      <c r="W12" s="24"/>
      <c r="X12" s="24"/>
      <c r="Y12" s="24"/>
      <c r="Z12" s="24"/>
      <c r="AA12" s="24"/>
      <c r="AB12" s="24"/>
      <c r="AC12" s="24"/>
      <c r="AD12" s="24"/>
      <c r="AE12" s="24"/>
      <c r="AF12" s="24"/>
      <c r="AG12" s="24"/>
      <c r="AH12" s="24"/>
      <c r="AI12" s="24"/>
      <c r="AJ12" s="24"/>
      <c r="AK12" s="24"/>
      <c r="AL12" s="24" t="n">
        <v>233</v>
      </c>
      <c r="AM12" s="24" t="n">
        <v>43</v>
      </c>
      <c r="AN12" s="24" t="n">
        <v>4</v>
      </c>
      <c r="AO12" s="24" t="n">
        <f aca="false">IF(AND(N(AM12)&gt;0,N(AN12)&gt;0),SQRT(2*AM12/AN12),"")</f>
        <v>4.63680924774785</v>
      </c>
      <c r="AP12" s="24" t="n">
        <v>19</v>
      </c>
      <c r="AQ12" s="24" t="n">
        <v>-7</v>
      </c>
      <c r="AR12" s="24" t="n">
        <v>40</v>
      </c>
      <c r="AS12" s="24" t="n">
        <v>100</v>
      </c>
      <c r="AT12" s="24" t="n">
        <v>41.55</v>
      </c>
      <c r="AU12" s="24" t="n">
        <v>39</v>
      </c>
      <c r="AV12" s="24" t="n">
        <v>13.4</v>
      </c>
      <c r="AW12" s="24"/>
      <c r="AX12" s="24"/>
      <c r="AY12" s="24" t="n">
        <v>3.6</v>
      </c>
      <c r="AZ12" s="24" t="n">
        <v>1.35</v>
      </c>
      <c r="BA12" s="24" t="n">
        <v>23</v>
      </c>
      <c r="BB12" s="24" t="n">
        <v>58</v>
      </c>
      <c r="BC12" s="24" t="s">
        <v>5295</v>
      </c>
      <c r="BD12" s="24" t="s">
        <v>3590</v>
      </c>
      <c r="BE12" s="24" t="s">
        <v>5298</v>
      </c>
      <c r="BF12" s="24" t="s">
        <v>3592</v>
      </c>
      <c r="BG12" s="24" t="s">
        <v>3971</v>
      </c>
      <c r="BH12" s="25" t="s">
        <v>5305</v>
      </c>
      <c r="BI12" s="24" t="s">
        <v>1211</v>
      </c>
      <c r="BJ12" s="24" t="s">
        <v>3973</v>
      </c>
    </row>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5306</v>
      </c>
      <c r="O1" s="27" t="s">
        <v>5307</v>
      </c>
      <c r="P1" s="27" t="s">
        <v>5308</v>
      </c>
      <c r="Q1" s="27" t="s">
        <v>5309</v>
      </c>
      <c r="R1" s="27" t="s">
        <v>5310</v>
      </c>
      <c r="S1" s="27" t="s">
        <v>5311</v>
      </c>
      <c r="T1" s="27" t="s">
        <v>5312</v>
      </c>
      <c r="U1" s="27" t="s">
        <v>5313</v>
      </c>
      <c r="V1" s="30" t="s">
        <v>5314</v>
      </c>
      <c r="W1" s="30" t="s">
        <v>5315</v>
      </c>
      <c r="X1" s="30" t="s">
        <v>5316</v>
      </c>
      <c r="Y1" s="30" t="s">
        <v>5317</v>
      </c>
      <c r="Z1" s="27" t="s">
        <v>5318</v>
      </c>
      <c r="AA1" s="27" t="s">
        <v>5319</v>
      </c>
      <c r="AB1" s="27" t="s">
        <v>5320</v>
      </c>
      <c r="AC1" s="27" t="s">
        <v>5321</v>
      </c>
      <c r="AD1" s="27" t="s">
        <v>5322</v>
      </c>
      <c r="AE1" s="27" t="s">
        <v>5323</v>
      </c>
      <c r="AF1" s="27" t="s">
        <v>5324</v>
      </c>
      <c r="AG1" s="27" t="s">
        <v>5325</v>
      </c>
      <c r="AH1" s="30" t="s">
        <v>5326</v>
      </c>
      <c r="AI1" s="30" t="s">
        <v>5327</v>
      </c>
      <c r="AJ1" s="30" t="s">
        <v>5328</v>
      </c>
      <c r="AK1" s="30" t="s">
        <v>5329</v>
      </c>
      <c r="AL1" s="28" t="s">
        <v>35</v>
      </c>
      <c r="AM1" s="28" t="s">
        <v>33</v>
      </c>
      <c r="AN1" s="28" t="s">
        <v>37</v>
      </c>
      <c r="AO1" s="21" t="s">
        <v>73</v>
      </c>
      <c r="AP1" s="21" t="s">
        <v>826</v>
      </c>
      <c r="AQ1" s="21" t="s">
        <v>827</v>
      </c>
      <c r="AR1" s="21" t="s">
        <v>74</v>
      </c>
      <c r="AS1" s="21" t="s">
        <v>2036</v>
      </c>
      <c r="AT1" s="21" t="s">
        <v>2037</v>
      </c>
      <c r="AU1" s="21" t="s">
        <v>828</v>
      </c>
      <c r="AV1" s="21" t="s">
        <v>829</v>
      </c>
      <c r="AW1" s="21" t="s">
        <v>75</v>
      </c>
      <c r="AX1" s="21" t="s">
        <v>824</v>
      </c>
      <c r="AY1" s="21" t="s">
        <v>825</v>
      </c>
      <c r="AZ1" s="21" t="s">
        <v>822</v>
      </c>
      <c r="BA1" s="21" t="s">
        <v>823</v>
      </c>
      <c r="BB1" s="22" t="s">
        <v>76</v>
      </c>
      <c r="BC1" s="22" t="s">
        <v>77</v>
      </c>
      <c r="BD1" s="22" t="s">
        <v>2038</v>
      </c>
      <c r="BE1" s="22" t="s">
        <v>2039</v>
      </c>
      <c r="BF1" s="22" t="s">
        <v>78</v>
      </c>
      <c r="BG1" s="22" t="s">
        <v>841</v>
      </c>
      <c r="BH1" s="22" t="s">
        <v>2040</v>
      </c>
      <c r="BI1" s="22" t="s">
        <v>2041</v>
      </c>
      <c r="BK1" s="31" t="s">
        <v>2042</v>
      </c>
    </row>
    <row r="2" customFormat="false" ht="15" hidden="false" customHeight="true" outlineLevel="0" collapsed="false">
      <c r="BK2" s="34" t="s">
        <v>1534</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5330</v>
      </c>
      <c r="O1" s="27" t="s">
        <v>5331</v>
      </c>
      <c r="P1" s="27" t="s">
        <v>5332</v>
      </c>
      <c r="Q1" s="27" t="s">
        <v>5333</v>
      </c>
      <c r="R1" s="27" t="s">
        <v>5334</v>
      </c>
      <c r="S1" s="27" t="s">
        <v>5335</v>
      </c>
      <c r="T1" s="27" t="s">
        <v>5336</v>
      </c>
      <c r="U1" s="27" t="s">
        <v>5337</v>
      </c>
      <c r="V1" s="30" t="s">
        <v>5338</v>
      </c>
      <c r="W1" s="30" t="s">
        <v>5339</v>
      </c>
      <c r="X1" s="30" t="s">
        <v>5340</v>
      </c>
      <c r="Y1" s="30" t="s">
        <v>5341</v>
      </c>
      <c r="Z1" s="27" t="s">
        <v>5342</v>
      </c>
      <c r="AA1" s="27" t="s">
        <v>5343</v>
      </c>
      <c r="AB1" s="27" t="s">
        <v>5344</v>
      </c>
      <c r="AC1" s="27" t="s">
        <v>5345</v>
      </c>
      <c r="AD1" s="27" t="s">
        <v>5346</v>
      </c>
      <c r="AE1" s="27" t="s">
        <v>5347</v>
      </c>
      <c r="AF1" s="27" t="s">
        <v>5348</v>
      </c>
      <c r="AG1" s="27" t="s">
        <v>5349</v>
      </c>
      <c r="AH1" s="30" t="s">
        <v>5350</v>
      </c>
      <c r="AI1" s="30" t="s">
        <v>5351</v>
      </c>
      <c r="AJ1" s="30" t="s">
        <v>5352</v>
      </c>
      <c r="AK1" s="30" t="s">
        <v>5353</v>
      </c>
      <c r="AL1" s="28" t="s">
        <v>35</v>
      </c>
      <c r="AM1" s="28" t="s">
        <v>33</v>
      </c>
      <c r="AN1" s="28" t="s">
        <v>37</v>
      </c>
      <c r="AO1" s="21" t="s">
        <v>73</v>
      </c>
      <c r="AP1" s="21" t="s">
        <v>826</v>
      </c>
      <c r="AQ1" s="21" t="s">
        <v>827</v>
      </c>
      <c r="AR1" s="21" t="s">
        <v>74</v>
      </c>
      <c r="AS1" s="21" t="s">
        <v>2036</v>
      </c>
      <c r="AT1" s="21" t="s">
        <v>2037</v>
      </c>
      <c r="AU1" s="21" t="s">
        <v>828</v>
      </c>
      <c r="AV1" s="21" t="s">
        <v>829</v>
      </c>
      <c r="AW1" s="21" t="s">
        <v>75</v>
      </c>
      <c r="AX1" s="21" t="s">
        <v>824</v>
      </c>
      <c r="AY1" s="21" t="s">
        <v>825</v>
      </c>
      <c r="AZ1" s="21" t="s">
        <v>822</v>
      </c>
      <c r="BA1" s="21" t="s">
        <v>823</v>
      </c>
      <c r="BB1" s="22" t="s">
        <v>76</v>
      </c>
      <c r="BC1" s="22" t="s">
        <v>77</v>
      </c>
      <c r="BD1" s="22" t="s">
        <v>2038</v>
      </c>
      <c r="BE1" s="22" t="s">
        <v>2039</v>
      </c>
      <c r="BF1" s="22" t="s">
        <v>78</v>
      </c>
      <c r="BG1" s="22" t="s">
        <v>841</v>
      </c>
      <c r="BH1" s="22" t="s">
        <v>2040</v>
      </c>
      <c r="BI1" s="22" t="s">
        <v>2041</v>
      </c>
      <c r="BK1" s="31" t="s">
        <v>2042</v>
      </c>
    </row>
    <row r="2" customFormat="false" ht="15" hidden="false" customHeight="true" outlineLevel="0" collapsed="false">
      <c r="BK2" s="33" t="s">
        <v>1536</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5354</v>
      </c>
      <c r="O1" s="27" t="s">
        <v>5355</v>
      </c>
      <c r="P1" s="27" t="s">
        <v>5356</v>
      </c>
      <c r="Q1" s="27" t="s">
        <v>5357</v>
      </c>
      <c r="R1" s="27" t="s">
        <v>5358</v>
      </c>
      <c r="S1" s="27" t="s">
        <v>5359</v>
      </c>
      <c r="T1" s="27" t="s">
        <v>5360</v>
      </c>
      <c r="U1" s="27" t="s">
        <v>5361</v>
      </c>
      <c r="V1" s="30" t="s">
        <v>5362</v>
      </c>
      <c r="W1" s="30" t="s">
        <v>5363</v>
      </c>
      <c r="X1" s="30" t="s">
        <v>5364</v>
      </c>
      <c r="Y1" s="30" t="s">
        <v>5365</v>
      </c>
      <c r="Z1" s="27" t="s">
        <v>5366</v>
      </c>
      <c r="AA1" s="27" t="s">
        <v>5367</v>
      </c>
      <c r="AB1" s="27" t="s">
        <v>5368</v>
      </c>
      <c r="AC1" s="27" t="s">
        <v>5369</v>
      </c>
      <c r="AD1" s="27" t="s">
        <v>5370</v>
      </c>
      <c r="AE1" s="27" t="s">
        <v>5371</v>
      </c>
      <c r="AF1" s="27" t="s">
        <v>5372</v>
      </c>
      <c r="AG1" s="27" t="s">
        <v>5373</v>
      </c>
      <c r="AH1" s="30" t="s">
        <v>5374</v>
      </c>
      <c r="AI1" s="30" t="s">
        <v>5375</v>
      </c>
      <c r="AJ1" s="30" t="s">
        <v>5376</v>
      </c>
      <c r="AK1" s="30" t="s">
        <v>5377</v>
      </c>
      <c r="AL1" s="27" t="s">
        <v>5378</v>
      </c>
      <c r="AM1" s="27" t="s">
        <v>5379</v>
      </c>
      <c r="AN1" s="27" t="s">
        <v>5380</v>
      </c>
      <c r="AO1" s="27" t="s">
        <v>5381</v>
      </c>
      <c r="AP1" s="27" t="s">
        <v>5382</v>
      </c>
      <c r="AQ1" s="27" t="s">
        <v>5383</v>
      </c>
      <c r="AR1" s="27" t="s">
        <v>5384</v>
      </c>
      <c r="AS1" s="27" t="s">
        <v>5385</v>
      </c>
      <c r="AT1" s="30" t="s">
        <v>5386</v>
      </c>
      <c r="AU1" s="30" t="s">
        <v>5387</v>
      </c>
      <c r="AV1" s="30" t="s">
        <v>5388</v>
      </c>
      <c r="AW1" s="30" t="s">
        <v>5389</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1538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5390</v>
      </c>
      <c r="O1" s="27" t="s">
        <v>5391</v>
      </c>
      <c r="P1" s="27" t="s">
        <v>5392</v>
      </c>
      <c r="Q1" s="27" t="s">
        <v>5393</v>
      </c>
      <c r="R1" s="27" t="s">
        <v>5394</v>
      </c>
      <c r="S1" s="27" t="s">
        <v>5395</v>
      </c>
      <c r="T1" s="27" t="s">
        <v>5396</v>
      </c>
      <c r="U1" s="27" t="s">
        <v>5397</v>
      </c>
      <c r="V1" s="30" t="s">
        <v>5398</v>
      </c>
      <c r="W1" s="30" t="s">
        <v>5399</v>
      </c>
      <c r="X1" s="30" t="s">
        <v>5400</v>
      </c>
      <c r="Y1" s="30" t="s">
        <v>5401</v>
      </c>
      <c r="Z1" s="27" t="s">
        <v>5402</v>
      </c>
      <c r="AA1" s="27" t="s">
        <v>5403</v>
      </c>
      <c r="AB1" s="27" t="s">
        <v>5404</v>
      </c>
      <c r="AC1" s="27" t="s">
        <v>5405</v>
      </c>
      <c r="AD1" s="27" t="s">
        <v>5406</v>
      </c>
      <c r="AE1" s="27" t="s">
        <v>5407</v>
      </c>
      <c r="AF1" s="27" t="s">
        <v>5408</v>
      </c>
      <c r="AG1" s="27" t="s">
        <v>5409</v>
      </c>
      <c r="AH1" s="30" t="s">
        <v>5410</v>
      </c>
      <c r="AI1" s="30" t="s">
        <v>5411</v>
      </c>
      <c r="AJ1" s="30" t="s">
        <v>5412</v>
      </c>
      <c r="AK1" s="30" t="s">
        <v>5413</v>
      </c>
      <c r="AL1" s="27" t="s">
        <v>5414</v>
      </c>
      <c r="AM1" s="27" t="s">
        <v>5415</v>
      </c>
      <c r="AN1" s="27" t="s">
        <v>5416</v>
      </c>
      <c r="AO1" s="27" t="s">
        <v>5417</v>
      </c>
      <c r="AP1" s="27" t="s">
        <v>5418</v>
      </c>
      <c r="AQ1" s="27" t="s">
        <v>5419</v>
      </c>
      <c r="AR1" s="27" t="s">
        <v>5420</v>
      </c>
      <c r="AS1" s="27" t="s">
        <v>5421</v>
      </c>
      <c r="AT1" s="30" t="s">
        <v>5422</v>
      </c>
      <c r="AU1" s="30" t="s">
        <v>5423</v>
      </c>
      <c r="AV1" s="30" t="s">
        <v>5424</v>
      </c>
      <c r="AW1" s="30" t="s">
        <v>5425</v>
      </c>
      <c r="AX1" s="27" t="s">
        <v>5426</v>
      </c>
      <c r="AY1" s="28" t="s">
        <v>35</v>
      </c>
      <c r="AZ1" s="28" t="s">
        <v>33</v>
      </c>
      <c r="BA1" s="28" t="s">
        <v>37</v>
      </c>
      <c r="BB1" s="21" t="s">
        <v>73</v>
      </c>
      <c r="BC1" s="21" t="s">
        <v>826</v>
      </c>
      <c r="BD1" s="21" t="s">
        <v>827</v>
      </c>
      <c r="BE1" s="21" t="s">
        <v>74</v>
      </c>
      <c r="BF1" s="21" t="s">
        <v>2036</v>
      </c>
      <c r="BG1" s="21" t="s">
        <v>2037</v>
      </c>
      <c r="BH1" s="21" t="s">
        <v>828</v>
      </c>
      <c r="BI1" s="21" t="s">
        <v>829</v>
      </c>
      <c r="BJ1" s="21" t="s">
        <v>75</v>
      </c>
      <c r="BK1" s="21" t="s">
        <v>824</v>
      </c>
      <c r="BL1" s="21" t="s">
        <v>825</v>
      </c>
      <c r="BM1" s="21" t="s">
        <v>822</v>
      </c>
      <c r="BN1" s="21" t="s">
        <v>823</v>
      </c>
      <c r="BO1" s="22" t="s">
        <v>76</v>
      </c>
      <c r="BP1" s="22" t="s">
        <v>77</v>
      </c>
      <c r="BQ1" s="22" t="s">
        <v>2038</v>
      </c>
      <c r="BR1" s="22" t="s">
        <v>2039</v>
      </c>
      <c r="BS1" s="22" t="s">
        <v>78</v>
      </c>
      <c r="BT1" s="22" t="s">
        <v>841</v>
      </c>
      <c r="BU1" s="22" t="s">
        <v>2040</v>
      </c>
      <c r="BV1" s="22" t="s">
        <v>2041</v>
      </c>
      <c r="BX1" s="31" t="s">
        <v>2042</v>
      </c>
    </row>
    <row r="2" customFormat="false" ht="15" hidden="false" customHeight="true" outlineLevel="0" collapsed="false">
      <c r="A2" s="5" t="s">
        <v>1041</v>
      </c>
      <c r="B2" s="5" t="s">
        <v>1041</v>
      </c>
      <c r="C2" s="5" t="s">
        <v>1042</v>
      </c>
      <c r="D2" s="5" t="n">
        <v>2022</v>
      </c>
      <c r="E2" s="5" t="s">
        <v>843</v>
      </c>
      <c r="F2" s="5" t="s">
        <v>1045</v>
      </c>
      <c r="G2" s="5" t="s">
        <v>1046</v>
      </c>
      <c r="H2" s="5" t="n">
        <v>24.724</v>
      </c>
      <c r="I2" s="5" t="n">
        <v>90.437</v>
      </c>
      <c r="J2" s="5" t="s">
        <v>83</v>
      </c>
      <c r="K2" s="5" t="s">
        <v>5427</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5428</v>
      </c>
      <c r="AY2" s="5" t="n">
        <v>5</v>
      </c>
      <c r="AZ2" s="5" t="n">
        <v>3</v>
      </c>
      <c r="BA2" s="5" t="n">
        <f aca="false">IF(AND(N(AY2)&gt;0,N(AZ2)&gt;0),SQRT(2*AY2/AZ2),"")</f>
        <v>1.82574185835055</v>
      </c>
      <c r="BB2" s="5" t="n">
        <v>13</v>
      </c>
      <c r="BC2" s="5"/>
      <c r="BD2" s="5"/>
      <c r="BE2" s="5" t="n">
        <v>2400</v>
      </c>
      <c r="BF2" s="5" t="n">
        <v>24.724</v>
      </c>
      <c r="BG2" s="5" t="s">
        <v>5429</v>
      </c>
      <c r="BH2" s="5"/>
      <c r="BI2" s="5"/>
      <c r="BJ2" s="5" t="n">
        <v>6.92</v>
      </c>
      <c r="BK2" s="5" t="n">
        <v>13.2</v>
      </c>
      <c r="BL2" s="5" t="n">
        <v>1.58</v>
      </c>
      <c r="BM2" s="5" t="n">
        <v>11</v>
      </c>
      <c r="BN2" s="5" t="n">
        <v>76</v>
      </c>
      <c r="BO2" s="5" t="s">
        <v>5430</v>
      </c>
      <c r="BP2" s="5" t="s">
        <v>2112</v>
      </c>
      <c r="BQ2" s="5" t="s">
        <v>5431</v>
      </c>
      <c r="BR2" s="5" t="s">
        <v>5432</v>
      </c>
      <c r="BS2" s="5" t="s">
        <v>5433</v>
      </c>
      <c r="BT2" s="23" t="s">
        <v>5434</v>
      </c>
      <c r="BU2" s="5" t="s">
        <v>1060</v>
      </c>
      <c r="BV2" s="5" t="s">
        <v>5435</v>
      </c>
      <c r="BX2" s="33" t="s">
        <v>1540</v>
      </c>
    </row>
    <row r="3" customFormat="false" ht="14.25" hidden="false" customHeight="true" outlineLevel="0" collapsed="false">
      <c r="A3" s="5" t="s">
        <v>1041</v>
      </c>
      <c r="B3" s="5" t="s">
        <v>1041</v>
      </c>
      <c r="C3" s="5" t="s">
        <v>1042</v>
      </c>
      <c r="D3" s="5" t="n">
        <v>2022</v>
      </c>
      <c r="E3" s="5" t="s">
        <v>843</v>
      </c>
      <c r="F3" s="5" t="s">
        <v>1045</v>
      </c>
      <c r="G3" s="5" t="s">
        <v>1046</v>
      </c>
      <c r="H3" s="5" t="n">
        <v>24.724</v>
      </c>
      <c r="I3" s="5" t="n">
        <v>90.437</v>
      </c>
      <c r="J3" s="5" t="s">
        <v>83</v>
      </c>
      <c r="K3" s="5" t="s">
        <v>5427</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5436</v>
      </c>
      <c r="AY3" s="5" t="n">
        <v>5</v>
      </c>
      <c r="AZ3" s="5" t="n">
        <v>3</v>
      </c>
      <c r="BA3" s="5" t="n">
        <f aca="false">IF(AND(N(AY3)&gt;0,N(AZ3)&gt;0),SQRT(2*AY3/AZ3),"")</f>
        <v>1.82574185835055</v>
      </c>
      <c r="BB3" s="5" t="n">
        <v>13</v>
      </c>
      <c r="BC3" s="5"/>
      <c r="BD3" s="5"/>
      <c r="BE3" s="5" t="n">
        <v>2400</v>
      </c>
      <c r="BF3" s="5" t="n">
        <v>24.724</v>
      </c>
      <c r="BG3" s="5" t="s">
        <v>5429</v>
      </c>
      <c r="BH3" s="5"/>
      <c r="BI3" s="5"/>
      <c r="BJ3" s="5" t="n">
        <v>6.92</v>
      </c>
      <c r="BK3" s="5" t="n">
        <v>13.2</v>
      </c>
      <c r="BL3" s="5" t="n">
        <v>1.58</v>
      </c>
      <c r="BM3" s="5" t="n">
        <v>11</v>
      </c>
      <c r="BN3" s="5" t="n">
        <v>76</v>
      </c>
      <c r="BO3" s="5" t="s">
        <v>5430</v>
      </c>
      <c r="BP3" s="5" t="s">
        <v>2112</v>
      </c>
      <c r="BQ3" s="5" t="s">
        <v>5437</v>
      </c>
      <c r="BR3" s="5" t="s">
        <v>5438</v>
      </c>
      <c r="BS3" s="5" t="s">
        <v>5433</v>
      </c>
      <c r="BT3" s="23" t="s">
        <v>5439</v>
      </c>
      <c r="BU3" s="5" t="s">
        <v>1060</v>
      </c>
      <c r="BV3" s="5" t="s">
        <v>5435</v>
      </c>
    </row>
    <row r="4" customFormat="false" ht="14.25" hidden="false" customHeight="true" outlineLevel="0" collapsed="false">
      <c r="A4" s="5" t="s">
        <v>1041</v>
      </c>
      <c r="B4" s="5" t="s">
        <v>1041</v>
      </c>
      <c r="C4" s="5" t="s">
        <v>1042</v>
      </c>
      <c r="D4" s="5" t="n">
        <v>2022</v>
      </c>
      <c r="E4" s="5" t="s">
        <v>843</v>
      </c>
      <c r="F4" s="5" t="s">
        <v>1045</v>
      </c>
      <c r="G4" s="5" t="s">
        <v>1046</v>
      </c>
      <c r="H4" s="5" t="n">
        <v>24.724</v>
      </c>
      <c r="I4" s="5" t="n">
        <v>90.437</v>
      </c>
      <c r="J4" s="5" t="s">
        <v>83</v>
      </c>
      <c r="K4" s="5" t="s">
        <v>5427</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5436</v>
      </c>
      <c r="AY4" s="5" t="n">
        <v>5</v>
      </c>
      <c r="AZ4" s="5" t="n">
        <v>3</v>
      </c>
      <c r="BA4" s="5" t="n">
        <f aca="false">IF(AND(N(AY4)&gt;0,N(AZ4)&gt;0),SQRT(2*AY4/AZ4),"")</f>
        <v>1.82574185835055</v>
      </c>
      <c r="BB4" s="5" t="n">
        <v>13</v>
      </c>
      <c r="BC4" s="5"/>
      <c r="BD4" s="5"/>
      <c r="BE4" s="5" t="n">
        <v>2400</v>
      </c>
      <c r="BF4" s="5" t="n">
        <v>24.724</v>
      </c>
      <c r="BG4" s="5" t="s">
        <v>5429</v>
      </c>
      <c r="BH4" s="5"/>
      <c r="BI4" s="5"/>
      <c r="BJ4" s="5" t="n">
        <v>6.92</v>
      </c>
      <c r="BK4" s="5" t="n">
        <v>13.2</v>
      </c>
      <c r="BL4" s="5" t="n">
        <v>1.58</v>
      </c>
      <c r="BM4" s="5" t="n">
        <v>11</v>
      </c>
      <c r="BN4" s="5" t="n">
        <v>76</v>
      </c>
      <c r="BO4" s="5" t="s">
        <v>5440</v>
      </c>
      <c r="BP4" s="5" t="s">
        <v>2112</v>
      </c>
      <c r="BQ4" s="5" t="s">
        <v>5437</v>
      </c>
      <c r="BR4" s="5" t="s">
        <v>5438</v>
      </c>
      <c r="BS4" s="5" t="s">
        <v>5441</v>
      </c>
      <c r="BT4" s="23" t="s">
        <v>5442</v>
      </c>
      <c r="BU4" s="5" t="s">
        <v>1060</v>
      </c>
      <c r="BV4" s="5" t="s">
        <v>5443</v>
      </c>
    </row>
    <row r="5" customFormat="false" ht="14.25" hidden="false" customHeight="true" outlineLevel="0" collapsed="false">
      <c r="A5" s="5" t="s">
        <v>1041</v>
      </c>
      <c r="B5" s="5" t="s">
        <v>1041</v>
      </c>
      <c r="C5" s="5" t="s">
        <v>1042</v>
      </c>
      <c r="D5" s="5" t="n">
        <v>2022</v>
      </c>
      <c r="E5" s="5" t="s">
        <v>843</v>
      </c>
      <c r="F5" s="5" t="s">
        <v>1045</v>
      </c>
      <c r="G5" s="5" t="s">
        <v>1046</v>
      </c>
      <c r="H5" s="5" t="n">
        <v>24.724</v>
      </c>
      <c r="I5" s="5" t="n">
        <v>90.437</v>
      </c>
      <c r="J5" s="5" t="s">
        <v>83</v>
      </c>
      <c r="K5" s="5" t="s">
        <v>5427</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5444</v>
      </c>
      <c r="AY5" s="5" t="n">
        <v>5</v>
      </c>
      <c r="AZ5" s="5" t="n">
        <v>3</v>
      </c>
      <c r="BA5" s="5" t="n">
        <f aca="false">IF(AND(N(AY5)&gt;0,N(AZ5)&gt;0),SQRT(2*AY5/AZ5),"")</f>
        <v>1.82574185835055</v>
      </c>
      <c r="BB5" s="5" t="n">
        <v>13</v>
      </c>
      <c r="BC5" s="5"/>
      <c r="BD5" s="5"/>
      <c r="BE5" s="5" t="n">
        <v>2400</v>
      </c>
      <c r="BF5" s="5" t="n">
        <v>24.724</v>
      </c>
      <c r="BG5" s="5" t="s">
        <v>5429</v>
      </c>
      <c r="BH5" s="5"/>
      <c r="BI5" s="5"/>
      <c r="BJ5" s="5" t="n">
        <v>6.92</v>
      </c>
      <c r="BK5" s="5" t="n">
        <v>13.2</v>
      </c>
      <c r="BL5" s="5" t="n">
        <v>1.58</v>
      </c>
      <c r="BM5" s="5" t="n">
        <v>11</v>
      </c>
      <c r="BN5" s="5" t="n">
        <v>76</v>
      </c>
      <c r="BO5" s="5" t="s">
        <v>5430</v>
      </c>
      <c r="BP5" s="5" t="s">
        <v>2112</v>
      </c>
      <c r="BQ5" s="5" t="s">
        <v>5445</v>
      </c>
      <c r="BR5" s="5" t="s">
        <v>5446</v>
      </c>
      <c r="BS5" s="5" t="s">
        <v>5433</v>
      </c>
      <c r="BT5" s="23" t="s">
        <v>5447</v>
      </c>
      <c r="BU5" s="5" t="s">
        <v>1060</v>
      </c>
      <c r="BV5" s="5" t="s">
        <v>5435</v>
      </c>
    </row>
    <row r="6" customFormat="false" ht="14.25" hidden="false" customHeight="true" outlineLevel="0" collapsed="false">
      <c r="A6" s="5" t="s">
        <v>1041</v>
      </c>
      <c r="B6" s="5" t="s">
        <v>1041</v>
      </c>
      <c r="C6" s="5" t="s">
        <v>1042</v>
      </c>
      <c r="D6" s="5" t="n">
        <v>2022</v>
      </c>
      <c r="E6" s="5" t="s">
        <v>843</v>
      </c>
      <c r="F6" s="5" t="s">
        <v>1045</v>
      </c>
      <c r="G6" s="5" t="s">
        <v>1046</v>
      </c>
      <c r="H6" s="5" t="n">
        <v>24.724</v>
      </c>
      <c r="I6" s="5" t="n">
        <v>90.437</v>
      </c>
      <c r="J6" s="5" t="s">
        <v>83</v>
      </c>
      <c r="K6" s="5" t="s">
        <v>5427</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5444</v>
      </c>
      <c r="AY6" s="5" t="n">
        <v>5</v>
      </c>
      <c r="AZ6" s="5" t="n">
        <v>3</v>
      </c>
      <c r="BA6" s="5" t="n">
        <f aca="false">IF(AND(N(AY6)&gt;0,N(AZ6)&gt;0),SQRT(2*AY6/AZ6),"")</f>
        <v>1.82574185835055</v>
      </c>
      <c r="BB6" s="5" t="n">
        <v>13</v>
      </c>
      <c r="BC6" s="5"/>
      <c r="BD6" s="5"/>
      <c r="BE6" s="5" t="n">
        <v>2400</v>
      </c>
      <c r="BF6" s="5" t="n">
        <v>24.724</v>
      </c>
      <c r="BG6" s="5" t="s">
        <v>5429</v>
      </c>
      <c r="BH6" s="5"/>
      <c r="BI6" s="5"/>
      <c r="BJ6" s="5" t="n">
        <v>6.92</v>
      </c>
      <c r="BK6" s="5" t="n">
        <v>13.2</v>
      </c>
      <c r="BL6" s="5" t="n">
        <v>1.58</v>
      </c>
      <c r="BM6" s="5" t="n">
        <v>11</v>
      </c>
      <c r="BN6" s="5" t="n">
        <v>76</v>
      </c>
      <c r="BO6" s="5" t="s">
        <v>5440</v>
      </c>
      <c r="BP6" s="5" t="s">
        <v>2112</v>
      </c>
      <c r="BQ6" s="5" t="s">
        <v>5445</v>
      </c>
      <c r="BR6" s="5" t="s">
        <v>5446</v>
      </c>
      <c r="BS6" s="5" t="s">
        <v>5441</v>
      </c>
      <c r="BT6" s="23" t="s">
        <v>5448</v>
      </c>
      <c r="BU6" s="5" t="s">
        <v>1060</v>
      </c>
      <c r="BV6" s="5" t="s">
        <v>5443</v>
      </c>
    </row>
    <row r="7" customFormat="false" ht="14.25" hidden="false" customHeight="true" outlineLevel="0" collapsed="false">
      <c r="A7" s="5" t="s">
        <v>1041</v>
      </c>
      <c r="B7" s="5" t="s">
        <v>1041</v>
      </c>
      <c r="C7" s="5" t="s">
        <v>1042</v>
      </c>
      <c r="D7" s="5" t="n">
        <v>2022</v>
      </c>
      <c r="E7" s="5" t="s">
        <v>843</v>
      </c>
      <c r="F7" s="5" t="s">
        <v>1045</v>
      </c>
      <c r="G7" s="5" t="s">
        <v>1046</v>
      </c>
      <c r="H7" s="5" t="n">
        <v>24.724</v>
      </c>
      <c r="I7" s="5" t="n">
        <v>90.437</v>
      </c>
      <c r="J7" s="5" t="s">
        <v>83</v>
      </c>
      <c r="K7" s="5" t="s">
        <v>5427</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5449</v>
      </c>
      <c r="AY7" s="5" t="n">
        <v>5</v>
      </c>
      <c r="AZ7" s="5" t="n">
        <v>3</v>
      </c>
      <c r="BA7" s="5" t="n">
        <f aca="false">IF(AND(N(AY7)&gt;0,N(AZ7)&gt;0),SQRT(2*AY7/AZ7),"")</f>
        <v>1.82574185835055</v>
      </c>
      <c r="BB7" s="5" t="n">
        <v>13</v>
      </c>
      <c r="BC7" s="5"/>
      <c r="BD7" s="5"/>
      <c r="BE7" s="5" t="n">
        <v>2400</v>
      </c>
      <c r="BF7" s="5" t="n">
        <v>24.724</v>
      </c>
      <c r="BG7" s="5" t="s">
        <v>5429</v>
      </c>
      <c r="BH7" s="5"/>
      <c r="BI7" s="5"/>
      <c r="BJ7" s="5" t="n">
        <v>6.92</v>
      </c>
      <c r="BK7" s="5" t="n">
        <v>13.2</v>
      </c>
      <c r="BL7" s="5" t="n">
        <v>1.58</v>
      </c>
      <c r="BM7" s="5" t="n">
        <v>11</v>
      </c>
      <c r="BN7" s="5" t="n">
        <v>76</v>
      </c>
      <c r="BO7" s="5" t="s">
        <v>5430</v>
      </c>
      <c r="BP7" s="5" t="s">
        <v>2112</v>
      </c>
      <c r="BQ7" s="5" t="s">
        <v>5450</v>
      </c>
      <c r="BR7" s="5" t="s">
        <v>5451</v>
      </c>
      <c r="BS7" s="5" t="s">
        <v>5433</v>
      </c>
      <c r="BT7" s="23" t="s">
        <v>5452</v>
      </c>
      <c r="BU7" s="5" t="s">
        <v>1060</v>
      </c>
      <c r="BV7" s="5" t="s">
        <v>5435</v>
      </c>
    </row>
    <row r="8" customFormat="false" ht="14.25" hidden="false" customHeight="true" outlineLevel="0" collapsed="false">
      <c r="A8" s="5" t="s">
        <v>1041</v>
      </c>
      <c r="B8" s="5" t="s">
        <v>1041</v>
      </c>
      <c r="C8" s="5" t="s">
        <v>1042</v>
      </c>
      <c r="D8" s="5" t="n">
        <v>2022</v>
      </c>
      <c r="E8" s="5" t="s">
        <v>843</v>
      </c>
      <c r="F8" s="5" t="s">
        <v>1045</v>
      </c>
      <c r="G8" s="5" t="s">
        <v>1046</v>
      </c>
      <c r="H8" s="5" t="n">
        <v>24.724</v>
      </c>
      <c r="I8" s="5" t="n">
        <v>90.437</v>
      </c>
      <c r="J8" s="5" t="s">
        <v>83</v>
      </c>
      <c r="K8" s="5" t="s">
        <v>5427</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5449</v>
      </c>
      <c r="AY8" s="5" t="n">
        <v>5</v>
      </c>
      <c r="AZ8" s="5" t="n">
        <v>3</v>
      </c>
      <c r="BA8" s="5" t="n">
        <f aca="false">IF(AND(N(AY8)&gt;0,N(AZ8)&gt;0),SQRT(2*AY8/AZ8),"")</f>
        <v>1.82574185835055</v>
      </c>
      <c r="BB8" s="5" t="n">
        <v>13</v>
      </c>
      <c r="BC8" s="5"/>
      <c r="BD8" s="5"/>
      <c r="BE8" s="5" t="n">
        <v>2400</v>
      </c>
      <c r="BF8" s="5" t="n">
        <v>24.724</v>
      </c>
      <c r="BG8" s="5" t="s">
        <v>5429</v>
      </c>
      <c r="BH8" s="5"/>
      <c r="BI8" s="5"/>
      <c r="BJ8" s="5" t="n">
        <v>6.92</v>
      </c>
      <c r="BK8" s="5" t="n">
        <v>13.2</v>
      </c>
      <c r="BL8" s="5" t="n">
        <v>1.58</v>
      </c>
      <c r="BM8" s="5" t="n">
        <v>11</v>
      </c>
      <c r="BN8" s="5" t="n">
        <v>76</v>
      </c>
      <c r="BO8" s="5" t="s">
        <v>5440</v>
      </c>
      <c r="BP8" s="5" t="s">
        <v>2112</v>
      </c>
      <c r="BQ8" s="5" t="s">
        <v>5450</v>
      </c>
      <c r="BR8" s="5" t="s">
        <v>5451</v>
      </c>
      <c r="BS8" s="5" t="s">
        <v>5441</v>
      </c>
      <c r="BT8" s="23" t="s">
        <v>5453</v>
      </c>
      <c r="BU8" s="5" t="s">
        <v>1060</v>
      </c>
      <c r="BV8" s="5" t="s">
        <v>5443</v>
      </c>
    </row>
    <row r="9" customFormat="false" ht="14.25" hidden="false" customHeight="true" outlineLevel="0" collapsed="false">
      <c r="A9" s="5" t="s">
        <v>1041</v>
      </c>
      <c r="B9" s="5" t="s">
        <v>1041</v>
      </c>
      <c r="C9" s="5" t="s">
        <v>1042</v>
      </c>
      <c r="D9" s="5" t="n">
        <v>2022</v>
      </c>
      <c r="E9" s="5" t="s">
        <v>843</v>
      </c>
      <c r="F9" s="5" t="s">
        <v>1045</v>
      </c>
      <c r="G9" s="5" t="s">
        <v>1046</v>
      </c>
      <c r="H9" s="5" t="n">
        <v>24.724</v>
      </c>
      <c r="I9" s="5" t="n">
        <v>90.437</v>
      </c>
      <c r="J9" s="5" t="s">
        <v>83</v>
      </c>
      <c r="K9" s="5" t="s">
        <v>5427</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5454</v>
      </c>
      <c r="AY9" s="5" t="n">
        <v>5</v>
      </c>
      <c r="AZ9" s="5" t="n">
        <v>3</v>
      </c>
      <c r="BA9" s="5" t="n">
        <f aca="false">IF(AND(N(AY9)&gt;0,N(AZ9)&gt;0),SQRT(2*AY9/AZ9),"")</f>
        <v>1.82574185835055</v>
      </c>
      <c r="BB9" s="5" t="n">
        <v>13</v>
      </c>
      <c r="BC9" s="5"/>
      <c r="BD9" s="5"/>
      <c r="BE9" s="5" t="n">
        <v>2400</v>
      </c>
      <c r="BF9" s="5" t="n">
        <v>24.724</v>
      </c>
      <c r="BG9" s="5" t="s">
        <v>5429</v>
      </c>
      <c r="BH9" s="5"/>
      <c r="BI9" s="5"/>
      <c r="BJ9" s="5" t="n">
        <v>6.92</v>
      </c>
      <c r="BK9" s="5" t="n">
        <v>13.2</v>
      </c>
      <c r="BL9" s="5" t="n">
        <v>1.58</v>
      </c>
      <c r="BM9" s="5" t="n">
        <v>11</v>
      </c>
      <c r="BN9" s="5" t="n">
        <v>76</v>
      </c>
      <c r="BO9" s="5" t="s">
        <v>5430</v>
      </c>
      <c r="BP9" s="5" t="s">
        <v>2112</v>
      </c>
      <c r="BQ9" s="5" t="s">
        <v>5455</v>
      </c>
      <c r="BR9" s="5" t="s">
        <v>5456</v>
      </c>
      <c r="BS9" s="5" t="s">
        <v>5433</v>
      </c>
      <c r="BT9" s="23" t="s">
        <v>5457</v>
      </c>
      <c r="BU9" s="5" t="s">
        <v>1060</v>
      </c>
      <c r="BV9" s="5" t="s">
        <v>5435</v>
      </c>
    </row>
    <row r="10" customFormat="false" ht="14.25" hidden="false" customHeight="true" outlineLevel="0" collapsed="false">
      <c r="A10" s="5" t="s">
        <v>1041</v>
      </c>
      <c r="B10" s="5" t="s">
        <v>1041</v>
      </c>
      <c r="C10" s="5" t="s">
        <v>1042</v>
      </c>
      <c r="D10" s="5" t="n">
        <v>2022</v>
      </c>
      <c r="E10" s="5" t="s">
        <v>843</v>
      </c>
      <c r="F10" s="5" t="s">
        <v>1045</v>
      </c>
      <c r="G10" s="5" t="s">
        <v>1046</v>
      </c>
      <c r="H10" s="5" t="n">
        <v>24.724</v>
      </c>
      <c r="I10" s="5" t="n">
        <v>90.437</v>
      </c>
      <c r="J10" s="5" t="s">
        <v>83</v>
      </c>
      <c r="K10" s="5" t="s">
        <v>5427</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5454</v>
      </c>
      <c r="AY10" s="5" t="n">
        <v>5</v>
      </c>
      <c r="AZ10" s="5" t="n">
        <v>3</v>
      </c>
      <c r="BA10" s="5" t="n">
        <f aca="false">IF(AND(N(AY10)&gt;0,N(AZ10)&gt;0),SQRT(2*AY10/AZ10),"")</f>
        <v>1.82574185835055</v>
      </c>
      <c r="BB10" s="5" t="n">
        <v>13</v>
      </c>
      <c r="BC10" s="5"/>
      <c r="BD10" s="5"/>
      <c r="BE10" s="5" t="n">
        <v>2400</v>
      </c>
      <c r="BF10" s="5" t="n">
        <v>24.724</v>
      </c>
      <c r="BG10" s="5" t="s">
        <v>5429</v>
      </c>
      <c r="BH10" s="5"/>
      <c r="BI10" s="5"/>
      <c r="BJ10" s="5" t="n">
        <v>6.92</v>
      </c>
      <c r="BK10" s="5" t="n">
        <v>13.2</v>
      </c>
      <c r="BL10" s="5" t="n">
        <v>1.58</v>
      </c>
      <c r="BM10" s="5" t="n">
        <v>11</v>
      </c>
      <c r="BN10" s="5" t="n">
        <v>76</v>
      </c>
      <c r="BO10" s="5" t="s">
        <v>5440</v>
      </c>
      <c r="BP10" s="5" t="s">
        <v>2112</v>
      </c>
      <c r="BQ10" s="5" t="s">
        <v>5455</v>
      </c>
      <c r="BR10" s="5" t="s">
        <v>5456</v>
      </c>
      <c r="BS10" s="5" t="s">
        <v>5441</v>
      </c>
      <c r="BT10" s="23" t="s">
        <v>5458</v>
      </c>
      <c r="BU10" s="5" t="s">
        <v>1060</v>
      </c>
      <c r="BV10" s="5" t="s">
        <v>5443</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5459</v>
      </c>
      <c r="O1" s="27" t="s">
        <v>5460</v>
      </c>
      <c r="P1" s="27" t="s">
        <v>5461</v>
      </c>
      <c r="Q1" s="27" t="s">
        <v>5462</v>
      </c>
      <c r="R1" s="27" t="s">
        <v>5463</v>
      </c>
      <c r="S1" s="27" t="s">
        <v>5464</v>
      </c>
      <c r="T1" s="27" t="s">
        <v>5465</v>
      </c>
      <c r="U1" s="27" t="s">
        <v>5466</v>
      </c>
      <c r="V1" s="30" t="s">
        <v>5467</v>
      </c>
      <c r="W1" s="30" t="s">
        <v>5468</v>
      </c>
      <c r="X1" s="30" t="s">
        <v>5469</v>
      </c>
      <c r="Y1" s="30" t="s">
        <v>5470</v>
      </c>
      <c r="Z1" s="27" t="s">
        <v>5471</v>
      </c>
      <c r="AA1" s="27" t="s">
        <v>5472</v>
      </c>
      <c r="AB1" s="27" t="s">
        <v>5473</v>
      </c>
      <c r="AC1" s="27" t="s">
        <v>5474</v>
      </c>
      <c r="AD1" s="27" t="s">
        <v>5475</v>
      </c>
      <c r="AE1" s="27" t="s">
        <v>5476</v>
      </c>
      <c r="AF1" s="27" t="s">
        <v>5477</v>
      </c>
      <c r="AG1" s="27" t="s">
        <v>5478</v>
      </c>
      <c r="AH1" s="30" t="s">
        <v>5479</v>
      </c>
      <c r="AI1" s="30" t="s">
        <v>5480</v>
      </c>
      <c r="AJ1" s="30" t="s">
        <v>5481</v>
      </c>
      <c r="AK1" s="30" t="s">
        <v>5482</v>
      </c>
      <c r="AL1" s="27" t="s">
        <v>5483</v>
      </c>
      <c r="AM1" s="27" t="s">
        <v>5484</v>
      </c>
      <c r="AN1" s="27" t="s">
        <v>5485</v>
      </c>
      <c r="AO1" s="27" t="s">
        <v>5486</v>
      </c>
      <c r="AP1" s="27" t="s">
        <v>5487</v>
      </c>
      <c r="AQ1" s="27" t="s">
        <v>5488</v>
      </c>
      <c r="AR1" s="27" t="s">
        <v>5489</v>
      </c>
      <c r="AS1" s="27" t="s">
        <v>5490</v>
      </c>
      <c r="AT1" s="30" t="s">
        <v>5491</v>
      </c>
      <c r="AU1" s="30" t="s">
        <v>5492</v>
      </c>
      <c r="AV1" s="30" t="s">
        <v>5493</v>
      </c>
      <c r="AW1" s="30" t="s">
        <v>5494</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A2" s="5" t="s">
        <v>1115</v>
      </c>
      <c r="B2" s="5" t="s">
        <v>1115</v>
      </c>
      <c r="C2" s="5" t="s">
        <v>1116</v>
      </c>
      <c r="D2" s="5" t="n">
        <v>2023</v>
      </c>
      <c r="E2" s="5" t="s">
        <v>843</v>
      </c>
      <c r="F2" s="5" t="s">
        <v>1045</v>
      </c>
      <c r="G2" s="5" t="s">
        <v>1119</v>
      </c>
      <c r="H2" s="5" t="n">
        <v>24.942</v>
      </c>
      <c r="I2" s="5" t="n">
        <v>89.928</v>
      </c>
      <c r="J2" s="5" t="s">
        <v>83</v>
      </c>
      <c r="K2" s="5" t="s">
        <v>4967</v>
      </c>
      <c r="L2" s="5" t="s">
        <v>872</v>
      </c>
      <c r="M2" s="5" t="s">
        <v>85</v>
      </c>
      <c r="N2" s="5"/>
      <c r="O2" s="5"/>
      <c r="P2" s="5"/>
      <c r="Q2" s="5"/>
      <c r="R2" s="5"/>
      <c r="S2" s="5"/>
      <c r="T2" s="5"/>
      <c r="U2" s="5"/>
      <c r="V2" s="5"/>
      <c r="W2" s="5"/>
      <c r="X2" s="5"/>
      <c r="Y2" s="5"/>
      <c r="Z2" s="5"/>
      <c r="AA2" s="5"/>
      <c r="AB2" s="5"/>
      <c r="AC2" s="5"/>
      <c r="AD2" s="5"/>
      <c r="AE2" s="5"/>
      <c r="AF2" s="5"/>
      <c r="AG2" s="5"/>
      <c r="AH2" s="5"/>
      <c r="AI2" s="5"/>
      <c r="AJ2" s="5"/>
      <c r="AK2" s="5"/>
      <c r="AL2" s="5"/>
      <c r="AM2" s="5" t="n">
        <f aca="false">ROUND(586/1097,3)</f>
        <v>0.534</v>
      </c>
      <c r="AN2" s="5"/>
      <c r="AO2" s="5"/>
      <c r="AP2" s="5" t="n">
        <f aca="false">ROUND(719/1099,3)</f>
        <v>0.654</v>
      </c>
      <c r="AQ2" s="5"/>
      <c r="AR2" s="5"/>
      <c r="AS2" s="5"/>
      <c r="AT2" s="5"/>
      <c r="AU2" s="5"/>
      <c r="AV2" s="5"/>
      <c r="AW2" s="5" t="n">
        <f aca="false">ROUND(689/1129,3)</f>
        <v>0.61</v>
      </c>
      <c r="AX2" s="5" t="n">
        <v>3</v>
      </c>
      <c r="AY2" s="5" t="n">
        <v>4</v>
      </c>
      <c r="AZ2" s="5" t="n">
        <f aca="false">IF(AND(N(AX2)&gt;0,N(AY2)&gt;0),SQRT(2*AX2/AY2),"")</f>
        <v>1.22474487139159</v>
      </c>
      <c r="BA2" s="5" t="n">
        <v>22.7</v>
      </c>
      <c r="BB2" s="5"/>
      <c r="BC2" s="5"/>
      <c r="BD2" s="5"/>
      <c r="BE2" s="5" t="n">
        <v>24.942</v>
      </c>
      <c r="BF2" s="5" t="n">
        <v>3</v>
      </c>
      <c r="BG2" s="5"/>
      <c r="BH2" s="5"/>
      <c r="BI2" s="5" t="n">
        <v>6.2</v>
      </c>
      <c r="BJ2" s="5"/>
      <c r="BK2" s="5"/>
      <c r="BL2" s="5" t="n">
        <v>47.3</v>
      </c>
      <c r="BM2" s="5" t="n">
        <v>30</v>
      </c>
      <c r="BN2" s="5" t="s">
        <v>5495</v>
      </c>
      <c r="BO2" s="5" t="s">
        <v>4969</v>
      </c>
      <c r="BP2" s="5" t="s">
        <v>4970</v>
      </c>
      <c r="BQ2" s="5" t="s">
        <v>4971</v>
      </c>
      <c r="BR2" s="5" t="s">
        <v>5496</v>
      </c>
      <c r="BS2" s="23" t="s">
        <v>5497</v>
      </c>
      <c r="BT2" s="5" t="s">
        <v>1129</v>
      </c>
      <c r="BU2" s="5" t="s">
        <v>5498</v>
      </c>
      <c r="BW2" s="33" t="s">
        <v>1543</v>
      </c>
    </row>
    <row r="3" customFormat="false" ht="15" hidden="false" customHeight="true" outlineLevel="0" collapsed="false">
      <c r="A3" s="5" t="s">
        <v>1115</v>
      </c>
      <c r="B3" s="5" t="s">
        <v>1115</v>
      </c>
      <c r="C3" s="5" t="s">
        <v>1116</v>
      </c>
      <c r="D3" s="5" t="n">
        <v>2023</v>
      </c>
      <c r="E3" s="5" t="s">
        <v>843</v>
      </c>
      <c r="F3" s="5" t="s">
        <v>1045</v>
      </c>
      <c r="G3" s="5" t="s">
        <v>1119</v>
      </c>
      <c r="H3" s="5" t="n">
        <v>24.942</v>
      </c>
      <c r="I3" s="5" t="n">
        <v>89.928</v>
      </c>
      <c r="J3" s="5" t="s">
        <v>83</v>
      </c>
      <c r="K3" s="5" t="s">
        <v>4967</v>
      </c>
      <c r="L3" s="5" t="s">
        <v>872</v>
      </c>
      <c r="M3" s="5" t="s">
        <v>85</v>
      </c>
      <c r="N3" s="5"/>
      <c r="O3" s="5"/>
      <c r="P3" s="5"/>
      <c r="Q3" s="5"/>
      <c r="R3" s="5"/>
      <c r="S3" s="5"/>
      <c r="T3" s="5"/>
      <c r="U3" s="5"/>
      <c r="V3" s="5"/>
      <c r="W3" s="5"/>
      <c r="X3" s="5"/>
      <c r="Y3" s="5"/>
      <c r="Z3" s="5"/>
      <c r="AA3" s="5"/>
      <c r="AB3" s="5"/>
      <c r="AC3" s="5"/>
      <c r="AD3" s="5"/>
      <c r="AE3" s="5"/>
      <c r="AF3" s="5"/>
      <c r="AG3" s="5"/>
      <c r="AH3" s="5"/>
      <c r="AI3" s="5"/>
      <c r="AJ3" s="5"/>
      <c r="AK3" s="5"/>
      <c r="AL3" s="5"/>
      <c r="AM3" s="5" t="n">
        <f aca="false">ROUND(938/1454,3)</f>
        <v>0.645</v>
      </c>
      <c r="AN3" s="5"/>
      <c r="AO3" s="5"/>
      <c r="AP3" s="5" t="n">
        <f aca="false">ROUND(1174/1461,3)</f>
        <v>0.804</v>
      </c>
      <c r="AQ3" s="5"/>
      <c r="AR3" s="5"/>
      <c r="AS3" s="5"/>
      <c r="AT3" s="5"/>
      <c r="AU3" s="5"/>
      <c r="AV3" s="5"/>
      <c r="AW3" s="5" t="n">
        <f aca="false">ROUND(1129.7/1493.5,3)</f>
        <v>0.756</v>
      </c>
      <c r="AX3" s="5" t="n">
        <v>3</v>
      </c>
      <c r="AY3" s="5" t="n">
        <v>4</v>
      </c>
      <c r="AZ3" s="5" t="n">
        <f aca="false">IF(AND(N(AX3)&gt;0,N(AY3)&gt;0),SQRT(2*AX3/AY3),"")</f>
        <v>1.22474487139159</v>
      </c>
      <c r="BA3" s="5" t="n">
        <v>22.7</v>
      </c>
      <c r="BB3" s="5"/>
      <c r="BC3" s="5"/>
      <c r="BD3" s="5"/>
      <c r="BE3" s="5" t="n">
        <v>24.942</v>
      </c>
      <c r="BF3" s="5" t="n">
        <v>3</v>
      </c>
      <c r="BG3" s="5"/>
      <c r="BH3" s="5"/>
      <c r="BI3" s="5" t="n">
        <v>6.2</v>
      </c>
      <c r="BJ3" s="5"/>
      <c r="BK3" s="5"/>
      <c r="BL3" s="5" t="n">
        <v>47.3</v>
      </c>
      <c r="BM3" s="5" t="n">
        <v>30</v>
      </c>
      <c r="BN3" s="5" t="s">
        <v>5495</v>
      </c>
      <c r="BO3" s="5" t="s">
        <v>4969</v>
      </c>
      <c r="BP3" s="5" t="s">
        <v>4975</v>
      </c>
      <c r="BQ3" s="5" t="s">
        <v>4971</v>
      </c>
      <c r="BR3" s="5" t="s">
        <v>5496</v>
      </c>
      <c r="BS3" s="23" t="s">
        <v>5499</v>
      </c>
      <c r="BT3" s="5" t="s">
        <v>1129</v>
      </c>
      <c r="BU3" s="5" t="s">
        <v>5498</v>
      </c>
    </row>
    <row r="4" customFormat="false" ht="15" hidden="false" customHeight="true" outlineLevel="0" collapsed="false">
      <c r="A4" s="24" t="n">
        <v>175</v>
      </c>
      <c r="B4" s="24" t="n">
        <v>175</v>
      </c>
      <c r="C4" s="24" t="s">
        <v>1170</v>
      </c>
      <c r="D4" s="24" t="n">
        <v>2022</v>
      </c>
      <c r="E4" s="24" t="s">
        <v>1171</v>
      </c>
      <c r="F4" s="24" t="s">
        <v>1045</v>
      </c>
      <c r="G4" s="24" t="s">
        <v>1174</v>
      </c>
      <c r="H4" s="24" t="n">
        <v>24.4514</v>
      </c>
      <c r="I4" s="24" t="n">
        <v>90.2411</v>
      </c>
      <c r="J4" s="24" t="s">
        <v>83</v>
      </c>
      <c r="K4" s="24" t="s">
        <v>5011</v>
      </c>
      <c r="L4" s="24" t="s">
        <v>872</v>
      </c>
      <c r="M4" s="24" t="s">
        <v>85</v>
      </c>
      <c r="N4" s="24"/>
      <c r="O4" s="24" t="n">
        <f aca="false">ROUND(1.12-1,2)</f>
        <v>0.12</v>
      </c>
      <c r="P4" s="24"/>
      <c r="Q4" s="24"/>
      <c r="R4" s="24" t="n">
        <f aca="false">ROUND(1.52-1,2)</f>
        <v>0.52</v>
      </c>
      <c r="S4" s="24"/>
      <c r="T4" s="24"/>
      <c r="U4" s="24"/>
      <c r="V4" s="24"/>
      <c r="W4" s="24"/>
      <c r="X4" s="24"/>
      <c r="Y4" s="24"/>
      <c r="Z4" s="24"/>
      <c r="AA4" s="24" t="n">
        <f aca="false">ROUND(1.07-1,2)</f>
        <v>0.07</v>
      </c>
      <c r="AB4" s="24"/>
      <c r="AC4" s="24"/>
      <c r="AD4" s="24" t="n">
        <f aca="false">ROUND(1.33-1,2)</f>
        <v>0.33</v>
      </c>
      <c r="AE4" s="24"/>
      <c r="AF4" s="24"/>
      <c r="AG4" s="24"/>
      <c r="AH4" s="24"/>
      <c r="AI4" s="24"/>
      <c r="AJ4" s="24"/>
      <c r="AK4" s="24"/>
      <c r="AL4" s="24"/>
      <c r="AM4" s="24"/>
      <c r="AN4" s="24"/>
      <c r="AO4" s="24"/>
      <c r="AP4" s="24"/>
      <c r="AQ4" s="24"/>
      <c r="AR4" s="24"/>
      <c r="AS4" s="24"/>
      <c r="AT4" s="24"/>
      <c r="AU4" s="24"/>
      <c r="AV4" s="24"/>
      <c r="AW4" s="24"/>
      <c r="AX4" s="24" t="n">
        <v>4</v>
      </c>
      <c r="AY4" s="24" t="n">
        <v>4</v>
      </c>
      <c r="AZ4" s="24" t="n">
        <f aca="false">IF(AND(N(AX4)&gt;0,N(AY4)&gt;0),SQRT(2*AX4/AY4),"")</f>
        <v>1.4142135623731</v>
      </c>
      <c r="BA4" s="24" t="n">
        <v>28</v>
      </c>
      <c r="BB4" s="24" t="n">
        <v>12</v>
      </c>
      <c r="BC4" s="24" t="n">
        <v>33</v>
      </c>
      <c r="BD4" s="24" t="n">
        <v>172</v>
      </c>
      <c r="BE4" s="24" t="n">
        <v>24.4514</v>
      </c>
      <c r="BF4" s="24" t="n">
        <v>2</v>
      </c>
      <c r="BG4" s="24"/>
      <c r="BH4" s="24"/>
      <c r="BI4" s="24" t="n">
        <v>6.81</v>
      </c>
      <c r="BJ4" s="24"/>
      <c r="BK4" s="24"/>
      <c r="BL4" s="24" t="n">
        <v>52</v>
      </c>
      <c r="BM4" s="24" t="n">
        <v>20</v>
      </c>
      <c r="BN4" s="24" t="s">
        <v>5500</v>
      </c>
      <c r="BO4" s="24" t="s">
        <v>5013</v>
      </c>
      <c r="BP4" s="24" t="s">
        <v>5014</v>
      </c>
      <c r="BQ4" s="24" t="s">
        <v>5015</v>
      </c>
      <c r="BR4" s="24" t="s">
        <v>5501</v>
      </c>
      <c r="BS4" s="25" t="s">
        <v>5502</v>
      </c>
      <c r="BT4" s="24" t="s">
        <v>1188</v>
      </c>
      <c r="BU4" s="24" t="s">
        <v>5503</v>
      </c>
    </row>
    <row r="5" customFormat="false" ht="15" hidden="false" customHeight="true" outlineLevel="0" collapsed="false">
      <c r="A5" s="24" t="n">
        <v>176</v>
      </c>
      <c r="B5" s="24" t="n">
        <v>176</v>
      </c>
      <c r="C5" s="24" t="s">
        <v>1191</v>
      </c>
      <c r="D5" s="24" t="n">
        <v>2015</v>
      </c>
      <c r="E5" s="24" t="s">
        <v>1192</v>
      </c>
      <c r="F5" s="24" t="s">
        <v>1195</v>
      </c>
      <c r="G5" s="24" t="s">
        <v>1196</v>
      </c>
      <c r="H5" s="24" t="n">
        <v>41.55</v>
      </c>
      <c r="I5" s="24" t="n">
        <v>60.63</v>
      </c>
      <c r="J5" s="24" t="s">
        <v>921</v>
      </c>
      <c r="K5" s="24" t="s">
        <v>2355</v>
      </c>
      <c r="L5" s="24" t="s">
        <v>872</v>
      </c>
      <c r="M5" s="24" t="s">
        <v>85</v>
      </c>
      <c r="N5" s="24" t="n">
        <v>2.29</v>
      </c>
      <c r="O5" s="24"/>
      <c r="P5" s="24" t="n">
        <v>3.66</v>
      </c>
      <c r="Q5" s="24"/>
      <c r="R5" s="24"/>
      <c r="S5" s="24"/>
      <c r="T5" s="24"/>
      <c r="U5" s="24"/>
      <c r="V5" s="24"/>
      <c r="W5" s="24"/>
      <c r="X5" s="24"/>
      <c r="Y5" s="24"/>
      <c r="Z5" s="24" t="n">
        <v>1.39</v>
      </c>
      <c r="AA5" s="24"/>
      <c r="AB5" s="24" t="n">
        <v>1.87</v>
      </c>
      <c r="AC5" s="24"/>
      <c r="AD5" s="24"/>
      <c r="AE5" s="24"/>
      <c r="AF5" s="24"/>
      <c r="AG5" s="24"/>
      <c r="AH5" s="24"/>
      <c r="AI5" s="24"/>
      <c r="AJ5" s="24"/>
      <c r="AK5" s="24"/>
      <c r="AL5" s="24" t="n">
        <v>1.72</v>
      </c>
      <c r="AM5" s="24"/>
      <c r="AN5" s="24" t="n">
        <v>2.5</v>
      </c>
      <c r="AO5" s="24"/>
      <c r="AP5" s="24"/>
      <c r="AQ5" s="24"/>
      <c r="AR5" s="24"/>
      <c r="AS5" s="24"/>
      <c r="AT5" s="24"/>
      <c r="AU5" s="24"/>
      <c r="AV5" s="24"/>
      <c r="AW5" s="24"/>
      <c r="AX5" s="24" t="n">
        <v>6</v>
      </c>
      <c r="AY5" s="24" t="n">
        <v>4</v>
      </c>
      <c r="AZ5" s="24" t="n">
        <f aca="false">IF(AND(N(AX5)&gt;0,N(AY5)&gt;0),SQRT(2*AX5/AY5),"")</f>
        <v>1.73205080756888</v>
      </c>
      <c r="BA5" s="24" t="n">
        <v>19</v>
      </c>
      <c r="BB5" s="24" t="n">
        <v>-7</v>
      </c>
      <c r="BC5" s="24" t="n">
        <v>40</v>
      </c>
      <c r="BD5" s="24" t="n">
        <v>100</v>
      </c>
      <c r="BE5" s="24" t="n">
        <v>41.55</v>
      </c>
      <c r="BF5" s="24" t="n">
        <v>1</v>
      </c>
      <c r="BG5" s="24" t="n">
        <v>13.4</v>
      </c>
      <c r="BH5" s="24"/>
      <c r="BI5" s="24"/>
      <c r="BJ5" s="24" t="n">
        <v>3.6</v>
      </c>
      <c r="BK5" s="24" t="n">
        <v>1.35</v>
      </c>
      <c r="BL5" s="24" t="n">
        <v>23</v>
      </c>
      <c r="BM5" s="24" t="n">
        <v>58</v>
      </c>
      <c r="BN5" s="24" t="s">
        <v>5504</v>
      </c>
      <c r="BO5" s="24" t="s">
        <v>3590</v>
      </c>
      <c r="BP5" s="24" t="s">
        <v>5505</v>
      </c>
      <c r="BQ5" s="24" t="s">
        <v>3592</v>
      </c>
      <c r="BR5" s="24" t="s">
        <v>2047</v>
      </c>
      <c r="BS5" s="25" t="s">
        <v>5506</v>
      </c>
      <c r="BT5" s="24" t="s">
        <v>1211</v>
      </c>
      <c r="BU5" s="24" t="s">
        <v>5507</v>
      </c>
    </row>
    <row r="6" customFormat="false" ht="15" hidden="false" customHeight="true" outlineLevel="0" collapsed="false">
      <c r="A6" s="24" t="n">
        <v>176</v>
      </c>
      <c r="B6" s="24" t="n">
        <v>176</v>
      </c>
      <c r="C6" s="24" t="s">
        <v>1191</v>
      </c>
      <c r="D6" s="24" t="n">
        <v>2015</v>
      </c>
      <c r="E6" s="24" t="s">
        <v>1192</v>
      </c>
      <c r="F6" s="24" t="s">
        <v>1195</v>
      </c>
      <c r="G6" s="24" t="s">
        <v>1196</v>
      </c>
      <c r="H6" s="24" t="n">
        <v>41.55</v>
      </c>
      <c r="I6" s="24" t="n">
        <v>60.63</v>
      </c>
      <c r="J6" s="24" t="s">
        <v>921</v>
      </c>
      <c r="K6" s="24" t="s">
        <v>2355</v>
      </c>
      <c r="L6" s="24" t="s">
        <v>872</v>
      </c>
      <c r="M6" s="24" t="s">
        <v>85</v>
      </c>
      <c r="N6" s="24" t="n">
        <v>1.85</v>
      </c>
      <c r="O6" s="24"/>
      <c r="P6" s="24" t="n">
        <v>3.66</v>
      </c>
      <c r="Q6" s="24"/>
      <c r="R6" s="24"/>
      <c r="S6" s="24"/>
      <c r="T6" s="24"/>
      <c r="U6" s="24"/>
      <c r="V6" s="24"/>
      <c r="W6" s="24"/>
      <c r="X6" s="24"/>
      <c r="Y6" s="24"/>
      <c r="Z6" s="24" t="n">
        <v>0.8</v>
      </c>
      <c r="AA6" s="24"/>
      <c r="AB6" s="24" t="n">
        <v>1.87</v>
      </c>
      <c r="AC6" s="24"/>
      <c r="AD6" s="24"/>
      <c r="AE6" s="24"/>
      <c r="AF6" s="24"/>
      <c r="AG6" s="24"/>
      <c r="AH6" s="24"/>
      <c r="AI6" s="24"/>
      <c r="AJ6" s="24"/>
      <c r="AK6" s="24"/>
      <c r="AL6" s="24" t="n">
        <v>1.18</v>
      </c>
      <c r="AM6" s="24"/>
      <c r="AN6" s="24" t="n">
        <v>2.5</v>
      </c>
      <c r="AO6" s="24"/>
      <c r="AP6" s="24"/>
      <c r="AQ6" s="24"/>
      <c r="AR6" s="24"/>
      <c r="AS6" s="24"/>
      <c r="AT6" s="24"/>
      <c r="AU6" s="24"/>
      <c r="AV6" s="24"/>
      <c r="AW6" s="24"/>
      <c r="AX6" s="24" t="n">
        <v>6</v>
      </c>
      <c r="AY6" s="24" t="n">
        <v>4</v>
      </c>
      <c r="AZ6" s="24" t="n">
        <f aca="false">IF(AND(N(AX6)&gt;0,N(AY6)&gt;0),SQRT(2*AX6/AY6),"")</f>
        <v>1.73205080756888</v>
      </c>
      <c r="BA6" s="24" t="n">
        <v>19</v>
      </c>
      <c r="BB6" s="24" t="n">
        <v>-7</v>
      </c>
      <c r="BC6" s="24" t="n">
        <v>40</v>
      </c>
      <c r="BD6" s="24" t="n">
        <v>100</v>
      </c>
      <c r="BE6" s="24" t="n">
        <v>41.55</v>
      </c>
      <c r="BF6" s="24" t="n">
        <v>1</v>
      </c>
      <c r="BG6" s="24" t="n">
        <v>13.4</v>
      </c>
      <c r="BH6" s="24"/>
      <c r="BI6" s="24"/>
      <c r="BJ6" s="24" t="n">
        <v>3.6</v>
      </c>
      <c r="BK6" s="24" t="n">
        <v>1.35</v>
      </c>
      <c r="BL6" s="24" t="n">
        <v>23</v>
      </c>
      <c r="BM6" s="24" t="n">
        <v>58</v>
      </c>
      <c r="BN6" s="24" t="s">
        <v>5504</v>
      </c>
      <c r="BO6" s="24" t="s">
        <v>3590</v>
      </c>
      <c r="BP6" s="24" t="s">
        <v>5505</v>
      </c>
      <c r="BQ6" s="24" t="s">
        <v>3592</v>
      </c>
      <c r="BR6" s="24" t="s">
        <v>2047</v>
      </c>
      <c r="BS6" s="25" t="s">
        <v>5508</v>
      </c>
      <c r="BT6" s="24" t="s">
        <v>1211</v>
      </c>
      <c r="BU6" s="24" t="s">
        <v>5507</v>
      </c>
    </row>
    <row r="7" customFormat="false" ht="15" hidden="false" customHeight="true" outlineLevel="0" collapsed="false">
      <c r="A7" s="24" t="n">
        <v>176</v>
      </c>
      <c r="B7" s="24" t="n">
        <v>176</v>
      </c>
      <c r="C7" s="24" t="s">
        <v>1191</v>
      </c>
      <c r="D7" s="24" t="n">
        <v>2015</v>
      </c>
      <c r="E7" s="24" t="s">
        <v>1192</v>
      </c>
      <c r="F7" s="24" t="s">
        <v>1195</v>
      </c>
      <c r="G7" s="24" t="s">
        <v>1196</v>
      </c>
      <c r="H7" s="24" t="n">
        <v>41.55</v>
      </c>
      <c r="I7" s="24" t="n">
        <v>60.63</v>
      </c>
      <c r="J7" s="24" t="s">
        <v>921</v>
      </c>
      <c r="K7" s="24" t="s">
        <v>2355</v>
      </c>
      <c r="L7" s="24" t="s">
        <v>872</v>
      </c>
      <c r="M7" s="24" t="s">
        <v>85</v>
      </c>
      <c r="N7" s="24" t="n">
        <v>2.37</v>
      </c>
      <c r="O7" s="24"/>
      <c r="P7" s="24" t="n">
        <v>2.94</v>
      </c>
      <c r="Q7" s="24"/>
      <c r="R7" s="24"/>
      <c r="S7" s="24"/>
      <c r="T7" s="24"/>
      <c r="U7" s="24"/>
      <c r="V7" s="24"/>
      <c r="W7" s="24"/>
      <c r="X7" s="24"/>
      <c r="Y7" s="24"/>
      <c r="Z7" s="24" t="n">
        <v>1.1</v>
      </c>
      <c r="AA7" s="24"/>
      <c r="AB7" s="24" t="n">
        <v>1.7</v>
      </c>
      <c r="AC7" s="24"/>
      <c r="AD7" s="24"/>
      <c r="AE7" s="24"/>
      <c r="AF7" s="24"/>
      <c r="AG7" s="24"/>
      <c r="AH7" s="24"/>
      <c r="AI7" s="24"/>
      <c r="AJ7" s="24"/>
      <c r="AK7" s="24"/>
      <c r="AL7" s="24" t="n">
        <v>1.56</v>
      </c>
      <c r="AM7" s="24"/>
      <c r="AN7" s="24" t="n">
        <v>2.14</v>
      </c>
      <c r="AO7" s="24"/>
      <c r="AP7" s="24"/>
      <c r="AQ7" s="24"/>
      <c r="AR7" s="24"/>
      <c r="AS7" s="24"/>
      <c r="AT7" s="24"/>
      <c r="AU7" s="24"/>
      <c r="AV7" s="24"/>
      <c r="AW7" s="24"/>
      <c r="AX7" s="24" t="n">
        <v>6</v>
      </c>
      <c r="AY7" s="24" t="n">
        <v>4</v>
      </c>
      <c r="AZ7" s="24" t="n">
        <f aca="false">IF(AND(N(AX7)&gt;0,N(AY7)&gt;0),SQRT(2*AX7/AY7),"")</f>
        <v>1.73205080756888</v>
      </c>
      <c r="BA7" s="24" t="n">
        <v>19</v>
      </c>
      <c r="BB7" s="24" t="n">
        <v>-7</v>
      </c>
      <c r="BC7" s="24" t="n">
        <v>40</v>
      </c>
      <c r="BD7" s="24" t="n">
        <v>100</v>
      </c>
      <c r="BE7" s="24" t="n">
        <v>41.55</v>
      </c>
      <c r="BF7" s="24" t="n">
        <v>1</v>
      </c>
      <c r="BG7" s="24" t="n">
        <v>13.4</v>
      </c>
      <c r="BH7" s="24"/>
      <c r="BI7" s="24"/>
      <c r="BJ7" s="24" t="n">
        <v>3.6</v>
      </c>
      <c r="BK7" s="24" t="n">
        <v>1.35</v>
      </c>
      <c r="BL7" s="24" t="n">
        <v>23</v>
      </c>
      <c r="BM7" s="24" t="n">
        <v>58</v>
      </c>
      <c r="BN7" s="24" t="s">
        <v>5504</v>
      </c>
      <c r="BO7" s="24" t="s">
        <v>3590</v>
      </c>
      <c r="BP7" s="24" t="s">
        <v>5505</v>
      </c>
      <c r="BQ7" s="24" t="s">
        <v>3592</v>
      </c>
      <c r="BR7" s="24" t="s">
        <v>2047</v>
      </c>
      <c r="BS7" s="25" t="s">
        <v>5509</v>
      </c>
      <c r="BT7" s="24" t="s">
        <v>1211</v>
      </c>
      <c r="BU7" s="24" t="s">
        <v>5507</v>
      </c>
    </row>
    <row r="8" customFormat="false" ht="15" hidden="false" customHeight="true" outlineLevel="0" collapsed="false">
      <c r="A8" s="24" t="n">
        <v>176</v>
      </c>
      <c r="B8" s="24" t="n">
        <v>176</v>
      </c>
      <c r="C8" s="24" t="s">
        <v>1191</v>
      </c>
      <c r="D8" s="24" t="n">
        <v>2015</v>
      </c>
      <c r="E8" s="24" t="s">
        <v>1192</v>
      </c>
      <c r="F8" s="24" t="s">
        <v>1195</v>
      </c>
      <c r="G8" s="24" t="s">
        <v>1196</v>
      </c>
      <c r="H8" s="24" t="n">
        <v>41.55</v>
      </c>
      <c r="I8" s="24" t="n">
        <v>60.63</v>
      </c>
      <c r="J8" s="24" t="s">
        <v>921</v>
      </c>
      <c r="K8" s="24" t="s">
        <v>2355</v>
      </c>
      <c r="L8" s="24" t="s">
        <v>872</v>
      </c>
      <c r="M8" s="24" t="s">
        <v>85</v>
      </c>
      <c r="N8" s="24" t="n">
        <v>1.91</v>
      </c>
      <c r="O8" s="24"/>
      <c r="P8" s="24" t="n">
        <v>2.94</v>
      </c>
      <c r="Q8" s="24"/>
      <c r="R8" s="24"/>
      <c r="S8" s="24"/>
      <c r="T8" s="24"/>
      <c r="U8" s="24"/>
      <c r="V8" s="24"/>
      <c r="W8" s="24"/>
      <c r="X8" s="24"/>
      <c r="Y8" s="24"/>
      <c r="Z8" s="24" t="n">
        <v>0.75</v>
      </c>
      <c r="AA8" s="24"/>
      <c r="AB8" s="24" t="n">
        <v>1.7</v>
      </c>
      <c r="AC8" s="24"/>
      <c r="AD8" s="24"/>
      <c r="AE8" s="24"/>
      <c r="AF8" s="24"/>
      <c r="AG8" s="24"/>
      <c r="AH8" s="24"/>
      <c r="AI8" s="24"/>
      <c r="AJ8" s="24"/>
      <c r="AK8" s="24"/>
      <c r="AL8" s="24" t="n">
        <v>1.17</v>
      </c>
      <c r="AM8" s="24"/>
      <c r="AN8" s="24" t="n">
        <v>2.14</v>
      </c>
      <c r="AO8" s="24"/>
      <c r="AP8" s="24"/>
      <c r="AQ8" s="24"/>
      <c r="AR8" s="24"/>
      <c r="AS8" s="24"/>
      <c r="AT8" s="24"/>
      <c r="AU8" s="24"/>
      <c r="AV8" s="24"/>
      <c r="AW8" s="24"/>
      <c r="AX8" s="24" t="n">
        <v>6</v>
      </c>
      <c r="AY8" s="24" t="n">
        <v>4</v>
      </c>
      <c r="AZ8" s="24" t="n">
        <f aca="false">IF(AND(N(AX8)&gt;0,N(AY8)&gt;0),SQRT(2*AX8/AY8),"")</f>
        <v>1.73205080756888</v>
      </c>
      <c r="BA8" s="24" t="n">
        <v>19</v>
      </c>
      <c r="BB8" s="24" t="n">
        <v>-7</v>
      </c>
      <c r="BC8" s="24" t="n">
        <v>40</v>
      </c>
      <c r="BD8" s="24" t="n">
        <v>100</v>
      </c>
      <c r="BE8" s="24" t="n">
        <v>41.55</v>
      </c>
      <c r="BF8" s="24" t="n">
        <v>1</v>
      </c>
      <c r="BG8" s="24" t="n">
        <v>13.4</v>
      </c>
      <c r="BH8" s="24"/>
      <c r="BI8" s="24"/>
      <c r="BJ8" s="24" t="n">
        <v>3.6</v>
      </c>
      <c r="BK8" s="24" t="n">
        <v>1.35</v>
      </c>
      <c r="BL8" s="24" t="n">
        <v>23</v>
      </c>
      <c r="BM8" s="24" t="n">
        <v>58</v>
      </c>
      <c r="BN8" s="24" t="s">
        <v>5504</v>
      </c>
      <c r="BO8" s="24" t="s">
        <v>3590</v>
      </c>
      <c r="BP8" s="24" t="s">
        <v>5505</v>
      </c>
      <c r="BQ8" s="24" t="s">
        <v>3592</v>
      </c>
      <c r="BR8" s="24" t="s">
        <v>2047</v>
      </c>
      <c r="BS8" s="25" t="s">
        <v>5510</v>
      </c>
      <c r="BT8" s="24" t="s">
        <v>1211</v>
      </c>
      <c r="BU8" s="24" t="s">
        <v>5507</v>
      </c>
    </row>
    <row r="9" customFormat="false" ht="14.25" hidden="false" customHeight="false" outlineLevel="0" collapsed="false">
      <c r="A9" s="24" t="n">
        <v>176</v>
      </c>
      <c r="B9" s="24" t="n">
        <v>176</v>
      </c>
      <c r="C9" s="24" t="s">
        <v>1191</v>
      </c>
      <c r="D9" s="24" t="n">
        <v>2015</v>
      </c>
      <c r="E9" s="24" t="s">
        <v>1192</v>
      </c>
      <c r="F9" s="24" t="s">
        <v>1195</v>
      </c>
      <c r="G9" s="24" t="s">
        <v>1196</v>
      </c>
      <c r="H9" s="24" t="n">
        <v>41.55</v>
      </c>
      <c r="I9" s="24" t="n">
        <v>60.63</v>
      </c>
      <c r="J9" s="24" t="s">
        <v>921</v>
      </c>
      <c r="K9" s="24" t="s">
        <v>4865</v>
      </c>
      <c r="L9" s="24" t="s">
        <v>872</v>
      </c>
      <c r="M9" s="24" t="s">
        <v>85</v>
      </c>
      <c r="N9" s="24" t="n">
        <v>1.84</v>
      </c>
      <c r="O9" s="24"/>
      <c r="P9" s="24" t="n">
        <v>2.43</v>
      </c>
      <c r="Q9" s="24"/>
      <c r="R9" s="24"/>
      <c r="S9" s="24"/>
      <c r="T9" s="24"/>
      <c r="U9" s="24"/>
      <c r="V9" s="24"/>
      <c r="W9" s="24"/>
      <c r="X9" s="24"/>
      <c r="Y9" s="24"/>
      <c r="Z9" s="24" t="n">
        <v>1.06</v>
      </c>
      <c r="AA9" s="24"/>
      <c r="AB9" s="24" t="n">
        <v>1.68</v>
      </c>
      <c r="AC9" s="24"/>
      <c r="AD9" s="24"/>
      <c r="AE9" s="24"/>
      <c r="AF9" s="24"/>
      <c r="AG9" s="24"/>
      <c r="AH9" s="24"/>
      <c r="AI9" s="24"/>
      <c r="AJ9" s="24"/>
      <c r="AK9" s="24"/>
      <c r="AL9" s="24" t="n">
        <v>1.38</v>
      </c>
      <c r="AM9" s="24"/>
      <c r="AN9" s="24" t="n">
        <v>1.98</v>
      </c>
      <c r="AO9" s="24"/>
      <c r="AP9" s="24"/>
      <c r="AQ9" s="24"/>
      <c r="AR9" s="24"/>
      <c r="AS9" s="24"/>
      <c r="AT9" s="24"/>
      <c r="AU9" s="24"/>
      <c r="AV9" s="24"/>
      <c r="AW9" s="24"/>
      <c r="AX9" s="24" t="n">
        <v>6</v>
      </c>
      <c r="AY9" s="24" t="n">
        <v>4</v>
      </c>
      <c r="AZ9" s="24" t="n">
        <f aca="false">IF(AND(N(AX9)&gt;0,N(AY9)&gt;0),SQRT(2*AX9/AY9),"")</f>
        <v>1.73205080756888</v>
      </c>
      <c r="BA9" s="24" t="n">
        <v>19</v>
      </c>
      <c r="BB9" s="24" t="n">
        <v>-7</v>
      </c>
      <c r="BC9" s="24" t="n">
        <v>40</v>
      </c>
      <c r="BD9" s="24" t="n">
        <v>100</v>
      </c>
      <c r="BE9" s="24" t="n">
        <v>41.55</v>
      </c>
      <c r="BF9" s="24" t="n">
        <v>2</v>
      </c>
      <c r="BG9" s="24" t="n">
        <v>13.4</v>
      </c>
      <c r="BH9" s="24"/>
      <c r="BI9" s="24"/>
      <c r="BJ9" s="24" t="n">
        <v>3.6</v>
      </c>
      <c r="BK9" s="24" t="n">
        <v>1.35</v>
      </c>
      <c r="BL9" s="24" t="n">
        <v>23</v>
      </c>
      <c r="BM9" s="24" t="n">
        <v>58</v>
      </c>
      <c r="BN9" s="24" t="s">
        <v>5504</v>
      </c>
      <c r="BO9" s="24" t="s">
        <v>3590</v>
      </c>
      <c r="BP9" s="24" t="s">
        <v>5511</v>
      </c>
      <c r="BQ9" s="24" t="s">
        <v>3592</v>
      </c>
      <c r="BR9" s="24" t="s">
        <v>2047</v>
      </c>
      <c r="BS9" s="25" t="s">
        <v>5512</v>
      </c>
      <c r="BT9" s="24" t="s">
        <v>1211</v>
      </c>
      <c r="BU9" s="24" t="s">
        <v>5507</v>
      </c>
    </row>
    <row r="10" customFormat="false" ht="14.25" hidden="false" customHeight="false" outlineLevel="0" collapsed="false">
      <c r="A10" s="24" t="n">
        <v>176</v>
      </c>
      <c r="B10" s="24" t="n">
        <v>176</v>
      </c>
      <c r="C10" s="24" t="s">
        <v>1191</v>
      </c>
      <c r="D10" s="24" t="n">
        <v>2015</v>
      </c>
      <c r="E10" s="24" t="s">
        <v>1192</v>
      </c>
      <c r="F10" s="24" t="s">
        <v>1195</v>
      </c>
      <c r="G10" s="24" t="s">
        <v>1196</v>
      </c>
      <c r="H10" s="24" t="n">
        <v>41.55</v>
      </c>
      <c r="I10" s="24" t="n">
        <v>60.63</v>
      </c>
      <c r="J10" s="24" t="s">
        <v>921</v>
      </c>
      <c r="K10" s="24" t="s">
        <v>4865</v>
      </c>
      <c r="L10" s="24" t="s">
        <v>872</v>
      </c>
      <c r="M10" s="24" t="s">
        <v>85</v>
      </c>
      <c r="N10" s="24" t="n">
        <v>1.53</v>
      </c>
      <c r="O10" s="24"/>
      <c r="P10" s="24" t="n">
        <v>2.43</v>
      </c>
      <c r="Q10" s="24"/>
      <c r="R10" s="24"/>
      <c r="S10" s="24"/>
      <c r="T10" s="24"/>
      <c r="U10" s="24"/>
      <c r="V10" s="24"/>
      <c r="W10" s="24"/>
      <c r="X10" s="24"/>
      <c r="Y10" s="24"/>
      <c r="Z10" s="24" t="n">
        <v>0.06</v>
      </c>
      <c r="AA10" s="24"/>
      <c r="AB10" s="24" t="n">
        <v>1.68</v>
      </c>
      <c r="AC10" s="24"/>
      <c r="AD10" s="24"/>
      <c r="AE10" s="24"/>
      <c r="AF10" s="24"/>
      <c r="AG10" s="24"/>
      <c r="AH10" s="24"/>
      <c r="AI10" s="24"/>
      <c r="AJ10" s="24"/>
      <c r="AK10" s="24"/>
      <c r="AL10" s="24" t="n">
        <v>0.65</v>
      </c>
      <c r="AM10" s="24"/>
      <c r="AN10" s="24" t="n">
        <v>1.98</v>
      </c>
      <c r="AO10" s="24"/>
      <c r="AP10" s="24"/>
      <c r="AQ10" s="24"/>
      <c r="AR10" s="24"/>
      <c r="AS10" s="24"/>
      <c r="AT10" s="24"/>
      <c r="AU10" s="24"/>
      <c r="AV10" s="24"/>
      <c r="AW10" s="24"/>
      <c r="AX10" s="24" t="n">
        <v>6</v>
      </c>
      <c r="AY10" s="24" t="n">
        <v>4</v>
      </c>
      <c r="AZ10" s="24" t="n">
        <f aca="false">IF(AND(N(AX10)&gt;0,N(AY10)&gt;0),SQRT(2*AX10/AY10),"")</f>
        <v>1.73205080756888</v>
      </c>
      <c r="BA10" s="24" t="n">
        <v>19</v>
      </c>
      <c r="BB10" s="24" t="n">
        <v>-7</v>
      </c>
      <c r="BC10" s="24" t="n">
        <v>40</v>
      </c>
      <c r="BD10" s="24" t="n">
        <v>100</v>
      </c>
      <c r="BE10" s="24" t="n">
        <v>41.55</v>
      </c>
      <c r="BF10" s="24" t="n">
        <v>2</v>
      </c>
      <c r="BG10" s="24" t="n">
        <v>13.4</v>
      </c>
      <c r="BH10" s="24"/>
      <c r="BI10" s="24"/>
      <c r="BJ10" s="24" t="n">
        <v>3.6</v>
      </c>
      <c r="BK10" s="24" t="n">
        <v>1.35</v>
      </c>
      <c r="BL10" s="24" t="n">
        <v>23</v>
      </c>
      <c r="BM10" s="24" t="n">
        <v>58</v>
      </c>
      <c r="BN10" s="24" t="s">
        <v>5504</v>
      </c>
      <c r="BO10" s="24" t="s">
        <v>3590</v>
      </c>
      <c r="BP10" s="24" t="s">
        <v>5511</v>
      </c>
      <c r="BQ10" s="24" t="s">
        <v>3592</v>
      </c>
      <c r="BR10" s="24" t="s">
        <v>2047</v>
      </c>
      <c r="BS10" s="25" t="s">
        <v>5513</v>
      </c>
      <c r="BT10" s="24" t="s">
        <v>1211</v>
      </c>
      <c r="BU10" s="24" t="s">
        <v>5507</v>
      </c>
    </row>
    <row r="11" customFormat="false" ht="14.25" hidden="false" customHeight="false" outlineLevel="0" collapsed="false">
      <c r="A11" s="24" t="n">
        <v>176</v>
      </c>
      <c r="B11" s="24" t="n">
        <v>176</v>
      </c>
      <c r="C11" s="24" t="s">
        <v>1191</v>
      </c>
      <c r="D11" s="24" t="n">
        <v>2015</v>
      </c>
      <c r="E11" s="24" t="s">
        <v>1192</v>
      </c>
      <c r="F11" s="24" t="s">
        <v>1195</v>
      </c>
      <c r="G11" s="24" t="s">
        <v>1196</v>
      </c>
      <c r="H11" s="24" t="n">
        <v>41.55</v>
      </c>
      <c r="I11" s="24" t="n">
        <v>60.63</v>
      </c>
      <c r="J11" s="24" t="s">
        <v>921</v>
      </c>
      <c r="K11" s="24" t="s">
        <v>4865</v>
      </c>
      <c r="L11" s="24" t="s">
        <v>872</v>
      </c>
      <c r="M11" s="24" t="s">
        <v>85</v>
      </c>
      <c r="N11" s="24" t="n">
        <v>1.73</v>
      </c>
      <c r="O11" s="24"/>
      <c r="P11" s="24" t="n">
        <v>2.56</v>
      </c>
      <c r="Q11" s="24"/>
      <c r="R11" s="24"/>
      <c r="S11" s="24"/>
      <c r="T11" s="24"/>
      <c r="U11" s="24"/>
      <c r="V11" s="24"/>
      <c r="W11" s="24"/>
      <c r="X11" s="24"/>
      <c r="Y11" s="24"/>
      <c r="Z11" s="24" t="n">
        <v>0.8</v>
      </c>
      <c r="AA11" s="24"/>
      <c r="AB11" s="24" t="n">
        <v>1.9</v>
      </c>
      <c r="AC11" s="24"/>
      <c r="AD11" s="24"/>
      <c r="AE11" s="24"/>
      <c r="AF11" s="24"/>
      <c r="AG11" s="24"/>
      <c r="AH11" s="24"/>
      <c r="AI11" s="24"/>
      <c r="AJ11" s="24"/>
      <c r="AK11" s="24"/>
      <c r="AL11" s="24" t="n">
        <v>1.18</v>
      </c>
      <c r="AM11" s="24"/>
      <c r="AN11" s="24" t="n">
        <v>2.16</v>
      </c>
      <c r="AO11" s="24"/>
      <c r="AP11" s="24"/>
      <c r="AQ11" s="24"/>
      <c r="AR11" s="24"/>
      <c r="AS11" s="24"/>
      <c r="AT11" s="24"/>
      <c r="AU11" s="24"/>
      <c r="AV11" s="24"/>
      <c r="AW11" s="24"/>
      <c r="AX11" s="24" t="n">
        <v>6</v>
      </c>
      <c r="AY11" s="24" t="n">
        <v>4</v>
      </c>
      <c r="AZ11" s="24" t="n">
        <f aca="false">IF(AND(N(AX11)&gt;0,N(AY11)&gt;0),SQRT(2*AX11/AY11),"")</f>
        <v>1.73205080756888</v>
      </c>
      <c r="BA11" s="24" t="n">
        <v>19</v>
      </c>
      <c r="BB11" s="24" t="n">
        <v>-7</v>
      </c>
      <c r="BC11" s="24" t="n">
        <v>40</v>
      </c>
      <c r="BD11" s="24" t="n">
        <v>100</v>
      </c>
      <c r="BE11" s="24" t="n">
        <v>41.55</v>
      </c>
      <c r="BF11" s="24" t="n">
        <v>2</v>
      </c>
      <c r="BG11" s="24" t="n">
        <v>13.4</v>
      </c>
      <c r="BH11" s="24"/>
      <c r="BI11" s="24"/>
      <c r="BJ11" s="24" t="n">
        <v>3.6</v>
      </c>
      <c r="BK11" s="24" t="n">
        <v>1.35</v>
      </c>
      <c r="BL11" s="24" t="n">
        <v>23</v>
      </c>
      <c r="BM11" s="24" t="n">
        <v>58</v>
      </c>
      <c r="BN11" s="24" t="s">
        <v>5504</v>
      </c>
      <c r="BO11" s="24" t="s">
        <v>3590</v>
      </c>
      <c r="BP11" s="24" t="s">
        <v>5511</v>
      </c>
      <c r="BQ11" s="24" t="s">
        <v>3592</v>
      </c>
      <c r="BR11" s="24" t="s">
        <v>2047</v>
      </c>
      <c r="BS11" s="25" t="s">
        <v>5514</v>
      </c>
      <c r="BT11" s="24" t="s">
        <v>1211</v>
      </c>
      <c r="BU11" s="24" t="s">
        <v>5507</v>
      </c>
    </row>
    <row r="12" customFormat="false" ht="14.25" hidden="false" customHeight="false" outlineLevel="0" collapsed="false">
      <c r="A12" s="24" t="n">
        <v>176</v>
      </c>
      <c r="B12" s="24" t="n">
        <v>176</v>
      </c>
      <c r="C12" s="24" t="s">
        <v>1191</v>
      </c>
      <c r="D12" s="24" t="n">
        <v>2015</v>
      </c>
      <c r="E12" s="24" t="s">
        <v>1192</v>
      </c>
      <c r="F12" s="24" t="s">
        <v>1195</v>
      </c>
      <c r="G12" s="24" t="s">
        <v>1196</v>
      </c>
      <c r="H12" s="24" t="n">
        <v>41.55</v>
      </c>
      <c r="I12" s="24" t="n">
        <v>60.63</v>
      </c>
      <c r="J12" s="24" t="s">
        <v>921</v>
      </c>
      <c r="K12" s="24" t="s">
        <v>4865</v>
      </c>
      <c r="L12" s="24" t="s">
        <v>872</v>
      </c>
      <c r="M12" s="24" t="s">
        <v>85</v>
      </c>
      <c r="N12" s="24" t="n">
        <v>1.27</v>
      </c>
      <c r="O12" s="24"/>
      <c r="P12" s="24" t="n">
        <v>2.56</v>
      </c>
      <c r="Q12" s="24"/>
      <c r="R12" s="24"/>
      <c r="S12" s="24"/>
      <c r="T12" s="24"/>
      <c r="U12" s="24"/>
      <c r="V12" s="24"/>
      <c r="W12" s="24"/>
      <c r="X12" s="24"/>
      <c r="Y12" s="24"/>
      <c r="Z12" s="24" t="n">
        <v>-0.14</v>
      </c>
      <c r="AA12" s="24"/>
      <c r="AB12" s="24" t="n">
        <v>1.9</v>
      </c>
      <c r="AC12" s="24"/>
      <c r="AD12" s="24"/>
      <c r="AE12" s="24"/>
      <c r="AF12" s="24"/>
      <c r="AG12" s="24"/>
      <c r="AH12" s="24"/>
      <c r="AI12" s="24"/>
      <c r="AJ12" s="24"/>
      <c r="AK12" s="24"/>
      <c r="AL12" s="24" t="n">
        <v>0.42</v>
      </c>
      <c r="AM12" s="24"/>
      <c r="AN12" s="24" t="n">
        <v>2.16</v>
      </c>
      <c r="AO12" s="24"/>
      <c r="AP12" s="24"/>
      <c r="AQ12" s="24"/>
      <c r="AR12" s="24"/>
      <c r="AS12" s="24"/>
      <c r="AT12" s="24"/>
      <c r="AU12" s="24"/>
      <c r="AV12" s="24"/>
      <c r="AW12" s="24"/>
      <c r="AX12" s="24" t="n">
        <v>6</v>
      </c>
      <c r="AY12" s="24" t="n">
        <v>4</v>
      </c>
      <c r="AZ12" s="24" t="n">
        <f aca="false">IF(AND(N(AX12)&gt;0,N(AY12)&gt;0),SQRT(2*AX12/AY12),"")</f>
        <v>1.73205080756888</v>
      </c>
      <c r="BA12" s="24" t="n">
        <v>19</v>
      </c>
      <c r="BB12" s="24" t="n">
        <v>-7</v>
      </c>
      <c r="BC12" s="24" t="n">
        <v>40</v>
      </c>
      <c r="BD12" s="24" t="n">
        <v>100</v>
      </c>
      <c r="BE12" s="24" t="n">
        <v>41.55</v>
      </c>
      <c r="BF12" s="24" t="n">
        <v>2</v>
      </c>
      <c r="BG12" s="24" t="n">
        <v>13.4</v>
      </c>
      <c r="BH12" s="24"/>
      <c r="BI12" s="24"/>
      <c r="BJ12" s="24" t="n">
        <v>3.6</v>
      </c>
      <c r="BK12" s="24" t="n">
        <v>1.35</v>
      </c>
      <c r="BL12" s="24" t="n">
        <v>23</v>
      </c>
      <c r="BM12" s="24" t="n">
        <v>58</v>
      </c>
      <c r="BN12" s="24" t="s">
        <v>5504</v>
      </c>
      <c r="BO12" s="24" t="s">
        <v>3590</v>
      </c>
      <c r="BP12" s="24" t="s">
        <v>5511</v>
      </c>
      <c r="BQ12" s="24" t="s">
        <v>3592</v>
      </c>
      <c r="BR12" s="24" t="s">
        <v>2047</v>
      </c>
      <c r="BS12" s="25" t="s">
        <v>5515</v>
      </c>
      <c r="BT12" s="24" t="s">
        <v>1211</v>
      </c>
      <c r="BU12" s="24" t="s">
        <v>5507</v>
      </c>
    </row>
    <row r="13" customFormat="false" ht="14.25" hidden="false" customHeight="false" outlineLevel="0" collapsed="false">
      <c r="A13" s="24" t="s">
        <v>1225</v>
      </c>
      <c r="B13" s="24" t="s">
        <v>1225</v>
      </c>
      <c r="C13" s="24" t="s">
        <v>1226</v>
      </c>
      <c r="D13" s="24" t="n">
        <v>2018</v>
      </c>
      <c r="E13" s="24" t="s">
        <v>1227</v>
      </c>
      <c r="F13" s="24" t="s">
        <v>1083</v>
      </c>
      <c r="G13" s="24" t="s">
        <v>1230</v>
      </c>
      <c r="H13" s="24" t="n">
        <v>26.67</v>
      </c>
      <c r="I13" s="24" t="n">
        <v>87.13</v>
      </c>
      <c r="J13" s="24" t="s">
        <v>83</v>
      </c>
      <c r="K13" s="24" t="s">
        <v>2075</v>
      </c>
      <c r="L13" s="24" t="s">
        <v>872</v>
      </c>
      <c r="M13" s="24" t="s">
        <v>85</v>
      </c>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t="n">
        <f aca="false">ROUND(139386/78395,2)</f>
        <v>1.78</v>
      </c>
      <c r="AM13" s="24" t="n">
        <f aca="false">ROUND(130040/102727,2)</f>
        <v>1.27</v>
      </c>
      <c r="AN13" s="24"/>
      <c r="AO13" s="24"/>
      <c r="AP13" s="24"/>
      <c r="AQ13" s="24"/>
      <c r="AR13" s="24"/>
      <c r="AS13" s="24"/>
      <c r="AT13" s="24" t="n">
        <f aca="false">ROUND(143656/94267,2)</f>
        <v>1.52</v>
      </c>
      <c r="AU13" s="24"/>
      <c r="AV13" s="24"/>
      <c r="AW13" s="24"/>
      <c r="AX13" s="24" t="n">
        <v>2</v>
      </c>
      <c r="AY13" s="24" t="n">
        <v>3</v>
      </c>
      <c r="AZ13" s="24" t="n">
        <f aca="false">IF(AND(N(AX13)&gt;0,N(AY13)&gt;0),SQRT(2*AX13/AY13),"")</f>
        <v>1.15470053837925</v>
      </c>
      <c r="BA13" s="24"/>
      <c r="BB13" s="24" t="n">
        <v>10</v>
      </c>
      <c r="BC13" s="24" t="n">
        <v>43</v>
      </c>
      <c r="BD13" s="24" t="n">
        <v>1943</v>
      </c>
      <c r="BE13" s="24" t="n">
        <v>26.67</v>
      </c>
      <c r="BF13" s="24" t="n">
        <v>2</v>
      </c>
      <c r="BG13" s="24"/>
      <c r="BH13" s="24"/>
      <c r="BI13" s="24"/>
      <c r="BJ13" s="24"/>
      <c r="BK13" s="24"/>
      <c r="BL13" s="24"/>
      <c r="BM13" s="24"/>
      <c r="BN13" s="24" t="s">
        <v>5516</v>
      </c>
      <c r="BO13" s="24" t="s">
        <v>5048</v>
      </c>
      <c r="BP13" s="24" t="s">
        <v>5055</v>
      </c>
      <c r="BQ13" s="24" t="s">
        <v>5050</v>
      </c>
      <c r="BR13" s="24" t="s">
        <v>2422</v>
      </c>
      <c r="BS13" s="25" t="s">
        <v>5517</v>
      </c>
      <c r="BT13" s="24" t="s">
        <v>1237</v>
      </c>
      <c r="BU13" s="24" t="s">
        <v>5518</v>
      </c>
    </row>
    <row r="14" customFormat="false" ht="14.25" hidden="false" customHeight="false" outlineLevel="0" collapsed="false">
      <c r="A14" s="24" t="s">
        <v>1225</v>
      </c>
      <c r="B14" s="24" t="s">
        <v>1225</v>
      </c>
      <c r="C14" s="24" t="s">
        <v>1226</v>
      </c>
      <c r="D14" s="24" t="n">
        <v>2018</v>
      </c>
      <c r="E14" s="24" t="s">
        <v>1227</v>
      </c>
      <c r="F14" s="24" t="s">
        <v>1083</v>
      </c>
      <c r="G14" s="24" t="s">
        <v>1230</v>
      </c>
      <c r="H14" s="24" t="n">
        <v>26.67</v>
      </c>
      <c r="I14" s="24" t="n">
        <v>87.13</v>
      </c>
      <c r="J14" s="24" t="s">
        <v>83</v>
      </c>
      <c r="K14" s="24" t="s">
        <v>2075</v>
      </c>
      <c r="L14" s="24" t="s">
        <v>872</v>
      </c>
      <c r="M14" s="24" t="s">
        <v>85</v>
      </c>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t="n">
        <f aca="false">ROUND(157514/80409,2)</f>
        <v>1.96</v>
      </c>
      <c r="AM14" s="24" t="n">
        <f aca="false">ROUND(130040/102727,2)</f>
        <v>1.27</v>
      </c>
      <c r="AN14" s="24"/>
      <c r="AO14" s="24"/>
      <c r="AP14" s="24"/>
      <c r="AQ14" s="24"/>
      <c r="AR14" s="24"/>
      <c r="AS14" s="24"/>
      <c r="AT14" s="24" t="n">
        <f aca="false">ROUND(143656/94267,2)</f>
        <v>1.52</v>
      </c>
      <c r="AU14" s="24"/>
      <c r="AV14" s="24"/>
      <c r="AW14" s="24"/>
      <c r="AX14" s="24" t="n">
        <v>2</v>
      </c>
      <c r="AY14" s="24" t="n">
        <v>3</v>
      </c>
      <c r="AZ14" s="24" t="n">
        <f aca="false">IF(AND(N(AX14)&gt;0,N(AY14)&gt;0),SQRT(2*AX14/AY14),"")</f>
        <v>1.15470053837925</v>
      </c>
      <c r="BA14" s="24"/>
      <c r="BB14" s="24" t="n">
        <v>10</v>
      </c>
      <c r="BC14" s="24" t="n">
        <v>43</v>
      </c>
      <c r="BD14" s="24" t="n">
        <v>1943</v>
      </c>
      <c r="BE14" s="24" t="n">
        <v>26.67</v>
      </c>
      <c r="BF14" s="24" t="n">
        <v>2</v>
      </c>
      <c r="BG14" s="24"/>
      <c r="BH14" s="24"/>
      <c r="BI14" s="24"/>
      <c r="BJ14" s="24"/>
      <c r="BK14" s="24"/>
      <c r="BL14" s="24"/>
      <c r="BM14" s="24"/>
      <c r="BN14" s="24" t="s">
        <v>5516</v>
      </c>
      <c r="BO14" s="24" t="s">
        <v>5048</v>
      </c>
      <c r="BP14" s="24" t="s">
        <v>5055</v>
      </c>
      <c r="BQ14" s="24" t="s">
        <v>5050</v>
      </c>
      <c r="BR14" s="24" t="s">
        <v>2422</v>
      </c>
      <c r="BS14" s="25" t="s">
        <v>5519</v>
      </c>
      <c r="BT14" s="24" t="s">
        <v>1237</v>
      </c>
      <c r="BU14" s="24" t="s">
        <v>5518</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5520</v>
      </c>
      <c r="O1" s="27" t="s">
        <v>5521</v>
      </c>
      <c r="P1" s="27" t="s">
        <v>5522</v>
      </c>
      <c r="Q1" s="27" t="s">
        <v>5523</v>
      </c>
      <c r="R1" s="27" t="s">
        <v>5524</v>
      </c>
      <c r="S1" s="27" t="s">
        <v>5525</v>
      </c>
      <c r="T1" s="27" t="s">
        <v>5526</v>
      </c>
      <c r="U1" s="27" t="s">
        <v>5527</v>
      </c>
      <c r="V1" s="30" t="s">
        <v>5528</v>
      </c>
      <c r="W1" s="30" t="s">
        <v>5529</v>
      </c>
      <c r="X1" s="30" t="s">
        <v>5530</v>
      </c>
      <c r="Y1" s="30" t="s">
        <v>5531</v>
      </c>
      <c r="Z1" s="27" t="s">
        <v>5532</v>
      </c>
      <c r="AA1" s="27" t="s">
        <v>5533</v>
      </c>
      <c r="AB1" s="27" t="s">
        <v>5534</v>
      </c>
      <c r="AC1" s="27" t="s">
        <v>5535</v>
      </c>
      <c r="AD1" s="27" t="s">
        <v>5536</v>
      </c>
      <c r="AE1" s="27" t="s">
        <v>5537</v>
      </c>
      <c r="AF1" s="27" t="s">
        <v>5538</v>
      </c>
      <c r="AG1" s="27" t="s">
        <v>5539</v>
      </c>
      <c r="AH1" s="30" t="s">
        <v>5540</v>
      </c>
      <c r="AI1" s="30" t="s">
        <v>5541</v>
      </c>
      <c r="AJ1" s="30" t="s">
        <v>5542</v>
      </c>
      <c r="AK1" s="30" t="s">
        <v>5543</v>
      </c>
      <c r="AL1" s="27" t="s">
        <v>5544</v>
      </c>
      <c r="AM1" s="27" t="s">
        <v>5545</v>
      </c>
      <c r="AN1" s="27" t="s">
        <v>5546</v>
      </c>
      <c r="AO1" s="27" t="s">
        <v>5547</v>
      </c>
      <c r="AP1" s="27" t="s">
        <v>5548</v>
      </c>
      <c r="AQ1" s="27" t="s">
        <v>5549</v>
      </c>
      <c r="AR1" s="27" t="s">
        <v>5550</v>
      </c>
      <c r="AS1" s="27" t="s">
        <v>5551</v>
      </c>
      <c r="AT1" s="30" t="s">
        <v>5552</v>
      </c>
      <c r="AU1" s="30" t="s">
        <v>5553</v>
      </c>
      <c r="AV1" s="30" t="s">
        <v>5554</v>
      </c>
      <c r="AW1" s="30" t="s">
        <v>5555</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A2" s="5" t="s">
        <v>1041</v>
      </c>
      <c r="B2" s="5" t="s">
        <v>1041</v>
      </c>
      <c r="C2" s="5" t="s">
        <v>1042</v>
      </c>
      <c r="D2" s="5" t="n">
        <v>2022</v>
      </c>
      <c r="E2" s="5" t="s">
        <v>843</v>
      </c>
      <c r="F2" s="5" t="s">
        <v>1045</v>
      </c>
      <c r="G2" s="5" t="s">
        <v>1046</v>
      </c>
      <c r="H2" s="5" t="n">
        <v>24.724</v>
      </c>
      <c r="I2" s="5" t="n">
        <v>90.437</v>
      </c>
      <c r="J2" s="5" t="s">
        <v>83</v>
      </c>
      <c r="K2" s="5" t="s">
        <v>4877</v>
      </c>
      <c r="L2" s="5" t="s">
        <v>872</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11</v>
      </c>
      <c r="AY2" s="5" t="n">
        <v>3</v>
      </c>
      <c r="AZ2" s="5" t="n">
        <f aca="false">IF(AND(N(AX2)&gt;0,N(AY2)&gt;0),SQRT(2*AX2/AY2),"")</f>
        <v>2.70801280154532</v>
      </c>
      <c r="BA2" s="5" t="n">
        <v>13</v>
      </c>
      <c r="BB2" s="5"/>
      <c r="BC2" s="5"/>
      <c r="BD2" s="5" t="n">
        <v>2400</v>
      </c>
      <c r="BE2" s="5" t="n">
        <v>24.724</v>
      </c>
      <c r="BF2" s="5" t="n">
        <v>1</v>
      </c>
      <c r="BG2" s="5"/>
      <c r="BH2" s="5"/>
      <c r="BI2" s="5" t="n">
        <v>6.92</v>
      </c>
      <c r="BJ2" s="5" t="n">
        <v>13.2</v>
      </c>
      <c r="BK2" s="5" t="n">
        <v>1.58</v>
      </c>
      <c r="BL2" s="5" t="n">
        <v>11</v>
      </c>
      <c r="BM2" s="5" t="n">
        <v>76</v>
      </c>
      <c r="BN2" s="5" t="s">
        <v>5556</v>
      </c>
      <c r="BO2" s="5" t="s">
        <v>2112</v>
      </c>
      <c r="BP2" s="5" t="s">
        <v>5557</v>
      </c>
      <c r="BQ2" s="5" t="s">
        <v>2114</v>
      </c>
      <c r="BR2" s="5" t="s">
        <v>2422</v>
      </c>
      <c r="BS2" s="23" t="s">
        <v>5558</v>
      </c>
      <c r="BT2" s="5" t="s">
        <v>1060</v>
      </c>
      <c r="BU2" s="5" t="s">
        <v>5559</v>
      </c>
      <c r="BW2" s="33" t="s">
        <v>1545</v>
      </c>
    </row>
    <row r="3" customFormat="false" ht="15" hidden="false" customHeight="true" outlineLevel="0" collapsed="false">
      <c r="A3" s="5" t="s">
        <v>1041</v>
      </c>
      <c r="B3" s="5" t="s">
        <v>1041</v>
      </c>
      <c r="C3" s="5" t="s">
        <v>1042</v>
      </c>
      <c r="D3" s="5" t="n">
        <v>2022</v>
      </c>
      <c r="E3" s="5" t="s">
        <v>843</v>
      </c>
      <c r="F3" s="5" t="s">
        <v>1045</v>
      </c>
      <c r="G3" s="5" t="s">
        <v>1046</v>
      </c>
      <c r="H3" s="5" t="n">
        <v>24.724</v>
      </c>
      <c r="I3" s="5" t="n">
        <v>90.437</v>
      </c>
      <c r="J3" s="5" t="s">
        <v>83</v>
      </c>
      <c r="K3" s="5" t="s">
        <v>4880</v>
      </c>
      <c r="L3" s="5" t="s">
        <v>872</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11</v>
      </c>
      <c r="AY3" s="5" t="n">
        <v>3</v>
      </c>
      <c r="AZ3" s="5" t="n">
        <f aca="false">IF(AND(N(AX3)&gt;0,N(AY3)&gt;0),SQRT(2*AX3/AY3),"")</f>
        <v>2.70801280154532</v>
      </c>
      <c r="BA3" s="5" t="n">
        <v>13</v>
      </c>
      <c r="BB3" s="5"/>
      <c r="BC3" s="5"/>
      <c r="BD3" s="5" t="n">
        <v>2400</v>
      </c>
      <c r="BE3" s="5" t="n">
        <v>24.724</v>
      </c>
      <c r="BF3" s="5" t="n">
        <v>2</v>
      </c>
      <c r="BG3" s="5"/>
      <c r="BH3" s="5"/>
      <c r="BI3" s="5" t="n">
        <v>6.92</v>
      </c>
      <c r="BJ3" s="5" t="n">
        <v>13.2</v>
      </c>
      <c r="BK3" s="5" t="n">
        <v>1.58</v>
      </c>
      <c r="BL3" s="5" t="n">
        <v>11</v>
      </c>
      <c r="BM3" s="5" t="n">
        <v>76</v>
      </c>
      <c r="BN3" s="5" t="s">
        <v>5556</v>
      </c>
      <c r="BO3" s="5" t="s">
        <v>2112</v>
      </c>
      <c r="BP3" s="5" t="s">
        <v>5560</v>
      </c>
      <c r="BQ3" s="5" t="s">
        <v>2114</v>
      </c>
      <c r="BR3" s="5" t="s">
        <v>2422</v>
      </c>
      <c r="BS3" s="23" t="s">
        <v>5561</v>
      </c>
      <c r="BT3" s="5" t="s">
        <v>1060</v>
      </c>
      <c r="BU3" s="5" t="s">
        <v>5559</v>
      </c>
    </row>
    <row r="4" customFormat="false" ht="15" hidden="false" customHeight="true" outlineLevel="0" collapsed="false">
      <c r="A4" s="5" t="s">
        <v>1041</v>
      </c>
      <c r="B4" s="5" t="s">
        <v>1041</v>
      </c>
      <c r="C4" s="5" t="s">
        <v>1042</v>
      </c>
      <c r="D4" s="5" t="n">
        <v>2022</v>
      </c>
      <c r="E4" s="5" t="s">
        <v>843</v>
      </c>
      <c r="F4" s="5" t="s">
        <v>1045</v>
      </c>
      <c r="G4" s="5" t="s">
        <v>1046</v>
      </c>
      <c r="H4" s="5" t="n">
        <v>24.724</v>
      </c>
      <c r="I4" s="5" t="n">
        <v>90.437</v>
      </c>
      <c r="J4" s="5" t="s">
        <v>83</v>
      </c>
      <c r="K4" s="5" t="s">
        <v>4883</v>
      </c>
      <c r="L4" s="5" t="s">
        <v>872</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11</v>
      </c>
      <c r="AY4" s="5" t="n">
        <v>3</v>
      </c>
      <c r="AZ4" s="5" t="n">
        <f aca="false">IF(AND(N(AX4)&gt;0,N(AY4)&gt;0),SQRT(2*AX4/AY4),"")</f>
        <v>2.70801280154532</v>
      </c>
      <c r="BA4" s="5" t="n">
        <v>13</v>
      </c>
      <c r="BB4" s="5"/>
      <c r="BC4" s="5"/>
      <c r="BD4" s="5" t="n">
        <v>2400</v>
      </c>
      <c r="BE4" s="5" t="n">
        <v>24.724</v>
      </c>
      <c r="BF4" s="5" t="n">
        <v>3</v>
      </c>
      <c r="BG4" s="5"/>
      <c r="BH4" s="5"/>
      <c r="BI4" s="5" t="n">
        <v>6.92</v>
      </c>
      <c r="BJ4" s="5" t="n">
        <v>13.2</v>
      </c>
      <c r="BK4" s="5" t="n">
        <v>1.58</v>
      </c>
      <c r="BL4" s="5" t="n">
        <v>11</v>
      </c>
      <c r="BM4" s="5" t="n">
        <v>76</v>
      </c>
      <c r="BN4" s="5" t="s">
        <v>5556</v>
      </c>
      <c r="BO4" s="5" t="s">
        <v>2112</v>
      </c>
      <c r="BP4" s="5" t="s">
        <v>5562</v>
      </c>
      <c r="BQ4" s="5" t="s">
        <v>2114</v>
      </c>
      <c r="BR4" s="5" t="s">
        <v>2422</v>
      </c>
      <c r="BS4" s="23" t="s">
        <v>5563</v>
      </c>
      <c r="BT4" s="5" t="s">
        <v>1060</v>
      </c>
      <c r="BU4" s="5" t="s">
        <v>5559</v>
      </c>
    </row>
    <row r="5" customFormat="false" ht="15" hidden="false" customHeight="true" outlineLevel="0" collapsed="false">
      <c r="A5" s="5" t="s">
        <v>1041</v>
      </c>
      <c r="B5" s="5" t="s">
        <v>1041</v>
      </c>
      <c r="C5" s="5" t="s">
        <v>1042</v>
      </c>
      <c r="D5" s="5" t="n">
        <v>2022</v>
      </c>
      <c r="E5" s="5" t="s">
        <v>843</v>
      </c>
      <c r="F5" s="5" t="s">
        <v>1045</v>
      </c>
      <c r="G5" s="5" t="s">
        <v>1046</v>
      </c>
      <c r="H5" s="5" t="n">
        <v>24.724</v>
      </c>
      <c r="I5" s="5" t="n">
        <v>90.437</v>
      </c>
      <c r="J5" s="5" t="s">
        <v>83</v>
      </c>
      <c r="K5" s="5" t="s">
        <v>2075</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11</v>
      </c>
      <c r="AY5" s="5" t="n">
        <v>3</v>
      </c>
      <c r="AZ5" s="5" t="n">
        <f aca="false">IF(AND(N(AX5)&gt;0,N(AY5)&gt;0),SQRT(2*AX5/AY5),"")</f>
        <v>2.70801280154532</v>
      </c>
      <c r="BA5" s="5" t="n">
        <v>13</v>
      </c>
      <c r="BB5" s="5"/>
      <c r="BC5" s="5"/>
      <c r="BD5" s="5" t="n">
        <v>2400</v>
      </c>
      <c r="BE5" s="5" t="n">
        <v>24.724</v>
      </c>
      <c r="BF5" s="5" t="n">
        <v>4</v>
      </c>
      <c r="BG5" s="5"/>
      <c r="BH5" s="5"/>
      <c r="BI5" s="5" t="n">
        <v>6.92</v>
      </c>
      <c r="BJ5" s="5" t="n">
        <v>13.2</v>
      </c>
      <c r="BK5" s="5" t="n">
        <v>1.58</v>
      </c>
      <c r="BL5" s="5" t="n">
        <v>11</v>
      </c>
      <c r="BM5" s="5" t="n">
        <v>76</v>
      </c>
      <c r="BN5" s="5" t="s">
        <v>5556</v>
      </c>
      <c r="BO5" s="5" t="s">
        <v>2112</v>
      </c>
      <c r="BP5" s="5" t="s">
        <v>5564</v>
      </c>
      <c r="BQ5" s="5" t="s">
        <v>2114</v>
      </c>
      <c r="BR5" s="5" t="s">
        <v>2422</v>
      </c>
      <c r="BS5" s="23" t="s">
        <v>5565</v>
      </c>
      <c r="BT5" s="5" t="s">
        <v>1060</v>
      </c>
      <c r="BU5" s="5" t="s">
        <v>5559</v>
      </c>
    </row>
    <row r="6" customFormat="false" ht="15" hidden="false" customHeight="true" outlineLevel="0" collapsed="false">
      <c r="A6" s="5" t="s">
        <v>1041</v>
      </c>
      <c r="B6" s="5" t="s">
        <v>1041</v>
      </c>
      <c r="C6" s="5" t="s">
        <v>1042</v>
      </c>
      <c r="D6" s="5" t="n">
        <v>2022</v>
      </c>
      <c r="E6" s="5" t="s">
        <v>843</v>
      </c>
      <c r="F6" s="5" t="s">
        <v>1045</v>
      </c>
      <c r="G6" s="5" t="s">
        <v>1046</v>
      </c>
      <c r="H6" s="5" t="n">
        <v>24.724</v>
      </c>
      <c r="I6" s="5" t="n">
        <v>90.437</v>
      </c>
      <c r="J6" s="5" t="s">
        <v>83</v>
      </c>
      <c r="K6" s="5" t="s">
        <v>4984</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11</v>
      </c>
      <c r="AY6" s="5" t="n">
        <v>3</v>
      </c>
      <c r="AZ6" s="5" t="n">
        <f aca="false">IF(AND(N(AX6)&gt;0,N(AY6)&gt;0),SQRT(2*AX6/AY6),"")</f>
        <v>2.70801280154532</v>
      </c>
      <c r="BA6" s="5" t="n">
        <v>13</v>
      </c>
      <c r="BB6" s="5"/>
      <c r="BC6" s="5"/>
      <c r="BD6" s="5" t="n">
        <v>2400</v>
      </c>
      <c r="BE6" s="5" t="n">
        <v>24.724</v>
      </c>
      <c r="BF6" s="5" t="n">
        <v>5</v>
      </c>
      <c r="BG6" s="5"/>
      <c r="BH6" s="5"/>
      <c r="BI6" s="5" t="n">
        <v>6.92</v>
      </c>
      <c r="BJ6" s="5" t="n">
        <v>13.2</v>
      </c>
      <c r="BK6" s="5" t="n">
        <v>1.58</v>
      </c>
      <c r="BL6" s="5" t="n">
        <v>11</v>
      </c>
      <c r="BM6" s="5" t="n">
        <v>76</v>
      </c>
      <c r="BN6" s="5" t="s">
        <v>5556</v>
      </c>
      <c r="BO6" s="5" t="s">
        <v>2112</v>
      </c>
      <c r="BP6" s="5" t="s">
        <v>5566</v>
      </c>
      <c r="BQ6" s="5" t="s">
        <v>2114</v>
      </c>
      <c r="BR6" s="5" t="s">
        <v>2422</v>
      </c>
      <c r="BS6" s="23" t="s">
        <v>5567</v>
      </c>
      <c r="BT6" s="5" t="s">
        <v>1060</v>
      </c>
      <c r="BU6" s="5" t="s">
        <v>5559</v>
      </c>
    </row>
    <row r="7" customFormat="false" ht="15" hidden="false" customHeight="true" outlineLevel="0" collapsed="false">
      <c r="A7" s="5" t="s">
        <v>1041</v>
      </c>
      <c r="B7" s="5" t="s">
        <v>1041</v>
      </c>
      <c r="C7" s="5" t="s">
        <v>1042</v>
      </c>
      <c r="D7" s="5" t="n">
        <v>2022</v>
      </c>
      <c r="E7" s="5" t="s">
        <v>843</v>
      </c>
      <c r="F7" s="5" t="s">
        <v>1045</v>
      </c>
      <c r="G7" s="5" t="s">
        <v>1046</v>
      </c>
      <c r="H7" s="5" t="n">
        <v>24.724</v>
      </c>
      <c r="I7" s="5" t="n">
        <v>90.437</v>
      </c>
      <c r="J7" s="5" t="s">
        <v>83</v>
      </c>
      <c r="K7" s="5" t="s">
        <v>4990</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11</v>
      </c>
      <c r="AY7" s="5" t="n">
        <v>3</v>
      </c>
      <c r="AZ7" s="5" t="n">
        <f aca="false">IF(AND(N(AX7)&gt;0,N(AY7)&gt;0),SQRT(2*AX7/AY7),"")</f>
        <v>2.70801280154532</v>
      </c>
      <c r="BA7" s="5" t="n">
        <v>13</v>
      </c>
      <c r="BB7" s="5"/>
      <c r="BC7" s="5"/>
      <c r="BD7" s="5" t="n">
        <v>2400</v>
      </c>
      <c r="BE7" s="5" t="n">
        <v>24.724</v>
      </c>
      <c r="BF7" s="5" t="n">
        <v>6</v>
      </c>
      <c r="BG7" s="5"/>
      <c r="BH7" s="5"/>
      <c r="BI7" s="5" t="n">
        <v>6.92</v>
      </c>
      <c r="BJ7" s="5" t="n">
        <v>13.2</v>
      </c>
      <c r="BK7" s="5" t="n">
        <v>1.58</v>
      </c>
      <c r="BL7" s="5" t="n">
        <v>11</v>
      </c>
      <c r="BM7" s="5" t="n">
        <v>76</v>
      </c>
      <c r="BN7" s="5" t="s">
        <v>5556</v>
      </c>
      <c r="BO7" s="5" t="s">
        <v>2112</v>
      </c>
      <c r="BP7" s="5" t="s">
        <v>5568</v>
      </c>
      <c r="BQ7" s="5" t="s">
        <v>2114</v>
      </c>
      <c r="BR7" s="5" t="s">
        <v>2422</v>
      </c>
      <c r="BS7" s="23" t="s">
        <v>5569</v>
      </c>
      <c r="BT7" s="5" t="s">
        <v>1060</v>
      </c>
      <c r="BU7" s="5" t="s">
        <v>5559</v>
      </c>
    </row>
    <row r="8" customFormat="false" ht="15" hidden="false" customHeight="true" outlineLevel="0" collapsed="false">
      <c r="A8" s="5" t="s">
        <v>1041</v>
      </c>
      <c r="B8" s="5" t="s">
        <v>1041</v>
      </c>
      <c r="C8" s="5" t="s">
        <v>1042</v>
      </c>
      <c r="D8" s="5" t="n">
        <v>2022</v>
      </c>
      <c r="E8" s="5" t="s">
        <v>843</v>
      </c>
      <c r="F8" s="5" t="s">
        <v>1045</v>
      </c>
      <c r="G8" s="5" t="s">
        <v>1046</v>
      </c>
      <c r="H8" s="5" t="n">
        <v>24.724</v>
      </c>
      <c r="I8" s="5" t="n">
        <v>90.437</v>
      </c>
      <c r="J8" s="5" t="s">
        <v>83</v>
      </c>
      <c r="K8" s="5" t="s">
        <v>4905</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11</v>
      </c>
      <c r="AY8" s="5" t="n">
        <v>3</v>
      </c>
      <c r="AZ8" s="5" t="n">
        <f aca="false">IF(AND(N(AX8)&gt;0,N(AY8)&gt;0),SQRT(2*AX8/AY8),"")</f>
        <v>2.70801280154532</v>
      </c>
      <c r="BA8" s="5" t="n">
        <v>13</v>
      </c>
      <c r="BB8" s="5"/>
      <c r="BC8" s="5"/>
      <c r="BD8" s="5" t="n">
        <v>2400</v>
      </c>
      <c r="BE8" s="5" t="n">
        <v>24.724</v>
      </c>
      <c r="BF8" s="5" t="n">
        <v>7</v>
      </c>
      <c r="BG8" s="5"/>
      <c r="BH8" s="5"/>
      <c r="BI8" s="5" t="n">
        <v>6.92</v>
      </c>
      <c r="BJ8" s="5" t="n">
        <v>13.2</v>
      </c>
      <c r="BK8" s="5" t="n">
        <v>1.58</v>
      </c>
      <c r="BL8" s="5" t="n">
        <v>11</v>
      </c>
      <c r="BM8" s="5" t="n">
        <v>76</v>
      </c>
      <c r="BN8" s="5" t="s">
        <v>5556</v>
      </c>
      <c r="BO8" s="5" t="s">
        <v>2112</v>
      </c>
      <c r="BP8" s="5" t="s">
        <v>5570</v>
      </c>
      <c r="BQ8" s="5" t="s">
        <v>2114</v>
      </c>
      <c r="BR8" s="5" t="s">
        <v>2422</v>
      </c>
      <c r="BS8" s="23" t="s">
        <v>5571</v>
      </c>
      <c r="BT8" s="5" t="s">
        <v>1060</v>
      </c>
      <c r="BU8" s="5" t="s">
        <v>5559</v>
      </c>
    </row>
    <row r="9" customFormat="false" ht="14.25" hidden="false" customHeight="true" outlineLevel="0" collapsed="false">
      <c r="A9" s="5" t="s">
        <v>1041</v>
      </c>
      <c r="B9" s="5" t="s">
        <v>1041</v>
      </c>
      <c r="C9" s="5" t="s">
        <v>1042</v>
      </c>
      <c r="D9" s="5" t="n">
        <v>2022</v>
      </c>
      <c r="E9" s="5" t="s">
        <v>843</v>
      </c>
      <c r="F9" s="5" t="s">
        <v>1045</v>
      </c>
      <c r="G9" s="5" t="s">
        <v>1046</v>
      </c>
      <c r="H9" s="5" t="n">
        <v>24.724</v>
      </c>
      <c r="I9" s="5" t="n">
        <v>90.437</v>
      </c>
      <c r="J9" s="5" t="s">
        <v>83</v>
      </c>
      <c r="K9" s="5" t="s">
        <v>4923</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11</v>
      </c>
      <c r="AY9" s="5" t="n">
        <v>3</v>
      </c>
      <c r="AZ9" s="5" t="n">
        <f aca="false">IF(AND(N(AX9)&gt;0,N(AY9)&gt;0),SQRT(2*AX9/AY9),"")</f>
        <v>2.70801280154532</v>
      </c>
      <c r="BA9" s="5" t="n">
        <v>13</v>
      </c>
      <c r="BB9" s="5"/>
      <c r="BC9" s="5"/>
      <c r="BD9" s="5" t="n">
        <v>2400</v>
      </c>
      <c r="BE9" s="5" t="n">
        <v>24.724</v>
      </c>
      <c r="BF9" s="5" t="n">
        <v>8</v>
      </c>
      <c r="BG9" s="5"/>
      <c r="BH9" s="5"/>
      <c r="BI9" s="5" t="n">
        <v>6.92</v>
      </c>
      <c r="BJ9" s="5" t="n">
        <v>13.2</v>
      </c>
      <c r="BK9" s="5" t="n">
        <v>1.58</v>
      </c>
      <c r="BL9" s="5" t="n">
        <v>11</v>
      </c>
      <c r="BM9" s="5" t="n">
        <v>76</v>
      </c>
      <c r="BN9" s="5" t="s">
        <v>5556</v>
      </c>
      <c r="BO9" s="5" t="s">
        <v>2112</v>
      </c>
      <c r="BP9" s="5" t="s">
        <v>5572</v>
      </c>
      <c r="BQ9" s="5" t="s">
        <v>2114</v>
      </c>
      <c r="BR9" s="5" t="s">
        <v>2422</v>
      </c>
      <c r="BS9" s="23" t="s">
        <v>5573</v>
      </c>
      <c r="BT9" s="5" t="s">
        <v>1060</v>
      </c>
      <c r="BU9" s="5" t="s">
        <v>5559</v>
      </c>
    </row>
    <row r="10" customFormat="false" ht="14.25" hidden="false" customHeight="true" outlineLevel="0" collapsed="false">
      <c r="A10" s="5" t="s">
        <v>1041</v>
      </c>
      <c r="B10" s="5" t="s">
        <v>1041</v>
      </c>
      <c r="C10" s="5" t="s">
        <v>1042</v>
      </c>
      <c r="D10" s="5" t="n">
        <v>2022</v>
      </c>
      <c r="E10" s="5" t="s">
        <v>843</v>
      </c>
      <c r="F10" s="5" t="s">
        <v>1045</v>
      </c>
      <c r="G10" s="5" t="s">
        <v>1046</v>
      </c>
      <c r="H10" s="5" t="n">
        <v>24.724</v>
      </c>
      <c r="I10" s="5" t="n">
        <v>90.437</v>
      </c>
      <c r="J10" s="5" t="s">
        <v>83</v>
      </c>
      <c r="K10" s="5" t="s">
        <v>4934</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11</v>
      </c>
      <c r="AY10" s="5" t="n">
        <v>3</v>
      </c>
      <c r="AZ10" s="5" t="n">
        <f aca="false">IF(AND(N(AX10)&gt;0,N(AY10)&gt;0),SQRT(2*AX10/AY10),"")</f>
        <v>2.70801280154532</v>
      </c>
      <c r="BA10" s="5" t="n">
        <v>13</v>
      </c>
      <c r="BB10" s="5"/>
      <c r="BC10" s="5"/>
      <c r="BD10" s="5" t="n">
        <v>2400</v>
      </c>
      <c r="BE10" s="5" t="n">
        <v>24.724</v>
      </c>
      <c r="BF10" s="5" t="n">
        <v>9</v>
      </c>
      <c r="BG10" s="5"/>
      <c r="BH10" s="5"/>
      <c r="BI10" s="5" t="n">
        <v>6.92</v>
      </c>
      <c r="BJ10" s="5" t="n">
        <v>13.2</v>
      </c>
      <c r="BK10" s="5" t="n">
        <v>1.58</v>
      </c>
      <c r="BL10" s="5" t="n">
        <v>11</v>
      </c>
      <c r="BM10" s="5" t="n">
        <v>76</v>
      </c>
      <c r="BN10" s="5" t="s">
        <v>5556</v>
      </c>
      <c r="BO10" s="5" t="s">
        <v>2112</v>
      </c>
      <c r="BP10" s="5" t="s">
        <v>5574</v>
      </c>
      <c r="BQ10" s="5" t="s">
        <v>2114</v>
      </c>
      <c r="BR10" s="5" t="s">
        <v>2422</v>
      </c>
      <c r="BS10" s="23" t="s">
        <v>5575</v>
      </c>
      <c r="BT10" s="5" t="s">
        <v>1060</v>
      </c>
      <c r="BU10" s="5" t="s">
        <v>5559</v>
      </c>
    </row>
    <row r="11" customFormat="false" ht="14.25" hidden="false" customHeight="true" outlineLevel="0" collapsed="false">
      <c r="A11" s="5" t="s">
        <v>1115</v>
      </c>
      <c r="B11" s="5" t="s">
        <v>1115</v>
      </c>
      <c r="C11" s="5" t="s">
        <v>1116</v>
      </c>
      <c r="D11" s="5" t="n">
        <v>2023</v>
      </c>
      <c r="E11" s="5" t="s">
        <v>843</v>
      </c>
      <c r="F11" s="5" t="s">
        <v>1045</v>
      </c>
      <c r="G11" s="5" t="s">
        <v>1119</v>
      </c>
      <c r="H11" s="5" t="n">
        <v>24.942</v>
      </c>
      <c r="I11" s="5" t="n">
        <v>89.928</v>
      </c>
      <c r="J11" s="5" t="s">
        <v>83</v>
      </c>
      <c r="K11" s="5" t="s">
        <v>4967</v>
      </c>
      <c r="L11" s="5" t="s">
        <v>872</v>
      </c>
      <c r="M11" s="5" t="s">
        <v>85</v>
      </c>
      <c r="N11" s="5"/>
      <c r="O11" s="5"/>
      <c r="P11" s="5"/>
      <c r="Q11" s="5"/>
      <c r="R11" s="5"/>
      <c r="S11" s="5"/>
      <c r="T11" s="5"/>
      <c r="U11" s="5"/>
      <c r="V11" s="5"/>
      <c r="W11" s="5"/>
      <c r="X11" s="5"/>
      <c r="Y11" s="5"/>
      <c r="Z11" s="5"/>
      <c r="AA11" s="5"/>
      <c r="AB11" s="5"/>
      <c r="AC11" s="5"/>
      <c r="AD11" s="5"/>
      <c r="AE11" s="5"/>
      <c r="AF11" s="5"/>
      <c r="AG11" s="5"/>
      <c r="AH11" s="5"/>
      <c r="AI11" s="5"/>
      <c r="AJ11" s="5"/>
      <c r="AK11" s="5"/>
      <c r="AL11" s="5"/>
      <c r="AM11" s="5" t="n">
        <v>586</v>
      </c>
      <c r="AN11" s="5"/>
      <c r="AO11" s="5"/>
      <c r="AP11" s="5" t="n">
        <v>719</v>
      </c>
      <c r="AQ11" s="5"/>
      <c r="AR11" s="5"/>
      <c r="AS11" s="5"/>
      <c r="AT11" s="5"/>
      <c r="AU11" s="5"/>
      <c r="AV11" s="5"/>
      <c r="AW11" s="5" t="n">
        <v>689</v>
      </c>
      <c r="AX11" s="5" t="n">
        <v>3</v>
      </c>
      <c r="AY11" s="5" t="n">
        <v>4</v>
      </c>
      <c r="AZ11" s="5" t="n">
        <f aca="false">IF(AND(N(AX11)&gt;0,N(AY11)&gt;0),SQRT(2*AX11/AY11),"")</f>
        <v>1.22474487139159</v>
      </c>
      <c r="BA11" s="5" t="n">
        <v>22.7</v>
      </c>
      <c r="BB11" s="5"/>
      <c r="BC11" s="5"/>
      <c r="BD11" s="5"/>
      <c r="BE11" s="5" t="n">
        <v>24.942</v>
      </c>
      <c r="BF11" s="5" t="n">
        <v>3</v>
      </c>
      <c r="BG11" s="5"/>
      <c r="BH11" s="5"/>
      <c r="BI11" s="5" t="n">
        <v>6.2</v>
      </c>
      <c r="BJ11" s="5"/>
      <c r="BK11" s="5"/>
      <c r="BL11" s="5" t="n">
        <v>47.3</v>
      </c>
      <c r="BM11" s="5" t="n">
        <v>30</v>
      </c>
      <c r="BN11" s="5" t="s">
        <v>5576</v>
      </c>
      <c r="BO11" s="5" t="s">
        <v>4969</v>
      </c>
      <c r="BP11" s="5" t="s">
        <v>4970</v>
      </c>
      <c r="BQ11" s="5" t="s">
        <v>4971</v>
      </c>
      <c r="BR11" s="5" t="s">
        <v>5577</v>
      </c>
      <c r="BS11" s="23" t="s">
        <v>5578</v>
      </c>
      <c r="BT11" s="5" t="s">
        <v>1129</v>
      </c>
      <c r="BU11" s="5" t="s">
        <v>5579</v>
      </c>
    </row>
    <row r="12" customFormat="false" ht="14.25" hidden="false" customHeight="true" outlineLevel="0" collapsed="false">
      <c r="A12" s="5" t="s">
        <v>1115</v>
      </c>
      <c r="B12" s="5" t="s">
        <v>1115</v>
      </c>
      <c r="C12" s="5" t="s">
        <v>1116</v>
      </c>
      <c r="D12" s="5" t="n">
        <v>2023</v>
      </c>
      <c r="E12" s="5" t="s">
        <v>843</v>
      </c>
      <c r="F12" s="5" t="s">
        <v>1045</v>
      </c>
      <c r="G12" s="5" t="s">
        <v>1119</v>
      </c>
      <c r="H12" s="5" t="n">
        <v>24.942</v>
      </c>
      <c r="I12" s="5" t="n">
        <v>89.928</v>
      </c>
      <c r="J12" s="5" t="s">
        <v>83</v>
      </c>
      <c r="K12" s="5" t="s">
        <v>4967</v>
      </c>
      <c r="L12" s="5" t="s">
        <v>872</v>
      </c>
      <c r="M12" s="5" t="s">
        <v>85</v>
      </c>
      <c r="N12" s="5"/>
      <c r="O12" s="5"/>
      <c r="P12" s="5"/>
      <c r="Q12" s="5"/>
      <c r="R12" s="5"/>
      <c r="S12" s="5"/>
      <c r="T12" s="5"/>
      <c r="U12" s="5"/>
      <c r="V12" s="5"/>
      <c r="W12" s="5"/>
      <c r="X12" s="5"/>
      <c r="Y12" s="5"/>
      <c r="Z12" s="5"/>
      <c r="AA12" s="5"/>
      <c r="AB12" s="5"/>
      <c r="AC12" s="5"/>
      <c r="AD12" s="5"/>
      <c r="AE12" s="5"/>
      <c r="AF12" s="5"/>
      <c r="AG12" s="5"/>
      <c r="AH12" s="5"/>
      <c r="AI12" s="5"/>
      <c r="AJ12" s="5"/>
      <c r="AK12" s="5"/>
      <c r="AL12" s="5"/>
      <c r="AM12" s="5" t="n">
        <v>938</v>
      </c>
      <c r="AN12" s="5"/>
      <c r="AO12" s="5"/>
      <c r="AP12" s="5" t="n">
        <v>1174</v>
      </c>
      <c r="AQ12" s="5"/>
      <c r="AR12" s="5"/>
      <c r="AS12" s="5"/>
      <c r="AT12" s="5"/>
      <c r="AU12" s="5"/>
      <c r="AV12" s="5"/>
      <c r="AW12" s="5" t="n">
        <v>1129.7</v>
      </c>
      <c r="AX12" s="5" t="n">
        <v>3</v>
      </c>
      <c r="AY12" s="5" t="n">
        <v>4</v>
      </c>
      <c r="AZ12" s="5" t="n">
        <f aca="false">IF(AND(N(AX12)&gt;0,N(AY12)&gt;0),SQRT(2*AX12/AY12),"")</f>
        <v>1.22474487139159</v>
      </c>
      <c r="BA12" s="5" t="n">
        <v>22.7</v>
      </c>
      <c r="BB12" s="5"/>
      <c r="BC12" s="5"/>
      <c r="BD12" s="5"/>
      <c r="BE12" s="5" t="n">
        <v>24.942</v>
      </c>
      <c r="BF12" s="5" t="n">
        <v>3</v>
      </c>
      <c r="BG12" s="5"/>
      <c r="BH12" s="5"/>
      <c r="BI12" s="5" t="n">
        <v>6.2</v>
      </c>
      <c r="BJ12" s="5"/>
      <c r="BK12" s="5"/>
      <c r="BL12" s="5" t="n">
        <v>47.3</v>
      </c>
      <c r="BM12" s="5" t="n">
        <v>30</v>
      </c>
      <c r="BN12" s="5" t="s">
        <v>5576</v>
      </c>
      <c r="BO12" s="5" t="s">
        <v>4969</v>
      </c>
      <c r="BP12" s="5" t="s">
        <v>4975</v>
      </c>
      <c r="BQ12" s="5" t="s">
        <v>4971</v>
      </c>
      <c r="BR12" s="5" t="s">
        <v>5577</v>
      </c>
      <c r="BS12" s="23" t="s">
        <v>5580</v>
      </c>
      <c r="BT12" s="5" t="s">
        <v>1129</v>
      </c>
      <c r="BU12" s="5" t="s">
        <v>5579</v>
      </c>
    </row>
    <row r="13" customFormat="false" ht="14.25" hidden="false" customHeight="false" outlineLevel="0" collapsed="false">
      <c r="A13" s="24" t="n">
        <v>176</v>
      </c>
      <c r="B13" s="24" t="n">
        <v>176</v>
      </c>
      <c r="C13" s="24" t="s">
        <v>1191</v>
      </c>
      <c r="D13" s="24" t="n">
        <v>2015</v>
      </c>
      <c r="E13" s="24" t="s">
        <v>1192</v>
      </c>
      <c r="F13" s="24" t="s">
        <v>1195</v>
      </c>
      <c r="G13" s="24" t="s">
        <v>1196</v>
      </c>
      <c r="H13" s="24" t="n">
        <v>41.55</v>
      </c>
      <c r="I13" s="24" t="n">
        <v>60.63</v>
      </c>
      <c r="J13" s="24" t="s">
        <v>921</v>
      </c>
      <c r="K13" s="24" t="s">
        <v>2355</v>
      </c>
      <c r="L13" s="24" t="s">
        <v>872</v>
      </c>
      <c r="M13" s="24" t="s">
        <v>85</v>
      </c>
      <c r="N13" s="24" t="n">
        <v>1270</v>
      </c>
      <c r="O13" s="24"/>
      <c r="P13" s="24" t="n">
        <v>1550</v>
      </c>
      <c r="Q13" s="24"/>
      <c r="R13" s="24"/>
      <c r="S13" s="24"/>
      <c r="T13" s="24"/>
      <c r="U13" s="24"/>
      <c r="V13" s="24"/>
      <c r="W13" s="24"/>
      <c r="X13" s="24"/>
      <c r="Y13" s="24"/>
      <c r="Z13" s="24" t="n">
        <v>1318</v>
      </c>
      <c r="AA13" s="24"/>
      <c r="AB13" s="24" t="n">
        <v>1455</v>
      </c>
      <c r="AC13" s="24"/>
      <c r="AD13" s="24"/>
      <c r="AE13" s="24"/>
      <c r="AF13" s="24"/>
      <c r="AG13" s="24"/>
      <c r="AH13" s="24"/>
      <c r="AI13" s="24"/>
      <c r="AJ13" s="24"/>
      <c r="AK13" s="24"/>
      <c r="AL13" s="24" t="n">
        <v>2589</v>
      </c>
      <c r="AM13" s="24"/>
      <c r="AN13" s="24" t="n">
        <v>3005</v>
      </c>
      <c r="AO13" s="24"/>
      <c r="AP13" s="24"/>
      <c r="AQ13" s="24"/>
      <c r="AR13" s="24"/>
      <c r="AS13" s="24"/>
      <c r="AT13" s="24"/>
      <c r="AU13" s="24"/>
      <c r="AV13" s="24"/>
      <c r="AW13" s="24"/>
      <c r="AX13" s="24" t="n">
        <v>6</v>
      </c>
      <c r="AY13" s="24" t="n">
        <v>4</v>
      </c>
      <c r="AZ13" s="24" t="n">
        <f aca="false">IF(AND(N(AX13)&gt;0,N(AY13)&gt;0),SQRT(2*AX13/AY13),"")</f>
        <v>1.73205080756888</v>
      </c>
      <c r="BA13" s="24" t="n">
        <v>19</v>
      </c>
      <c r="BB13" s="24" t="n">
        <v>-7</v>
      </c>
      <c r="BC13" s="24" t="n">
        <v>40</v>
      </c>
      <c r="BD13" s="24" t="n">
        <v>100</v>
      </c>
      <c r="BE13" s="24" t="n">
        <v>41.55</v>
      </c>
      <c r="BF13" s="24" t="n">
        <v>1</v>
      </c>
      <c r="BG13" s="24" t="n">
        <v>13.4</v>
      </c>
      <c r="BH13" s="24"/>
      <c r="BI13" s="24"/>
      <c r="BJ13" s="24" t="n">
        <v>3.6</v>
      </c>
      <c r="BK13" s="24" t="n">
        <v>1.35</v>
      </c>
      <c r="BL13" s="24" t="n">
        <v>23</v>
      </c>
      <c r="BM13" s="24" t="n">
        <v>58</v>
      </c>
      <c r="BN13" s="24" t="s">
        <v>5581</v>
      </c>
      <c r="BO13" s="24" t="s">
        <v>3590</v>
      </c>
      <c r="BP13" s="24" t="s">
        <v>5505</v>
      </c>
      <c r="BQ13" s="24" t="s">
        <v>3592</v>
      </c>
      <c r="BR13" s="24" t="s">
        <v>2047</v>
      </c>
      <c r="BS13" s="25" t="s">
        <v>5582</v>
      </c>
      <c r="BT13" s="24" t="s">
        <v>1211</v>
      </c>
      <c r="BU13" s="24" t="s">
        <v>5507</v>
      </c>
    </row>
    <row r="14" customFormat="false" ht="14.25" hidden="false" customHeight="false" outlineLevel="0" collapsed="false">
      <c r="A14" s="24" t="n">
        <v>176</v>
      </c>
      <c r="B14" s="24" t="n">
        <v>176</v>
      </c>
      <c r="C14" s="24" t="s">
        <v>1191</v>
      </c>
      <c r="D14" s="24" t="n">
        <v>2015</v>
      </c>
      <c r="E14" s="24" t="s">
        <v>1192</v>
      </c>
      <c r="F14" s="24" t="s">
        <v>1195</v>
      </c>
      <c r="G14" s="24" t="s">
        <v>1196</v>
      </c>
      <c r="H14" s="24" t="n">
        <v>41.55</v>
      </c>
      <c r="I14" s="24" t="n">
        <v>60.63</v>
      </c>
      <c r="J14" s="24" t="s">
        <v>921</v>
      </c>
      <c r="K14" s="24" t="s">
        <v>2355</v>
      </c>
      <c r="L14" s="24" t="s">
        <v>872</v>
      </c>
      <c r="M14" s="24" t="s">
        <v>85</v>
      </c>
      <c r="N14" s="24" t="n">
        <v>1188</v>
      </c>
      <c r="O14" s="24"/>
      <c r="P14" s="24" t="n">
        <v>1550</v>
      </c>
      <c r="Q14" s="24"/>
      <c r="R14" s="24"/>
      <c r="S14" s="24"/>
      <c r="T14" s="24"/>
      <c r="U14" s="24"/>
      <c r="V14" s="24"/>
      <c r="W14" s="24"/>
      <c r="X14" s="24"/>
      <c r="Y14" s="24"/>
      <c r="Z14" s="24" t="n">
        <v>894</v>
      </c>
      <c r="AA14" s="24"/>
      <c r="AB14" s="24" t="n">
        <v>1455</v>
      </c>
      <c r="AC14" s="24"/>
      <c r="AD14" s="24"/>
      <c r="AE14" s="24"/>
      <c r="AF14" s="24"/>
      <c r="AG14" s="24"/>
      <c r="AH14" s="24"/>
      <c r="AI14" s="24"/>
      <c r="AJ14" s="24"/>
      <c r="AK14" s="24"/>
      <c r="AL14" s="24" t="n">
        <v>2082</v>
      </c>
      <c r="AM14" s="24"/>
      <c r="AN14" s="24" t="n">
        <v>3005</v>
      </c>
      <c r="AO14" s="24"/>
      <c r="AP14" s="24"/>
      <c r="AQ14" s="24"/>
      <c r="AR14" s="24"/>
      <c r="AS14" s="24"/>
      <c r="AT14" s="24"/>
      <c r="AU14" s="24"/>
      <c r="AV14" s="24"/>
      <c r="AW14" s="24"/>
      <c r="AX14" s="24" t="n">
        <v>6</v>
      </c>
      <c r="AY14" s="24" t="n">
        <v>4</v>
      </c>
      <c r="AZ14" s="24" t="n">
        <f aca="false">IF(AND(N(AX14)&gt;0,N(AY14)&gt;0),SQRT(2*AX14/AY14),"")</f>
        <v>1.73205080756888</v>
      </c>
      <c r="BA14" s="24" t="n">
        <v>19</v>
      </c>
      <c r="BB14" s="24" t="n">
        <v>-7</v>
      </c>
      <c r="BC14" s="24" t="n">
        <v>40</v>
      </c>
      <c r="BD14" s="24" t="n">
        <v>100</v>
      </c>
      <c r="BE14" s="24" t="n">
        <v>41.55</v>
      </c>
      <c r="BF14" s="24" t="n">
        <v>1</v>
      </c>
      <c r="BG14" s="24" t="n">
        <v>13.4</v>
      </c>
      <c r="BH14" s="24"/>
      <c r="BI14" s="24"/>
      <c r="BJ14" s="24" t="n">
        <v>3.6</v>
      </c>
      <c r="BK14" s="24" t="n">
        <v>1.35</v>
      </c>
      <c r="BL14" s="24" t="n">
        <v>23</v>
      </c>
      <c r="BM14" s="24" t="n">
        <v>58</v>
      </c>
      <c r="BN14" s="24" t="s">
        <v>5581</v>
      </c>
      <c r="BO14" s="24" t="s">
        <v>3590</v>
      </c>
      <c r="BP14" s="24" t="s">
        <v>5505</v>
      </c>
      <c r="BQ14" s="24" t="s">
        <v>3592</v>
      </c>
      <c r="BR14" s="24" t="s">
        <v>2047</v>
      </c>
      <c r="BS14" s="25" t="s">
        <v>5583</v>
      </c>
      <c r="BT14" s="24" t="s">
        <v>1211</v>
      </c>
      <c r="BU14" s="24" t="s">
        <v>5507</v>
      </c>
    </row>
    <row r="15" customFormat="false" ht="14.25" hidden="false" customHeight="false" outlineLevel="0" collapsed="false">
      <c r="A15" s="24" t="n">
        <v>176</v>
      </c>
      <c r="B15" s="24" t="n">
        <v>176</v>
      </c>
      <c r="C15" s="24" t="s">
        <v>1191</v>
      </c>
      <c r="D15" s="24" t="n">
        <v>2015</v>
      </c>
      <c r="E15" s="24" t="s">
        <v>1192</v>
      </c>
      <c r="F15" s="24" t="s">
        <v>1195</v>
      </c>
      <c r="G15" s="24" t="s">
        <v>1196</v>
      </c>
      <c r="H15" s="24" t="n">
        <v>41.55</v>
      </c>
      <c r="I15" s="24" t="n">
        <v>60.63</v>
      </c>
      <c r="J15" s="24" t="s">
        <v>921</v>
      </c>
      <c r="K15" s="24" t="s">
        <v>2355</v>
      </c>
      <c r="L15" s="24" t="s">
        <v>872</v>
      </c>
      <c r="M15" s="24" t="s">
        <v>85</v>
      </c>
      <c r="N15" s="24" t="n">
        <v>1294</v>
      </c>
      <c r="O15" s="24"/>
      <c r="P15" s="24" t="n">
        <v>1253</v>
      </c>
      <c r="Q15" s="24"/>
      <c r="R15" s="24"/>
      <c r="S15" s="24"/>
      <c r="T15" s="24"/>
      <c r="U15" s="24"/>
      <c r="V15" s="24"/>
      <c r="W15" s="24"/>
      <c r="X15" s="24"/>
      <c r="Y15" s="24"/>
      <c r="Z15" s="24" t="n">
        <v>1051</v>
      </c>
      <c r="AA15" s="24"/>
      <c r="AB15" s="24" t="n">
        <v>1340</v>
      </c>
      <c r="AC15" s="24"/>
      <c r="AD15" s="24"/>
      <c r="AE15" s="24"/>
      <c r="AF15" s="24"/>
      <c r="AG15" s="24"/>
      <c r="AH15" s="24"/>
      <c r="AI15" s="24"/>
      <c r="AJ15" s="24"/>
      <c r="AK15" s="24"/>
      <c r="AL15" s="24" t="n">
        <v>2346</v>
      </c>
      <c r="AM15" s="24"/>
      <c r="AN15" s="24" t="n">
        <v>2592</v>
      </c>
      <c r="AO15" s="24"/>
      <c r="AP15" s="24"/>
      <c r="AQ15" s="24"/>
      <c r="AR15" s="24"/>
      <c r="AS15" s="24"/>
      <c r="AT15" s="24"/>
      <c r="AU15" s="24"/>
      <c r="AV15" s="24"/>
      <c r="AW15" s="24"/>
      <c r="AX15" s="24" t="n">
        <v>6</v>
      </c>
      <c r="AY15" s="24" t="n">
        <v>4</v>
      </c>
      <c r="AZ15" s="24" t="n">
        <f aca="false">IF(AND(N(AX15)&gt;0,N(AY15)&gt;0),SQRT(2*AX15/AY15),"")</f>
        <v>1.73205080756888</v>
      </c>
      <c r="BA15" s="24" t="n">
        <v>19</v>
      </c>
      <c r="BB15" s="24" t="n">
        <v>-7</v>
      </c>
      <c r="BC15" s="24" t="n">
        <v>40</v>
      </c>
      <c r="BD15" s="24" t="n">
        <v>100</v>
      </c>
      <c r="BE15" s="24" t="n">
        <v>41.55</v>
      </c>
      <c r="BF15" s="24" t="n">
        <v>1</v>
      </c>
      <c r="BG15" s="24" t="n">
        <v>13.4</v>
      </c>
      <c r="BH15" s="24"/>
      <c r="BI15" s="24"/>
      <c r="BJ15" s="24" t="n">
        <v>3.6</v>
      </c>
      <c r="BK15" s="24" t="n">
        <v>1.35</v>
      </c>
      <c r="BL15" s="24" t="n">
        <v>23</v>
      </c>
      <c r="BM15" s="24" t="n">
        <v>58</v>
      </c>
      <c r="BN15" s="24" t="s">
        <v>5581</v>
      </c>
      <c r="BO15" s="24" t="s">
        <v>3590</v>
      </c>
      <c r="BP15" s="24" t="s">
        <v>5505</v>
      </c>
      <c r="BQ15" s="24" t="s">
        <v>3592</v>
      </c>
      <c r="BR15" s="24" t="s">
        <v>2047</v>
      </c>
      <c r="BS15" s="25" t="s">
        <v>5584</v>
      </c>
      <c r="BT15" s="24" t="s">
        <v>1211</v>
      </c>
      <c r="BU15" s="24" t="s">
        <v>5507</v>
      </c>
    </row>
    <row r="16" customFormat="false" ht="14.25" hidden="false" customHeight="false" outlineLevel="0" collapsed="false">
      <c r="A16" s="24" t="n">
        <v>176</v>
      </c>
      <c r="B16" s="24" t="n">
        <v>176</v>
      </c>
      <c r="C16" s="24" t="s">
        <v>1191</v>
      </c>
      <c r="D16" s="24" t="n">
        <v>2015</v>
      </c>
      <c r="E16" s="24" t="s">
        <v>1192</v>
      </c>
      <c r="F16" s="24" t="s">
        <v>1195</v>
      </c>
      <c r="G16" s="24" t="s">
        <v>1196</v>
      </c>
      <c r="H16" s="24" t="n">
        <v>41.55</v>
      </c>
      <c r="I16" s="24" t="n">
        <v>60.63</v>
      </c>
      <c r="J16" s="24" t="s">
        <v>921</v>
      </c>
      <c r="K16" s="24" t="s">
        <v>2355</v>
      </c>
      <c r="L16" s="24" t="s">
        <v>872</v>
      </c>
      <c r="M16" s="24" t="s">
        <v>85</v>
      </c>
      <c r="N16" s="24" t="n">
        <v>1237</v>
      </c>
      <c r="O16" s="24"/>
      <c r="P16" s="24" t="n">
        <v>1253</v>
      </c>
      <c r="Q16" s="24"/>
      <c r="R16" s="24"/>
      <c r="S16" s="24"/>
      <c r="T16" s="24"/>
      <c r="U16" s="24"/>
      <c r="V16" s="24"/>
      <c r="W16" s="24"/>
      <c r="X16" s="24"/>
      <c r="Y16" s="24"/>
      <c r="Z16" s="24" t="n">
        <v>844</v>
      </c>
      <c r="AA16" s="24"/>
      <c r="AB16" s="24" t="n">
        <v>1340</v>
      </c>
      <c r="AC16" s="24"/>
      <c r="AD16" s="24"/>
      <c r="AE16" s="24"/>
      <c r="AF16" s="24"/>
      <c r="AG16" s="24"/>
      <c r="AH16" s="24"/>
      <c r="AI16" s="24"/>
      <c r="AJ16" s="24"/>
      <c r="AK16" s="24"/>
      <c r="AL16" s="24" t="n">
        <v>2080</v>
      </c>
      <c r="AM16" s="24"/>
      <c r="AN16" s="24" t="n">
        <v>2592</v>
      </c>
      <c r="AO16" s="24"/>
      <c r="AP16" s="24"/>
      <c r="AQ16" s="24"/>
      <c r="AR16" s="24"/>
      <c r="AS16" s="24"/>
      <c r="AT16" s="24"/>
      <c r="AU16" s="24"/>
      <c r="AV16" s="24"/>
      <c r="AW16" s="24"/>
      <c r="AX16" s="24" t="n">
        <v>6</v>
      </c>
      <c r="AY16" s="24" t="n">
        <v>4</v>
      </c>
      <c r="AZ16" s="24" t="n">
        <f aca="false">IF(AND(N(AX16)&gt;0,N(AY16)&gt;0),SQRT(2*AX16/AY16),"")</f>
        <v>1.73205080756888</v>
      </c>
      <c r="BA16" s="24" t="n">
        <v>19</v>
      </c>
      <c r="BB16" s="24" t="n">
        <v>-7</v>
      </c>
      <c r="BC16" s="24" t="n">
        <v>40</v>
      </c>
      <c r="BD16" s="24" t="n">
        <v>100</v>
      </c>
      <c r="BE16" s="24" t="n">
        <v>41.55</v>
      </c>
      <c r="BF16" s="24" t="n">
        <v>1</v>
      </c>
      <c r="BG16" s="24" t="n">
        <v>13.4</v>
      </c>
      <c r="BH16" s="24"/>
      <c r="BI16" s="24"/>
      <c r="BJ16" s="24" t="n">
        <v>3.6</v>
      </c>
      <c r="BK16" s="24" t="n">
        <v>1.35</v>
      </c>
      <c r="BL16" s="24" t="n">
        <v>23</v>
      </c>
      <c r="BM16" s="24" t="n">
        <v>58</v>
      </c>
      <c r="BN16" s="24" t="s">
        <v>5581</v>
      </c>
      <c r="BO16" s="24" t="s">
        <v>3590</v>
      </c>
      <c r="BP16" s="24" t="s">
        <v>5505</v>
      </c>
      <c r="BQ16" s="24" t="s">
        <v>3592</v>
      </c>
      <c r="BR16" s="24" t="s">
        <v>2047</v>
      </c>
      <c r="BS16" s="25" t="s">
        <v>5585</v>
      </c>
      <c r="BT16" s="24" t="s">
        <v>1211</v>
      </c>
      <c r="BU16" s="24" t="s">
        <v>5507</v>
      </c>
    </row>
    <row r="17" customFormat="false" ht="14.25" hidden="false" customHeight="false" outlineLevel="0" collapsed="false">
      <c r="A17" s="24" t="n">
        <v>176</v>
      </c>
      <c r="B17" s="24" t="n">
        <v>176</v>
      </c>
      <c r="C17" s="24" t="s">
        <v>1191</v>
      </c>
      <c r="D17" s="24" t="n">
        <v>2015</v>
      </c>
      <c r="E17" s="24" t="s">
        <v>1192</v>
      </c>
      <c r="F17" s="24" t="s">
        <v>1195</v>
      </c>
      <c r="G17" s="24" t="s">
        <v>1196</v>
      </c>
      <c r="H17" s="24" t="n">
        <v>41.55</v>
      </c>
      <c r="I17" s="24" t="n">
        <v>60.63</v>
      </c>
      <c r="J17" s="24" t="s">
        <v>921</v>
      </c>
      <c r="K17" s="24" t="s">
        <v>4865</v>
      </c>
      <c r="L17" s="24" t="s">
        <v>872</v>
      </c>
      <c r="M17" s="24" t="s">
        <v>85</v>
      </c>
      <c r="N17" s="24" t="n">
        <v>1118</v>
      </c>
      <c r="O17" s="24"/>
      <c r="P17" s="24" t="n">
        <v>1190</v>
      </c>
      <c r="Q17" s="24"/>
      <c r="R17" s="24"/>
      <c r="S17" s="24"/>
      <c r="T17" s="24"/>
      <c r="U17" s="24"/>
      <c r="V17" s="24"/>
      <c r="W17" s="24"/>
      <c r="X17" s="24"/>
      <c r="Y17" s="24"/>
      <c r="Z17" s="24" t="n">
        <v>898</v>
      </c>
      <c r="AA17" s="24"/>
      <c r="AB17" s="24" t="n">
        <v>1251</v>
      </c>
      <c r="AC17" s="24"/>
      <c r="AD17" s="24"/>
      <c r="AE17" s="24"/>
      <c r="AF17" s="24"/>
      <c r="AG17" s="24"/>
      <c r="AH17" s="24"/>
      <c r="AI17" s="24"/>
      <c r="AJ17" s="24"/>
      <c r="AK17" s="24"/>
      <c r="AL17" s="24" t="n">
        <v>2015</v>
      </c>
      <c r="AM17" s="24"/>
      <c r="AN17" s="24" t="n">
        <v>2441</v>
      </c>
      <c r="AO17" s="24"/>
      <c r="AP17" s="24"/>
      <c r="AQ17" s="24"/>
      <c r="AR17" s="24"/>
      <c r="AS17" s="24"/>
      <c r="AT17" s="24"/>
      <c r="AU17" s="24"/>
      <c r="AV17" s="24"/>
      <c r="AW17" s="24"/>
      <c r="AX17" s="24" t="n">
        <v>6</v>
      </c>
      <c r="AY17" s="24" t="n">
        <v>4</v>
      </c>
      <c r="AZ17" s="24" t="n">
        <f aca="false">IF(AND(N(AX17)&gt;0,N(AY17)&gt;0),SQRT(2*AX17/AY17),"")</f>
        <v>1.73205080756888</v>
      </c>
      <c r="BA17" s="24" t="n">
        <v>19</v>
      </c>
      <c r="BB17" s="24" t="n">
        <v>-7</v>
      </c>
      <c r="BC17" s="24" t="n">
        <v>40</v>
      </c>
      <c r="BD17" s="24" t="n">
        <v>100</v>
      </c>
      <c r="BE17" s="24" t="n">
        <v>41.55</v>
      </c>
      <c r="BF17" s="24" t="n">
        <v>2</v>
      </c>
      <c r="BG17" s="24" t="n">
        <v>13.4</v>
      </c>
      <c r="BH17" s="24"/>
      <c r="BI17" s="24"/>
      <c r="BJ17" s="24" t="n">
        <v>3.6</v>
      </c>
      <c r="BK17" s="24" t="n">
        <v>1.35</v>
      </c>
      <c r="BL17" s="24" t="n">
        <v>23</v>
      </c>
      <c r="BM17" s="24" t="n">
        <v>58</v>
      </c>
      <c r="BN17" s="24" t="s">
        <v>5581</v>
      </c>
      <c r="BO17" s="24" t="s">
        <v>3590</v>
      </c>
      <c r="BP17" s="24" t="s">
        <v>5511</v>
      </c>
      <c r="BQ17" s="24" t="s">
        <v>3592</v>
      </c>
      <c r="BR17" s="24" t="s">
        <v>2047</v>
      </c>
      <c r="BS17" s="25" t="s">
        <v>5586</v>
      </c>
      <c r="BT17" s="24" t="s">
        <v>1211</v>
      </c>
      <c r="BU17" s="24" t="s">
        <v>5507</v>
      </c>
    </row>
    <row r="18" customFormat="false" ht="14.25" hidden="false" customHeight="false" outlineLevel="0" collapsed="false">
      <c r="A18" s="24" t="n">
        <v>176</v>
      </c>
      <c r="B18" s="24" t="n">
        <v>176</v>
      </c>
      <c r="C18" s="24" t="s">
        <v>1191</v>
      </c>
      <c r="D18" s="24" t="n">
        <v>2015</v>
      </c>
      <c r="E18" s="24" t="s">
        <v>1192</v>
      </c>
      <c r="F18" s="24" t="s">
        <v>1195</v>
      </c>
      <c r="G18" s="24" t="s">
        <v>1196</v>
      </c>
      <c r="H18" s="24" t="n">
        <v>41.55</v>
      </c>
      <c r="I18" s="24" t="n">
        <v>60.63</v>
      </c>
      <c r="J18" s="24" t="s">
        <v>921</v>
      </c>
      <c r="K18" s="24" t="s">
        <v>4865</v>
      </c>
      <c r="L18" s="24" t="s">
        <v>872</v>
      </c>
      <c r="M18" s="24" t="s">
        <v>85</v>
      </c>
      <c r="N18" s="24" t="n">
        <v>945</v>
      </c>
      <c r="O18" s="24"/>
      <c r="P18" s="24" t="n">
        <v>1190</v>
      </c>
      <c r="Q18" s="24"/>
      <c r="R18" s="24"/>
      <c r="S18" s="24"/>
      <c r="T18" s="24"/>
      <c r="U18" s="24"/>
      <c r="V18" s="24"/>
      <c r="W18" s="24"/>
      <c r="X18" s="24"/>
      <c r="Y18" s="24"/>
      <c r="Z18" s="24" t="n">
        <v>58</v>
      </c>
      <c r="AA18" s="24"/>
      <c r="AB18" s="24" t="n">
        <v>1251</v>
      </c>
      <c r="AC18" s="24"/>
      <c r="AD18" s="24"/>
      <c r="AE18" s="24"/>
      <c r="AF18" s="24"/>
      <c r="AG18" s="24"/>
      <c r="AH18" s="24"/>
      <c r="AI18" s="24"/>
      <c r="AJ18" s="24"/>
      <c r="AK18" s="24"/>
      <c r="AL18" s="24" t="n">
        <v>1003</v>
      </c>
      <c r="AM18" s="24"/>
      <c r="AN18" s="24" t="n">
        <v>2441</v>
      </c>
      <c r="AO18" s="24"/>
      <c r="AP18" s="24"/>
      <c r="AQ18" s="24"/>
      <c r="AR18" s="24"/>
      <c r="AS18" s="24"/>
      <c r="AT18" s="24"/>
      <c r="AU18" s="24"/>
      <c r="AV18" s="24"/>
      <c r="AW18" s="24"/>
      <c r="AX18" s="24" t="n">
        <v>6</v>
      </c>
      <c r="AY18" s="24" t="n">
        <v>4</v>
      </c>
      <c r="AZ18" s="24" t="n">
        <f aca="false">IF(AND(N(AX18)&gt;0,N(AY18)&gt;0),SQRT(2*AX18/AY18),"")</f>
        <v>1.73205080756888</v>
      </c>
      <c r="BA18" s="24" t="n">
        <v>19</v>
      </c>
      <c r="BB18" s="24" t="n">
        <v>-7</v>
      </c>
      <c r="BC18" s="24" t="n">
        <v>40</v>
      </c>
      <c r="BD18" s="24" t="n">
        <v>100</v>
      </c>
      <c r="BE18" s="24" t="n">
        <v>41.55</v>
      </c>
      <c r="BF18" s="24" t="n">
        <v>2</v>
      </c>
      <c r="BG18" s="24" t="n">
        <v>13.4</v>
      </c>
      <c r="BH18" s="24"/>
      <c r="BI18" s="24"/>
      <c r="BJ18" s="24" t="n">
        <v>3.6</v>
      </c>
      <c r="BK18" s="24" t="n">
        <v>1.35</v>
      </c>
      <c r="BL18" s="24" t="n">
        <v>23</v>
      </c>
      <c r="BM18" s="24" t="n">
        <v>58</v>
      </c>
      <c r="BN18" s="24" t="s">
        <v>5581</v>
      </c>
      <c r="BO18" s="24" t="s">
        <v>3590</v>
      </c>
      <c r="BP18" s="24" t="s">
        <v>5511</v>
      </c>
      <c r="BQ18" s="24" t="s">
        <v>3592</v>
      </c>
      <c r="BR18" s="24" t="s">
        <v>2047</v>
      </c>
      <c r="BS18" s="25" t="s">
        <v>5587</v>
      </c>
      <c r="BT18" s="24" t="s">
        <v>1211</v>
      </c>
      <c r="BU18" s="24" t="s">
        <v>5507</v>
      </c>
    </row>
    <row r="19" customFormat="false" ht="14.25" hidden="false" customHeight="false" outlineLevel="0" collapsed="false">
      <c r="A19" s="24" t="n">
        <v>176</v>
      </c>
      <c r="B19" s="24" t="n">
        <v>176</v>
      </c>
      <c r="C19" s="24" t="s">
        <v>1191</v>
      </c>
      <c r="D19" s="24" t="n">
        <v>2015</v>
      </c>
      <c r="E19" s="24" t="s">
        <v>1192</v>
      </c>
      <c r="F19" s="24" t="s">
        <v>1195</v>
      </c>
      <c r="G19" s="24" t="s">
        <v>1196</v>
      </c>
      <c r="H19" s="24" t="n">
        <v>41.55</v>
      </c>
      <c r="I19" s="24" t="n">
        <v>60.63</v>
      </c>
      <c r="J19" s="24" t="s">
        <v>921</v>
      </c>
      <c r="K19" s="24" t="s">
        <v>4865</v>
      </c>
      <c r="L19" s="24" t="s">
        <v>872</v>
      </c>
      <c r="M19" s="24" t="s">
        <v>85</v>
      </c>
      <c r="N19" s="24" t="n">
        <v>1054</v>
      </c>
      <c r="O19" s="24"/>
      <c r="P19" s="24" t="n">
        <v>1263</v>
      </c>
      <c r="Q19" s="24"/>
      <c r="R19" s="24"/>
      <c r="S19" s="24"/>
      <c r="T19" s="24"/>
      <c r="U19" s="24"/>
      <c r="V19" s="24"/>
      <c r="W19" s="24"/>
      <c r="X19" s="24"/>
      <c r="Y19" s="24"/>
      <c r="Z19" s="24" t="n">
        <v>698</v>
      </c>
      <c r="AA19" s="24"/>
      <c r="AB19" s="24" t="n">
        <v>1437</v>
      </c>
      <c r="AC19" s="24"/>
      <c r="AD19" s="24"/>
      <c r="AE19" s="24"/>
      <c r="AF19" s="24"/>
      <c r="AG19" s="24"/>
      <c r="AH19" s="24"/>
      <c r="AI19" s="24"/>
      <c r="AJ19" s="24"/>
      <c r="AK19" s="24"/>
      <c r="AL19" s="24" t="n">
        <v>1751</v>
      </c>
      <c r="AM19" s="24"/>
      <c r="AN19" s="24" t="n">
        <v>2700</v>
      </c>
      <c r="AO19" s="24"/>
      <c r="AP19" s="24"/>
      <c r="AQ19" s="24"/>
      <c r="AR19" s="24"/>
      <c r="AS19" s="24"/>
      <c r="AT19" s="24"/>
      <c r="AU19" s="24"/>
      <c r="AV19" s="24"/>
      <c r="AW19" s="24"/>
      <c r="AX19" s="24" t="n">
        <v>6</v>
      </c>
      <c r="AY19" s="24" t="n">
        <v>4</v>
      </c>
      <c r="AZ19" s="24" t="n">
        <f aca="false">IF(AND(N(AX19)&gt;0,N(AY19)&gt;0),SQRT(2*AX19/AY19),"")</f>
        <v>1.73205080756888</v>
      </c>
      <c r="BA19" s="24" t="n">
        <v>19</v>
      </c>
      <c r="BB19" s="24" t="n">
        <v>-7</v>
      </c>
      <c r="BC19" s="24" t="n">
        <v>40</v>
      </c>
      <c r="BD19" s="24" t="n">
        <v>100</v>
      </c>
      <c r="BE19" s="24" t="n">
        <v>41.55</v>
      </c>
      <c r="BF19" s="24" t="n">
        <v>2</v>
      </c>
      <c r="BG19" s="24" t="n">
        <v>13.4</v>
      </c>
      <c r="BH19" s="24"/>
      <c r="BI19" s="24"/>
      <c r="BJ19" s="24" t="n">
        <v>3.6</v>
      </c>
      <c r="BK19" s="24" t="n">
        <v>1.35</v>
      </c>
      <c r="BL19" s="24" t="n">
        <v>23</v>
      </c>
      <c r="BM19" s="24" t="n">
        <v>58</v>
      </c>
      <c r="BN19" s="24" t="s">
        <v>5581</v>
      </c>
      <c r="BO19" s="24" t="s">
        <v>3590</v>
      </c>
      <c r="BP19" s="24" t="s">
        <v>5511</v>
      </c>
      <c r="BQ19" s="24" t="s">
        <v>3592</v>
      </c>
      <c r="BR19" s="24" t="s">
        <v>2047</v>
      </c>
      <c r="BS19" s="25" t="s">
        <v>5588</v>
      </c>
      <c r="BT19" s="24" t="s">
        <v>1211</v>
      </c>
      <c r="BU19" s="24" t="s">
        <v>5507</v>
      </c>
    </row>
    <row r="20" customFormat="false" ht="14.25" hidden="false" customHeight="false" outlineLevel="0" collapsed="false">
      <c r="A20" s="24" t="n">
        <v>176</v>
      </c>
      <c r="B20" s="24" t="n">
        <v>176</v>
      </c>
      <c r="C20" s="24" t="s">
        <v>1191</v>
      </c>
      <c r="D20" s="24" t="n">
        <v>2015</v>
      </c>
      <c r="E20" s="24" t="s">
        <v>1192</v>
      </c>
      <c r="F20" s="24" t="s">
        <v>1195</v>
      </c>
      <c r="G20" s="24" t="s">
        <v>1196</v>
      </c>
      <c r="H20" s="24" t="n">
        <v>41.55</v>
      </c>
      <c r="I20" s="24" t="n">
        <v>60.63</v>
      </c>
      <c r="J20" s="24" t="s">
        <v>921</v>
      </c>
      <c r="K20" s="24" t="s">
        <v>4865</v>
      </c>
      <c r="L20" s="24" t="s">
        <v>872</v>
      </c>
      <c r="M20" s="24" t="s">
        <v>85</v>
      </c>
      <c r="N20" s="24" t="n">
        <v>814</v>
      </c>
      <c r="O20" s="24"/>
      <c r="P20" s="24" t="n">
        <v>1263</v>
      </c>
      <c r="Q20" s="24"/>
      <c r="R20" s="24"/>
      <c r="S20" s="24"/>
      <c r="T20" s="24"/>
      <c r="U20" s="24"/>
      <c r="V20" s="24"/>
      <c r="W20" s="24"/>
      <c r="X20" s="24"/>
      <c r="Y20" s="24"/>
      <c r="Z20" s="24" t="n">
        <v>-134</v>
      </c>
      <c r="AA20" s="24"/>
      <c r="AB20" s="24" t="n">
        <v>1437</v>
      </c>
      <c r="AC20" s="24"/>
      <c r="AD20" s="24"/>
      <c r="AE20" s="24"/>
      <c r="AF20" s="24"/>
      <c r="AG20" s="24"/>
      <c r="AH20" s="24"/>
      <c r="AI20" s="24"/>
      <c r="AJ20" s="24"/>
      <c r="AK20" s="24"/>
      <c r="AL20" s="24" t="n">
        <v>679</v>
      </c>
      <c r="AM20" s="24"/>
      <c r="AN20" s="24" t="n">
        <v>2700</v>
      </c>
      <c r="AO20" s="24"/>
      <c r="AP20" s="24"/>
      <c r="AQ20" s="24"/>
      <c r="AR20" s="24"/>
      <c r="AS20" s="24"/>
      <c r="AT20" s="24"/>
      <c r="AU20" s="24"/>
      <c r="AV20" s="24"/>
      <c r="AW20" s="24"/>
      <c r="AX20" s="24" t="n">
        <v>6</v>
      </c>
      <c r="AY20" s="24" t="n">
        <v>4</v>
      </c>
      <c r="AZ20" s="24" t="n">
        <f aca="false">IF(AND(N(AX20)&gt;0,N(AY20)&gt;0),SQRT(2*AX20/AY20),"")</f>
        <v>1.73205080756888</v>
      </c>
      <c r="BA20" s="24" t="n">
        <v>19</v>
      </c>
      <c r="BB20" s="24" t="n">
        <v>-7</v>
      </c>
      <c r="BC20" s="24" t="n">
        <v>40</v>
      </c>
      <c r="BD20" s="24" t="n">
        <v>100</v>
      </c>
      <c r="BE20" s="24" t="n">
        <v>41.55</v>
      </c>
      <c r="BF20" s="24" t="n">
        <v>2</v>
      </c>
      <c r="BG20" s="24" t="n">
        <v>13.4</v>
      </c>
      <c r="BH20" s="24"/>
      <c r="BI20" s="24"/>
      <c r="BJ20" s="24" t="n">
        <v>3.6</v>
      </c>
      <c r="BK20" s="24" t="n">
        <v>1.35</v>
      </c>
      <c r="BL20" s="24" t="n">
        <v>23</v>
      </c>
      <c r="BM20" s="24" t="n">
        <v>58</v>
      </c>
      <c r="BN20" s="24" t="s">
        <v>5581</v>
      </c>
      <c r="BO20" s="24" t="s">
        <v>3590</v>
      </c>
      <c r="BP20" s="24" t="s">
        <v>5511</v>
      </c>
      <c r="BQ20" s="24" t="s">
        <v>3592</v>
      </c>
      <c r="BR20" s="24" t="s">
        <v>2047</v>
      </c>
      <c r="BS20" s="25" t="s">
        <v>5589</v>
      </c>
      <c r="BT20" s="24" t="s">
        <v>1211</v>
      </c>
      <c r="BU20" s="24" t="s">
        <v>5507</v>
      </c>
    </row>
    <row r="21" customFormat="false" ht="14.25" hidden="false" customHeight="false" outlineLevel="0" collapsed="false">
      <c r="A21" s="24" t="s">
        <v>1225</v>
      </c>
      <c r="B21" s="24" t="s">
        <v>1225</v>
      </c>
      <c r="C21" s="24" t="s">
        <v>1226</v>
      </c>
      <c r="D21" s="24" t="n">
        <v>2018</v>
      </c>
      <c r="E21" s="24" t="s">
        <v>1227</v>
      </c>
      <c r="F21" s="24" t="s">
        <v>1083</v>
      </c>
      <c r="G21" s="24" t="s">
        <v>1230</v>
      </c>
      <c r="H21" s="24" t="n">
        <v>26.67</v>
      </c>
      <c r="I21" s="24" t="n">
        <v>87.13</v>
      </c>
      <c r="J21" s="24" t="s">
        <v>83</v>
      </c>
      <c r="K21" s="24" t="s">
        <v>2075</v>
      </c>
      <c r="L21" s="24" t="s">
        <v>872</v>
      </c>
      <c r="M21" s="24" t="s">
        <v>85</v>
      </c>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t="n">
        <v>139386</v>
      </c>
      <c r="AM21" s="24" t="n">
        <v>130040</v>
      </c>
      <c r="AN21" s="24"/>
      <c r="AO21" s="24"/>
      <c r="AP21" s="24"/>
      <c r="AQ21" s="24"/>
      <c r="AR21" s="24"/>
      <c r="AS21" s="24"/>
      <c r="AT21" s="24" t="n">
        <v>143656</v>
      </c>
      <c r="AU21" s="24"/>
      <c r="AV21" s="24"/>
      <c r="AW21" s="24"/>
      <c r="AX21" s="24" t="n">
        <v>2</v>
      </c>
      <c r="AY21" s="24" t="n">
        <v>3</v>
      </c>
      <c r="AZ21" s="24" t="n">
        <f aca="false">IF(AND(N(AX21)&gt;0,N(AY21)&gt;0),SQRT(2*AX21/AY21),"")</f>
        <v>1.15470053837925</v>
      </c>
      <c r="BA21" s="24"/>
      <c r="BB21" s="24" t="n">
        <v>10</v>
      </c>
      <c r="BC21" s="24" t="n">
        <v>43</v>
      </c>
      <c r="BD21" s="24" t="n">
        <v>1943</v>
      </c>
      <c r="BE21" s="24" t="n">
        <v>26.67</v>
      </c>
      <c r="BF21" s="24" t="n">
        <v>2</v>
      </c>
      <c r="BG21" s="24"/>
      <c r="BH21" s="24"/>
      <c r="BI21" s="24"/>
      <c r="BJ21" s="24"/>
      <c r="BK21" s="24"/>
      <c r="BL21" s="24"/>
      <c r="BM21" s="24"/>
      <c r="BN21" s="24" t="s">
        <v>5590</v>
      </c>
      <c r="BO21" s="24" t="s">
        <v>5048</v>
      </c>
      <c r="BP21" s="24" t="s">
        <v>5055</v>
      </c>
      <c r="BQ21" s="24" t="s">
        <v>5050</v>
      </c>
      <c r="BR21" s="24" t="s">
        <v>91</v>
      </c>
      <c r="BS21" s="25" t="s">
        <v>5591</v>
      </c>
      <c r="BT21" s="24" t="s">
        <v>1237</v>
      </c>
      <c r="BU21" s="24" t="s">
        <v>5057</v>
      </c>
    </row>
    <row r="22" customFormat="false" ht="14.25" hidden="false" customHeight="false" outlineLevel="0" collapsed="false">
      <c r="A22" s="24" t="s">
        <v>1225</v>
      </c>
      <c r="B22" s="24" t="s">
        <v>1225</v>
      </c>
      <c r="C22" s="24" t="s">
        <v>1226</v>
      </c>
      <c r="D22" s="24" t="n">
        <v>2018</v>
      </c>
      <c r="E22" s="24" t="s">
        <v>1227</v>
      </c>
      <c r="F22" s="24" t="s">
        <v>1083</v>
      </c>
      <c r="G22" s="24" t="s">
        <v>1230</v>
      </c>
      <c r="H22" s="24" t="n">
        <v>26.67</v>
      </c>
      <c r="I22" s="24" t="n">
        <v>87.13</v>
      </c>
      <c r="J22" s="24" t="s">
        <v>83</v>
      </c>
      <c r="K22" s="24" t="s">
        <v>2075</v>
      </c>
      <c r="L22" s="24" t="s">
        <v>872</v>
      </c>
      <c r="M22" s="24" t="s">
        <v>85</v>
      </c>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t="n">
        <v>157514</v>
      </c>
      <c r="AM22" s="24" t="n">
        <v>130040</v>
      </c>
      <c r="AN22" s="24"/>
      <c r="AO22" s="24"/>
      <c r="AP22" s="24"/>
      <c r="AQ22" s="24"/>
      <c r="AR22" s="24"/>
      <c r="AS22" s="24"/>
      <c r="AT22" s="24" t="n">
        <v>143656</v>
      </c>
      <c r="AU22" s="24"/>
      <c r="AV22" s="24"/>
      <c r="AW22" s="24"/>
      <c r="AX22" s="24" t="n">
        <v>2</v>
      </c>
      <c r="AY22" s="24" t="n">
        <v>3</v>
      </c>
      <c r="AZ22" s="24" t="n">
        <f aca="false">IF(AND(N(AX22)&gt;0,N(AY22)&gt;0),SQRT(2*AX22/AY22),"")</f>
        <v>1.15470053837925</v>
      </c>
      <c r="BA22" s="24"/>
      <c r="BB22" s="24" t="n">
        <v>10</v>
      </c>
      <c r="BC22" s="24" t="n">
        <v>43</v>
      </c>
      <c r="BD22" s="24" t="n">
        <v>1943</v>
      </c>
      <c r="BE22" s="24" t="n">
        <v>26.67</v>
      </c>
      <c r="BF22" s="24" t="n">
        <v>2</v>
      </c>
      <c r="BG22" s="24"/>
      <c r="BH22" s="24"/>
      <c r="BI22" s="24"/>
      <c r="BJ22" s="24"/>
      <c r="BK22" s="24"/>
      <c r="BL22" s="24"/>
      <c r="BM22" s="24"/>
      <c r="BN22" s="24" t="s">
        <v>5590</v>
      </c>
      <c r="BO22" s="24" t="s">
        <v>5048</v>
      </c>
      <c r="BP22" s="24" t="s">
        <v>5055</v>
      </c>
      <c r="BQ22" s="24" t="s">
        <v>5050</v>
      </c>
      <c r="BR22" s="24" t="s">
        <v>91</v>
      </c>
      <c r="BS22" s="25" t="s">
        <v>5592</v>
      </c>
      <c r="BT22" s="24" t="s">
        <v>1237</v>
      </c>
      <c r="BU22" s="24" t="s">
        <v>5057</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5593</v>
      </c>
      <c r="O1" s="27" t="s">
        <v>5594</v>
      </c>
      <c r="P1" s="27" t="s">
        <v>5595</v>
      </c>
      <c r="Q1" s="27" t="s">
        <v>5596</v>
      </c>
      <c r="R1" s="27" t="s">
        <v>5597</v>
      </c>
      <c r="S1" s="27" t="s">
        <v>5598</v>
      </c>
      <c r="T1" s="27" t="s">
        <v>5599</v>
      </c>
      <c r="U1" s="27" t="s">
        <v>5600</v>
      </c>
      <c r="V1" s="30" t="s">
        <v>5601</v>
      </c>
      <c r="W1" s="30" t="s">
        <v>5602</v>
      </c>
      <c r="X1" s="30" t="s">
        <v>5603</v>
      </c>
      <c r="Y1" s="30" t="s">
        <v>5604</v>
      </c>
      <c r="Z1" s="27" t="s">
        <v>5605</v>
      </c>
      <c r="AA1" s="27" t="s">
        <v>5606</v>
      </c>
      <c r="AB1" s="27" t="s">
        <v>5607</v>
      </c>
      <c r="AC1" s="27" t="s">
        <v>5608</v>
      </c>
      <c r="AD1" s="27" t="s">
        <v>5609</v>
      </c>
      <c r="AE1" s="27" t="s">
        <v>5610</v>
      </c>
      <c r="AF1" s="27" t="s">
        <v>5611</v>
      </c>
      <c r="AG1" s="27" t="s">
        <v>5612</v>
      </c>
      <c r="AH1" s="30" t="s">
        <v>5613</v>
      </c>
      <c r="AI1" s="30" t="s">
        <v>5614</v>
      </c>
      <c r="AJ1" s="30" t="s">
        <v>5615</v>
      </c>
      <c r="AK1" s="30" t="s">
        <v>5616</v>
      </c>
      <c r="AL1" s="27" t="s">
        <v>5617</v>
      </c>
      <c r="AM1" s="27" t="s">
        <v>5618</v>
      </c>
      <c r="AN1" s="27" t="s">
        <v>5619</v>
      </c>
      <c r="AO1" s="27" t="s">
        <v>5620</v>
      </c>
      <c r="AP1" s="27" t="s">
        <v>5621</v>
      </c>
      <c r="AQ1" s="27" t="s">
        <v>5622</v>
      </c>
      <c r="AR1" s="27" t="s">
        <v>5623</v>
      </c>
      <c r="AS1" s="27" t="s">
        <v>5624</v>
      </c>
      <c r="AT1" s="30" t="s">
        <v>5625</v>
      </c>
      <c r="AU1" s="30" t="s">
        <v>5626</v>
      </c>
      <c r="AV1" s="30" t="s">
        <v>5627</v>
      </c>
      <c r="AW1" s="30" t="s">
        <v>5628</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1548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5629</v>
      </c>
      <c r="Q1" s="27" t="s">
        <v>5630</v>
      </c>
      <c r="R1" s="27" t="s">
        <v>5631</v>
      </c>
      <c r="S1" s="27" t="s">
        <v>5632</v>
      </c>
      <c r="T1" s="27" t="s">
        <v>5633</v>
      </c>
      <c r="U1" s="27" t="s">
        <v>5634</v>
      </c>
      <c r="V1" s="27" t="s">
        <v>5635</v>
      </c>
      <c r="W1" s="27" t="s">
        <v>5636</v>
      </c>
      <c r="X1" s="30" t="s">
        <v>5637</v>
      </c>
      <c r="Y1" s="30" t="s">
        <v>5638</v>
      </c>
      <c r="Z1" s="30" t="s">
        <v>5639</v>
      </c>
      <c r="AA1" s="30" t="s">
        <v>5640</v>
      </c>
      <c r="AB1" s="28" t="s">
        <v>35</v>
      </c>
      <c r="AC1" s="28" t="s">
        <v>33</v>
      </c>
      <c r="AD1" s="28" t="s">
        <v>37</v>
      </c>
      <c r="AE1" s="21" t="s">
        <v>73</v>
      </c>
      <c r="AF1" s="21" t="s">
        <v>826</v>
      </c>
      <c r="AG1" s="21" t="s">
        <v>827</v>
      </c>
      <c r="AH1" s="21" t="s">
        <v>74</v>
      </c>
      <c r="AI1" s="21" t="s">
        <v>2036</v>
      </c>
      <c r="AJ1" s="21" t="s">
        <v>2037</v>
      </c>
      <c r="AK1" s="21" t="s">
        <v>828</v>
      </c>
      <c r="AL1" s="21" t="s">
        <v>829</v>
      </c>
      <c r="AM1" s="21" t="s">
        <v>75</v>
      </c>
      <c r="AN1" s="21" t="s">
        <v>824</v>
      </c>
      <c r="AO1" s="21" t="s">
        <v>825</v>
      </c>
      <c r="AP1" s="21" t="s">
        <v>822</v>
      </c>
      <c r="AQ1" s="21" t="s">
        <v>823</v>
      </c>
      <c r="AR1" s="22" t="s">
        <v>76</v>
      </c>
      <c r="AS1" s="22" t="s">
        <v>77</v>
      </c>
      <c r="AT1" s="22" t="s">
        <v>2038</v>
      </c>
      <c r="AU1" s="22" t="s">
        <v>2039</v>
      </c>
      <c r="AV1" s="22" t="s">
        <v>78</v>
      </c>
      <c r="AW1" s="22" t="s">
        <v>841</v>
      </c>
      <c r="AX1" s="22" t="s">
        <v>2040</v>
      </c>
      <c r="AY1" s="22" t="s">
        <v>2041</v>
      </c>
      <c r="BA1" s="31" t="s">
        <v>2042</v>
      </c>
    </row>
    <row r="2" customFormat="false" ht="15" hidden="false" customHeight="true" outlineLevel="0" collapsed="false">
      <c r="A2" s="5" t="s">
        <v>1064</v>
      </c>
      <c r="B2" s="5" t="s">
        <v>1064</v>
      </c>
      <c r="C2" s="5" t="s">
        <v>1065</v>
      </c>
      <c r="D2" s="5" t="n">
        <v>2022</v>
      </c>
      <c r="E2" s="5" t="s">
        <v>80</v>
      </c>
      <c r="F2" s="5" t="s">
        <v>942</v>
      </c>
      <c r="G2" s="5" t="s">
        <v>943</v>
      </c>
      <c r="H2" s="5" t="n">
        <v>29.706</v>
      </c>
      <c r="I2" s="5" t="n">
        <v>76.956</v>
      </c>
      <c r="J2" s="5" t="s">
        <v>83</v>
      </c>
      <c r="K2" s="5" t="n">
        <v>2019</v>
      </c>
      <c r="L2" s="5" t="s">
        <v>84</v>
      </c>
      <c r="M2" s="5" t="s">
        <v>85</v>
      </c>
      <c r="N2" s="5" t="s">
        <v>86</v>
      </c>
      <c r="O2" s="5" t="s">
        <v>2097</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5641</v>
      </c>
      <c r="AS2" s="5" t="s">
        <v>2119</v>
      </c>
      <c r="AT2" s="5" t="s">
        <v>2120</v>
      </c>
      <c r="AU2" s="5" t="s">
        <v>2121</v>
      </c>
      <c r="AV2" s="5" t="s">
        <v>2115</v>
      </c>
      <c r="AW2" s="23" t="s">
        <v>5642</v>
      </c>
      <c r="AX2" s="5" t="s">
        <v>1076</v>
      </c>
      <c r="AY2" s="5" t="s">
        <v>5643</v>
      </c>
      <c r="BA2" s="34" t="s">
        <v>1550</v>
      </c>
    </row>
    <row r="3" customFormat="false" ht="14.25" hidden="false" customHeight="true" outlineLevel="0" collapsed="false">
      <c r="A3" s="5" t="s">
        <v>1064</v>
      </c>
      <c r="B3" s="5" t="s">
        <v>1064</v>
      </c>
      <c r="C3" s="5" t="s">
        <v>1065</v>
      </c>
      <c r="D3" s="5" t="n">
        <v>2022</v>
      </c>
      <c r="E3" s="5" t="s">
        <v>80</v>
      </c>
      <c r="F3" s="5" t="s">
        <v>942</v>
      </c>
      <c r="G3" s="5" t="s">
        <v>943</v>
      </c>
      <c r="H3" s="5" t="n">
        <v>29.706</v>
      </c>
      <c r="I3" s="5" t="n">
        <v>76.956</v>
      </c>
      <c r="J3" s="5" t="s">
        <v>83</v>
      </c>
      <c r="K3" s="5" t="n">
        <v>2019</v>
      </c>
      <c r="L3" s="5" t="s">
        <v>84</v>
      </c>
      <c r="M3" s="5" t="s">
        <v>85</v>
      </c>
      <c r="N3" s="5" t="s">
        <v>86</v>
      </c>
      <c r="O3" s="5" t="s">
        <v>2124</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5641</v>
      </c>
      <c r="AS3" s="5" t="s">
        <v>2119</v>
      </c>
      <c r="AT3" s="5" t="s">
        <v>2120</v>
      </c>
      <c r="AU3" s="5" t="s">
        <v>2121</v>
      </c>
      <c r="AV3" s="5" t="s">
        <v>2115</v>
      </c>
      <c r="AW3" s="23" t="s">
        <v>5644</v>
      </c>
      <c r="AX3" s="5" t="s">
        <v>1076</v>
      </c>
      <c r="AY3" s="5" t="s">
        <v>5643</v>
      </c>
    </row>
    <row r="4" customFormat="false" ht="14.25" hidden="false" customHeight="true" outlineLevel="0" collapsed="false">
      <c r="A4" s="5" t="s">
        <v>1064</v>
      </c>
      <c r="B4" s="5" t="s">
        <v>1064</v>
      </c>
      <c r="C4" s="5" t="s">
        <v>1065</v>
      </c>
      <c r="D4" s="5" t="n">
        <v>2022</v>
      </c>
      <c r="E4" s="5" t="s">
        <v>80</v>
      </c>
      <c r="F4" s="5" t="s">
        <v>942</v>
      </c>
      <c r="G4" s="5" t="s">
        <v>943</v>
      </c>
      <c r="H4" s="5" t="n">
        <v>29.706</v>
      </c>
      <c r="I4" s="5" t="n">
        <v>76.956</v>
      </c>
      <c r="J4" s="5" t="s">
        <v>83</v>
      </c>
      <c r="K4" s="5" t="n">
        <v>2019</v>
      </c>
      <c r="L4" s="5" t="s">
        <v>84</v>
      </c>
      <c r="M4" s="5" t="s">
        <v>85</v>
      </c>
      <c r="N4" s="5" t="s">
        <v>2050</v>
      </c>
      <c r="O4" s="5" t="s">
        <v>2051</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5641</v>
      </c>
      <c r="AS4" s="5" t="s">
        <v>2119</v>
      </c>
      <c r="AT4" s="5" t="s">
        <v>2120</v>
      </c>
      <c r="AU4" s="5" t="s">
        <v>2121</v>
      </c>
      <c r="AV4" s="5" t="s">
        <v>2115</v>
      </c>
      <c r="AW4" s="23" t="s">
        <v>5645</v>
      </c>
      <c r="AX4" s="5" t="s">
        <v>1076</v>
      </c>
      <c r="AY4" s="5" t="s">
        <v>5643</v>
      </c>
    </row>
    <row r="5" customFormat="false" ht="14.25" hidden="false" customHeight="true" outlineLevel="0" collapsed="false">
      <c r="A5" s="18" t="n">
        <v>173</v>
      </c>
      <c r="B5" s="18" t="n">
        <v>173</v>
      </c>
      <c r="C5" s="18" t="s">
        <v>1133</v>
      </c>
      <c r="D5" s="18" t="n">
        <v>2023</v>
      </c>
      <c r="E5" s="18" t="s">
        <v>1134</v>
      </c>
      <c r="F5" s="18" t="s">
        <v>866</v>
      </c>
      <c r="G5" s="18" t="s">
        <v>1137</v>
      </c>
      <c r="H5" s="18" t="n">
        <v>28.633</v>
      </c>
      <c r="I5" s="18" t="n">
        <v>77.15</v>
      </c>
      <c r="J5" s="18" t="s">
        <v>83</v>
      </c>
      <c r="K5" s="18" t="n">
        <v>2020</v>
      </c>
      <c r="L5" s="18" t="s">
        <v>84</v>
      </c>
      <c r="M5" s="18" t="s">
        <v>85</v>
      </c>
      <c r="N5" s="18" t="s">
        <v>86</v>
      </c>
      <c r="O5" s="18" t="s">
        <v>2043</v>
      </c>
      <c r="P5" s="18" t="n">
        <v>0.69</v>
      </c>
      <c r="Q5" s="18" t="n">
        <v>0.32</v>
      </c>
      <c r="R5" s="18"/>
      <c r="S5" s="18" t="n">
        <v>0.51</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5646</v>
      </c>
      <c r="AS5" s="18" t="s">
        <v>2165</v>
      </c>
      <c r="AT5" s="18" t="s">
        <v>2166</v>
      </c>
      <c r="AU5" s="18" t="s">
        <v>2167</v>
      </c>
      <c r="AV5" s="18" t="s">
        <v>4557</v>
      </c>
      <c r="AW5" s="32" t="s">
        <v>5647</v>
      </c>
      <c r="AX5" s="18" t="s">
        <v>1148</v>
      </c>
      <c r="AY5" s="18" t="s">
        <v>5648</v>
      </c>
    </row>
    <row r="6" customFormat="false" ht="14.25" hidden="false" customHeight="true" outlineLevel="0" collapsed="false">
      <c r="A6" s="18" t="n">
        <v>173</v>
      </c>
      <c r="B6" s="18" t="n">
        <v>173</v>
      </c>
      <c r="C6" s="18" t="s">
        <v>1133</v>
      </c>
      <c r="D6" s="18" t="n">
        <v>2023</v>
      </c>
      <c r="E6" s="18" t="s">
        <v>1134</v>
      </c>
      <c r="F6" s="18" t="s">
        <v>866</v>
      </c>
      <c r="G6" s="18" t="s">
        <v>1137</v>
      </c>
      <c r="H6" s="18" t="n">
        <v>28.633</v>
      </c>
      <c r="I6" s="18" t="n">
        <v>77.15</v>
      </c>
      <c r="J6" s="18" t="s">
        <v>83</v>
      </c>
      <c r="K6" s="18" t="n">
        <v>2020</v>
      </c>
      <c r="L6" s="18" t="s">
        <v>84</v>
      </c>
      <c r="M6" s="18" t="s">
        <v>85</v>
      </c>
      <c r="N6" s="18" t="s">
        <v>86</v>
      </c>
      <c r="O6" s="18" t="s">
        <v>2043</v>
      </c>
      <c r="P6" s="18" t="n">
        <v>0.64</v>
      </c>
      <c r="Q6" s="18" t="n">
        <v>0.29</v>
      </c>
      <c r="R6" s="18"/>
      <c r="S6" s="18" t="n">
        <v>0.43</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5646</v>
      </c>
      <c r="AS6" s="18" t="s">
        <v>2165</v>
      </c>
      <c r="AT6" s="18" t="s">
        <v>2166</v>
      </c>
      <c r="AU6" s="18" t="s">
        <v>2167</v>
      </c>
      <c r="AV6" s="18" t="s">
        <v>4557</v>
      </c>
      <c r="AW6" s="32" t="s">
        <v>5649</v>
      </c>
      <c r="AX6" s="18" t="s">
        <v>1148</v>
      </c>
      <c r="AY6" s="18" t="s">
        <v>5648</v>
      </c>
    </row>
    <row r="7" customFormat="false" ht="14.25" hidden="false" customHeight="true" outlineLevel="0" collapsed="false">
      <c r="A7" s="18" t="n">
        <v>173</v>
      </c>
      <c r="B7" s="18" t="n">
        <v>173</v>
      </c>
      <c r="C7" s="18" t="s">
        <v>1133</v>
      </c>
      <c r="D7" s="18" t="n">
        <v>2023</v>
      </c>
      <c r="E7" s="18" t="s">
        <v>1134</v>
      </c>
      <c r="F7" s="18" t="s">
        <v>866</v>
      </c>
      <c r="G7" s="18" t="s">
        <v>1137</v>
      </c>
      <c r="H7" s="18" t="n">
        <v>28.633</v>
      </c>
      <c r="I7" s="18" t="n">
        <v>77.15</v>
      </c>
      <c r="J7" s="18" t="s">
        <v>83</v>
      </c>
      <c r="K7" s="18" t="n">
        <v>2020</v>
      </c>
      <c r="L7" s="18" t="s">
        <v>84</v>
      </c>
      <c r="M7" s="18" t="s">
        <v>85</v>
      </c>
      <c r="N7" s="18" t="s">
        <v>86</v>
      </c>
      <c r="O7" s="18" t="s">
        <v>2043</v>
      </c>
      <c r="P7" s="18" t="n">
        <v>0.94</v>
      </c>
      <c r="Q7" s="18" t="n">
        <v>0.32</v>
      </c>
      <c r="R7" s="18"/>
      <c r="S7" s="18" t="n">
        <v>0.51</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5646</v>
      </c>
      <c r="AS7" s="18" t="s">
        <v>2165</v>
      </c>
      <c r="AT7" s="18" t="s">
        <v>2166</v>
      </c>
      <c r="AU7" s="18" t="s">
        <v>2167</v>
      </c>
      <c r="AV7" s="18" t="s">
        <v>4557</v>
      </c>
      <c r="AW7" s="32" t="s">
        <v>5650</v>
      </c>
      <c r="AX7" s="18" t="s">
        <v>1148</v>
      </c>
      <c r="AY7" s="18" t="s">
        <v>5648</v>
      </c>
    </row>
    <row r="8" customFormat="false" ht="14.25" hidden="false" customHeight="true" outlineLevel="0" collapsed="false">
      <c r="A8" s="18" t="n">
        <v>173</v>
      </c>
      <c r="B8" s="18" t="n">
        <v>173</v>
      </c>
      <c r="C8" s="18" t="s">
        <v>1133</v>
      </c>
      <c r="D8" s="18" t="n">
        <v>2023</v>
      </c>
      <c r="E8" s="18" t="s">
        <v>1134</v>
      </c>
      <c r="F8" s="18" t="s">
        <v>866</v>
      </c>
      <c r="G8" s="18" t="s">
        <v>1137</v>
      </c>
      <c r="H8" s="18" t="n">
        <v>28.633</v>
      </c>
      <c r="I8" s="18" t="n">
        <v>77.15</v>
      </c>
      <c r="J8" s="18" t="s">
        <v>83</v>
      </c>
      <c r="K8" s="18" t="n">
        <v>2020</v>
      </c>
      <c r="L8" s="18" t="s">
        <v>84</v>
      </c>
      <c r="M8" s="18" t="s">
        <v>85</v>
      </c>
      <c r="N8" s="18" t="s">
        <v>86</v>
      </c>
      <c r="O8" s="18" t="s">
        <v>2043</v>
      </c>
      <c r="P8" s="18" t="n">
        <v>0.83</v>
      </c>
      <c r="Q8" s="18" t="n">
        <v>0.29</v>
      </c>
      <c r="R8" s="18"/>
      <c r="S8" s="18" t="n">
        <v>0.43</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5646</v>
      </c>
      <c r="AS8" s="18" t="s">
        <v>2165</v>
      </c>
      <c r="AT8" s="18" t="s">
        <v>2166</v>
      </c>
      <c r="AU8" s="18" t="s">
        <v>2167</v>
      </c>
      <c r="AV8" s="18" t="s">
        <v>4557</v>
      </c>
      <c r="AW8" s="32" t="s">
        <v>5651</v>
      </c>
      <c r="AX8" s="18" t="s">
        <v>1148</v>
      </c>
      <c r="AY8" s="18" t="s">
        <v>5648</v>
      </c>
    </row>
    <row r="9" customFormat="false" ht="14.25" hidden="false" customHeight="true" outlineLevel="0" collapsed="false">
      <c r="A9" s="18" t="n">
        <v>173</v>
      </c>
      <c r="B9" s="18" t="n">
        <v>173</v>
      </c>
      <c r="C9" s="18" t="s">
        <v>1133</v>
      </c>
      <c r="D9" s="18" t="n">
        <v>2023</v>
      </c>
      <c r="E9" s="18" t="s">
        <v>1134</v>
      </c>
      <c r="F9" s="18" t="s">
        <v>866</v>
      </c>
      <c r="G9" s="18" t="s">
        <v>1137</v>
      </c>
      <c r="H9" s="18" t="n">
        <v>28.633</v>
      </c>
      <c r="I9" s="18" t="n">
        <v>77.15</v>
      </c>
      <c r="J9" s="18" t="s">
        <v>83</v>
      </c>
      <c r="K9" s="18" t="n">
        <v>2020</v>
      </c>
      <c r="L9" s="18" t="s">
        <v>84</v>
      </c>
      <c r="M9" s="18" t="s">
        <v>85</v>
      </c>
      <c r="N9" s="18" t="s">
        <v>2050</v>
      </c>
      <c r="O9" s="18" t="s">
        <v>2051</v>
      </c>
      <c r="P9" s="18" t="n">
        <v>0.44</v>
      </c>
      <c r="Q9" s="18" t="n">
        <v>0.25</v>
      </c>
      <c r="R9" s="18"/>
      <c r="S9" s="18" t="n">
        <v>0.48</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5646</v>
      </c>
      <c r="AS9" s="18" t="s">
        <v>2165</v>
      </c>
      <c r="AT9" s="18" t="s">
        <v>2166</v>
      </c>
      <c r="AU9" s="18" t="s">
        <v>2167</v>
      </c>
      <c r="AV9" s="18" t="s">
        <v>4557</v>
      </c>
      <c r="AW9" s="32" t="s">
        <v>5652</v>
      </c>
      <c r="AX9" s="18" t="s">
        <v>1148</v>
      </c>
      <c r="AY9" s="18" t="s">
        <v>5648</v>
      </c>
    </row>
    <row r="10" customFormat="false" ht="14.25" hidden="false" customHeight="true" outlineLevel="0" collapsed="false">
      <c r="A10" s="18" t="n">
        <v>173</v>
      </c>
      <c r="B10" s="18" t="n">
        <v>173</v>
      </c>
      <c r="C10" s="18" t="s">
        <v>1133</v>
      </c>
      <c r="D10" s="18" t="n">
        <v>2023</v>
      </c>
      <c r="E10" s="18" t="s">
        <v>1134</v>
      </c>
      <c r="F10" s="18" t="s">
        <v>866</v>
      </c>
      <c r="G10" s="18" t="s">
        <v>1137</v>
      </c>
      <c r="H10" s="18" t="n">
        <v>28.633</v>
      </c>
      <c r="I10" s="18" t="n">
        <v>77.15</v>
      </c>
      <c r="J10" s="18" t="s">
        <v>83</v>
      </c>
      <c r="K10" s="18" t="n">
        <v>2020</v>
      </c>
      <c r="L10" s="18" t="s">
        <v>84</v>
      </c>
      <c r="M10" s="18" t="s">
        <v>85</v>
      </c>
      <c r="N10" s="18" t="s">
        <v>2050</v>
      </c>
      <c r="O10" s="18" t="s">
        <v>2051</v>
      </c>
      <c r="P10" s="18" t="n">
        <v>0.47</v>
      </c>
      <c r="Q10" s="18" t="n">
        <v>0.3</v>
      </c>
      <c r="R10" s="18"/>
      <c r="S10" s="18" t="n">
        <v>0.31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5646</v>
      </c>
      <c r="AS10" s="18" t="s">
        <v>2165</v>
      </c>
      <c r="AT10" s="18" t="s">
        <v>2166</v>
      </c>
      <c r="AU10" s="18" t="s">
        <v>2167</v>
      </c>
      <c r="AV10" s="18" t="s">
        <v>4557</v>
      </c>
      <c r="AW10" s="32" t="s">
        <v>5653</v>
      </c>
      <c r="AX10" s="18" t="s">
        <v>1148</v>
      </c>
      <c r="AY10" s="18" t="s">
        <v>5648</v>
      </c>
    </row>
    <row r="11" customFormat="false" ht="14.25" hidden="false" customHeight="true" outlineLevel="0" collapsed="false">
      <c r="A11" s="18" t="n">
        <v>173</v>
      </c>
      <c r="B11" s="18" t="n">
        <v>173</v>
      </c>
      <c r="C11" s="18" t="s">
        <v>1133</v>
      </c>
      <c r="D11" s="18" t="n">
        <v>2023</v>
      </c>
      <c r="E11" s="18" t="s">
        <v>1134</v>
      </c>
      <c r="F11" s="18" t="s">
        <v>866</v>
      </c>
      <c r="G11" s="18" t="s">
        <v>1137</v>
      </c>
      <c r="H11" s="18" t="n">
        <v>28.633</v>
      </c>
      <c r="I11" s="18" t="n">
        <v>77.15</v>
      </c>
      <c r="J11" s="18" t="s">
        <v>83</v>
      </c>
      <c r="K11" s="18" t="n">
        <v>2020</v>
      </c>
      <c r="L11" s="18" t="s">
        <v>84</v>
      </c>
      <c r="M11" s="18" t="s">
        <v>85</v>
      </c>
      <c r="N11" s="18" t="s">
        <v>2050</v>
      </c>
      <c r="O11" s="18" t="s">
        <v>2051</v>
      </c>
      <c r="P11" s="18" t="n">
        <v>0.88</v>
      </c>
      <c r="Q11" s="18" t="n">
        <v>0.25</v>
      </c>
      <c r="R11" s="18"/>
      <c r="S11" s="18" t="n">
        <v>0.48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5646</v>
      </c>
      <c r="AS11" s="18" t="s">
        <v>2165</v>
      </c>
      <c r="AT11" s="18" t="s">
        <v>2166</v>
      </c>
      <c r="AU11" s="18" t="s">
        <v>2167</v>
      </c>
      <c r="AV11" s="18" t="s">
        <v>4557</v>
      </c>
      <c r="AW11" s="32" t="s">
        <v>5654</v>
      </c>
      <c r="AX11" s="18" t="s">
        <v>1148</v>
      </c>
      <c r="AY11" s="18" t="s">
        <v>5648</v>
      </c>
    </row>
    <row r="12" customFormat="false" ht="14.25" hidden="false" customHeight="true" outlineLevel="0" collapsed="false">
      <c r="A12" s="18" t="n">
        <v>173</v>
      </c>
      <c r="B12" s="18" t="n">
        <v>173</v>
      </c>
      <c r="C12" s="18" t="s">
        <v>1133</v>
      </c>
      <c r="D12" s="18" t="n">
        <v>2023</v>
      </c>
      <c r="E12" s="18" t="s">
        <v>1134</v>
      </c>
      <c r="F12" s="18" t="s">
        <v>866</v>
      </c>
      <c r="G12" s="18" t="s">
        <v>1137</v>
      </c>
      <c r="H12" s="18" t="n">
        <v>28.633</v>
      </c>
      <c r="I12" s="18" t="n">
        <v>77.15</v>
      </c>
      <c r="J12" s="18" t="s">
        <v>83</v>
      </c>
      <c r="K12" s="18" t="n">
        <v>2020</v>
      </c>
      <c r="L12" s="18" t="s">
        <v>84</v>
      </c>
      <c r="M12" s="18" t="s">
        <v>85</v>
      </c>
      <c r="N12" s="18" t="s">
        <v>2050</v>
      </c>
      <c r="O12" s="18" t="s">
        <v>2051</v>
      </c>
      <c r="P12" s="18" t="n">
        <v>0.82</v>
      </c>
      <c r="Q12" s="18" t="n">
        <v>0.3</v>
      </c>
      <c r="R12" s="18"/>
      <c r="S12" s="18" t="n">
        <v>0.31</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5646</v>
      </c>
      <c r="AS12" s="18" t="s">
        <v>2165</v>
      </c>
      <c r="AT12" s="18" t="s">
        <v>2166</v>
      </c>
      <c r="AU12" s="18" t="s">
        <v>2167</v>
      </c>
      <c r="AV12" s="18" t="s">
        <v>4557</v>
      </c>
      <c r="AW12" s="32" t="s">
        <v>5655</v>
      </c>
      <c r="AX12" s="18" t="s">
        <v>1148</v>
      </c>
      <c r="AY12" s="18" t="s">
        <v>5648</v>
      </c>
    </row>
    <row r="13" customFormat="false" ht="14.25" hidden="false" customHeight="true" outlineLevel="0" collapsed="false">
      <c r="A13" s="18" t="n">
        <v>173</v>
      </c>
      <c r="B13" s="18" t="n">
        <v>173</v>
      </c>
      <c r="C13" s="18" t="s">
        <v>1133</v>
      </c>
      <c r="D13" s="18" t="n">
        <v>2023</v>
      </c>
      <c r="E13" s="18" t="s">
        <v>1134</v>
      </c>
      <c r="F13" s="18" t="s">
        <v>866</v>
      </c>
      <c r="G13" s="18" t="s">
        <v>1137</v>
      </c>
      <c r="H13" s="18" t="n">
        <v>28.633</v>
      </c>
      <c r="I13" s="18" t="n">
        <v>77.15</v>
      </c>
      <c r="J13" s="18" t="s">
        <v>83</v>
      </c>
      <c r="K13" s="18" t="n">
        <v>2020</v>
      </c>
      <c r="L13" s="18" t="s">
        <v>84</v>
      </c>
      <c r="M13" s="18" t="s">
        <v>85</v>
      </c>
      <c r="N13" s="18" t="s">
        <v>2177</v>
      </c>
      <c r="O13" s="18" t="s">
        <v>2178</v>
      </c>
      <c r="P13" s="18" t="n">
        <v>0.66</v>
      </c>
      <c r="Q13" s="18" t="n">
        <v>0.58</v>
      </c>
      <c r="R13" s="18"/>
      <c r="S13" s="18" t="n">
        <v>0.66</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5646</v>
      </c>
      <c r="AS13" s="18" t="s">
        <v>2165</v>
      </c>
      <c r="AT13" s="18" t="s">
        <v>2166</v>
      </c>
      <c r="AU13" s="18" t="s">
        <v>2167</v>
      </c>
      <c r="AV13" s="18" t="s">
        <v>4557</v>
      </c>
      <c r="AW13" s="32" t="s">
        <v>5656</v>
      </c>
      <c r="AX13" s="18" t="s">
        <v>1148</v>
      </c>
      <c r="AY13" s="18" t="s">
        <v>5648</v>
      </c>
    </row>
    <row r="14" customFormat="false" ht="14.25" hidden="false" customHeight="true" outlineLevel="0" collapsed="false">
      <c r="A14" s="18" t="n">
        <v>173</v>
      </c>
      <c r="B14" s="18" t="n">
        <v>173</v>
      </c>
      <c r="C14" s="18" t="s">
        <v>1133</v>
      </c>
      <c r="D14" s="18" t="n">
        <v>2023</v>
      </c>
      <c r="E14" s="18" t="s">
        <v>1134</v>
      </c>
      <c r="F14" s="18" t="s">
        <v>866</v>
      </c>
      <c r="G14" s="18" t="s">
        <v>1137</v>
      </c>
      <c r="H14" s="18" t="n">
        <v>28.633</v>
      </c>
      <c r="I14" s="18" t="n">
        <v>77.15</v>
      </c>
      <c r="J14" s="18" t="s">
        <v>83</v>
      </c>
      <c r="K14" s="18" t="n">
        <v>2020</v>
      </c>
      <c r="L14" s="18" t="s">
        <v>84</v>
      </c>
      <c r="M14" s="18" t="s">
        <v>85</v>
      </c>
      <c r="N14" s="18" t="s">
        <v>2177</v>
      </c>
      <c r="O14" s="18" t="s">
        <v>2178</v>
      </c>
      <c r="P14" s="18" t="n">
        <v>0.72</v>
      </c>
      <c r="Q14" s="18" t="n">
        <v>0.55</v>
      </c>
      <c r="R14" s="18"/>
      <c r="S14" s="18" t="n">
        <v>0.63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5646</v>
      </c>
      <c r="AS14" s="18" t="s">
        <v>2165</v>
      </c>
      <c r="AT14" s="18" t="s">
        <v>2166</v>
      </c>
      <c r="AU14" s="18" t="s">
        <v>2167</v>
      </c>
      <c r="AV14" s="18" t="s">
        <v>4557</v>
      </c>
      <c r="AW14" s="32" t="s">
        <v>5657</v>
      </c>
      <c r="AX14" s="18" t="s">
        <v>1148</v>
      </c>
      <c r="AY14" s="18" t="s">
        <v>5648</v>
      </c>
    </row>
    <row r="15" customFormat="false" ht="14.25" hidden="false" customHeight="true" outlineLevel="0" collapsed="false">
      <c r="A15" s="18" t="n">
        <v>173</v>
      </c>
      <c r="B15" s="18" t="n">
        <v>173</v>
      </c>
      <c r="C15" s="18" t="s">
        <v>1133</v>
      </c>
      <c r="D15" s="18" t="n">
        <v>2023</v>
      </c>
      <c r="E15" s="18" t="s">
        <v>1134</v>
      </c>
      <c r="F15" s="18" t="s">
        <v>866</v>
      </c>
      <c r="G15" s="18" t="s">
        <v>1137</v>
      </c>
      <c r="H15" s="18" t="n">
        <v>28.633</v>
      </c>
      <c r="I15" s="18" t="n">
        <v>77.15</v>
      </c>
      <c r="J15" s="18" t="s">
        <v>83</v>
      </c>
      <c r="K15" s="18" t="n">
        <v>2020</v>
      </c>
      <c r="L15" s="18" t="s">
        <v>84</v>
      </c>
      <c r="M15" s="18" t="s">
        <v>85</v>
      </c>
      <c r="N15" s="18" t="s">
        <v>2177</v>
      </c>
      <c r="O15" s="18" t="s">
        <v>2178</v>
      </c>
      <c r="P15" s="18" t="n">
        <v>0.79</v>
      </c>
      <c r="Q15" s="18" t="n">
        <v>0.58</v>
      </c>
      <c r="R15" s="18"/>
      <c r="S15" s="18" t="n">
        <v>0.66</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5646</v>
      </c>
      <c r="AS15" s="18" t="s">
        <v>2165</v>
      </c>
      <c r="AT15" s="18" t="s">
        <v>2166</v>
      </c>
      <c r="AU15" s="18" t="s">
        <v>2167</v>
      </c>
      <c r="AV15" s="18" t="s">
        <v>4557</v>
      </c>
      <c r="AW15" s="32" t="s">
        <v>5658</v>
      </c>
      <c r="AX15" s="18" t="s">
        <v>1148</v>
      </c>
      <c r="AY15" s="18" t="s">
        <v>5648</v>
      </c>
    </row>
    <row r="16" customFormat="false" ht="14.25" hidden="false" customHeight="true" outlineLevel="0" collapsed="false">
      <c r="A16" s="18" t="n">
        <v>173</v>
      </c>
      <c r="B16" s="18" t="n">
        <v>173</v>
      </c>
      <c r="C16" s="18" t="s">
        <v>1133</v>
      </c>
      <c r="D16" s="18" t="n">
        <v>2023</v>
      </c>
      <c r="E16" s="18" t="s">
        <v>1134</v>
      </c>
      <c r="F16" s="18" t="s">
        <v>866</v>
      </c>
      <c r="G16" s="18" t="s">
        <v>1137</v>
      </c>
      <c r="H16" s="18" t="n">
        <v>28.633</v>
      </c>
      <c r="I16" s="18" t="n">
        <v>77.15</v>
      </c>
      <c r="J16" s="18" t="s">
        <v>83</v>
      </c>
      <c r="K16" s="18" t="n">
        <v>2020</v>
      </c>
      <c r="L16" s="18" t="s">
        <v>84</v>
      </c>
      <c r="M16" s="18" t="s">
        <v>85</v>
      </c>
      <c r="N16" s="18" t="s">
        <v>2177</v>
      </c>
      <c r="O16" s="18" t="s">
        <v>2178</v>
      </c>
      <c r="P16" s="18" t="n">
        <v>0.83</v>
      </c>
      <c r="Q16" s="18" t="n">
        <v>0.55</v>
      </c>
      <c r="R16" s="18"/>
      <c r="S16" s="18" t="n">
        <v>0.63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5646</v>
      </c>
      <c r="AS16" s="18" t="s">
        <v>2165</v>
      </c>
      <c r="AT16" s="18" t="s">
        <v>2166</v>
      </c>
      <c r="AU16" s="18" t="s">
        <v>2167</v>
      </c>
      <c r="AV16" s="18" t="s">
        <v>4557</v>
      </c>
      <c r="AW16" s="32" t="s">
        <v>5659</v>
      </c>
      <c r="AX16" s="18" t="s">
        <v>1148</v>
      </c>
      <c r="AY16" s="18" t="s">
        <v>5648</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5660</v>
      </c>
      <c r="O1" s="27" t="s">
        <v>5661</v>
      </c>
      <c r="P1" s="27" t="s">
        <v>5662</v>
      </c>
      <c r="Q1" s="27" t="s">
        <v>5663</v>
      </c>
      <c r="R1" s="27" t="s">
        <v>5664</v>
      </c>
      <c r="S1" s="27" t="s">
        <v>5665</v>
      </c>
      <c r="T1" s="27" t="s">
        <v>5666</v>
      </c>
      <c r="U1" s="27" t="s">
        <v>5667</v>
      </c>
      <c r="V1" s="30" t="s">
        <v>5668</v>
      </c>
      <c r="W1" s="30" t="s">
        <v>5669</v>
      </c>
      <c r="X1" s="30" t="s">
        <v>5670</v>
      </c>
      <c r="Y1" s="30" t="s">
        <v>5671</v>
      </c>
      <c r="Z1" s="27" t="s">
        <v>5672</v>
      </c>
      <c r="AA1" s="27" t="s">
        <v>5673</v>
      </c>
      <c r="AB1" s="27" t="s">
        <v>5674</v>
      </c>
      <c r="AC1" s="27" t="s">
        <v>5675</v>
      </c>
      <c r="AD1" s="27" t="s">
        <v>5676</v>
      </c>
      <c r="AE1" s="27" t="s">
        <v>5677</v>
      </c>
      <c r="AF1" s="27" t="s">
        <v>5678</v>
      </c>
      <c r="AG1" s="27" t="s">
        <v>5679</v>
      </c>
      <c r="AH1" s="30" t="s">
        <v>5680</v>
      </c>
      <c r="AI1" s="30" t="s">
        <v>5681</v>
      </c>
      <c r="AJ1" s="30" t="s">
        <v>5682</v>
      </c>
      <c r="AK1" s="30" t="s">
        <v>5683</v>
      </c>
      <c r="AL1" s="27" t="s">
        <v>5684</v>
      </c>
      <c r="AM1" s="27" t="s">
        <v>5685</v>
      </c>
      <c r="AN1" s="27" t="s">
        <v>5686</v>
      </c>
      <c r="AO1" s="27" t="s">
        <v>5687</v>
      </c>
      <c r="AP1" s="27" t="s">
        <v>5688</v>
      </c>
      <c r="AQ1" s="27" t="s">
        <v>5689</v>
      </c>
      <c r="AR1" s="27" t="s">
        <v>5690</v>
      </c>
      <c r="AS1" s="27" t="s">
        <v>5691</v>
      </c>
      <c r="AT1" s="30" t="s">
        <v>5692</v>
      </c>
      <c r="AU1" s="30" t="s">
        <v>5693</v>
      </c>
      <c r="AV1" s="30" t="s">
        <v>5694</v>
      </c>
      <c r="AW1" s="30" t="s">
        <v>5695</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1552</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5696</v>
      </c>
      <c r="O1" s="27" t="s">
        <v>5697</v>
      </c>
      <c r="P1" s="27" t="s">
        <v>5698</v>
      </c>
      <c r="Q1" s="27" t="s">
        <v>5699</v>
      </c>
      <c r="R1" s="27" t="s">
        <v>5700</v>
      </c>
      <c r="S1" s="27" t="s">
        <v>5701</v>
      </c>
      <c r="T1" s="27" t="s">
        <v>5702</v>
      </c>
      <c r="U1" s="27" t="s">
        <v>5703</v>
      </c>
      <c r="V1" s="30" t="s">
        <v>5704</v>
      </c>
      <c r="W1" s="30" t="s">
        <v>5705</v>
      </c>
      <c r="X1" s="30" t="s">
        <v>5706</v>
      </c>
      <c r="Y1" s="30" t="s">
        <v>5707</v>
      </c>
      <c r="Z1" s="27" t="s">
        <v>5708</v>
      </c>
      <c r="AA1" s="27" t="s">
        <v>5709</v>
      </c>
      <c r="AB1" s="27" t="s">
        <v>5710</v>
      </c>
      <c r="AC1" s="27" t="s">
        <v>5711</v>
      </c>
      <c r="AD1" s="27" t="s">
        <v>5712</v>
      </c>
      <c r="AE1" s="27" t="s">
        <v>5713</v>
      </c>
      <c r="AF1" s="27" t="s">
        <v>5714</v>
      </c>
      <c r="AG1" s="27" t="s">
        <v>5715</v>
      </c>
      <c r="AH1" s="30" t="s">
        <v>5716</v>
      </c>
      <c r="AI1" s="30" t="s">
        <v>5717</v>
      </c>
      <c r="AJ1" s="30" t="s">
        <v>5718</v>
      </c>
      <c r="AK1" s="30" t="s">
        <v>5719</v>
      </c>
      <c r="AL1" s="27" t="s">
        <v>5720</v>
      </c>
      <c r="AM1" s="27" t="s">
        <v>5721</v>
      </c>
      <c r="AN1" s="27" t="s">
        <v>5722</v>
      </c>
      <c r="AO1" s="27" t="s">
        <v>5723</v>
      </c>
      <c r="AP1" s="27" t="s">
        <v>5724</v>
      </c>
      <c r="AQ1" s="27" t="s">
        <v>5725</v>
      </c>
      <c r="AR1" s="27" t="s">
        <v>5726</v>
      </c>
      <c r="AS1" s="27" t="s">
        <v>5727</v>
      </c>
      <c r="AT1" s="30" t="s">
        <v>5728</v>
      </c>
      <c r="AU1" s="30" t="s">
        <v>5729</v>
      </c>
      <c r="AV1" s="30" t="s">
        <v>5730</v>
      </c>
      <c r="AW1" s="30" t="s">
        <v>5731</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1554</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5732</v>
      </c>
      <c r="O1" s="27" t="s">
        <v>5733</v>
      </c>
      <c r="P1" s="27" t="s">
        <v>5734</v>
      </c>
      <c r="Q1" s="27" t="s">
        <v>5735</v>
      </c>
      <c r="R1" s="27" t="s">
        <v>5736</v>
      </c>
      <c r="S1" s="27" t="s">
        <v>5737</v>
      </c>
      <c r="T1" s="27" t="s">
        <v>5738</v>
      </c>
      <c r="U1" s="27" t="s">
        <v>5739</v>
      </c>
      <c r="V1" s="30" t="s">
        <v>5740</v>
      </c>
      <c r="W1" s="30" t="s">
        <v>5741</v>
      </c>
      <c r="X1" s="30" t="s">
        <v>5742</v>
      </c>
      <c r="Y1" s="30" t="s">
        <v>5743</v>
      </c>
      <c r="Z1" s="27" t="s">
        <v>5744</v>
      </c>
      <c r="AA1" s="27" t="s">
        <v>5745</v>
      </c>
      <c r="AB1" s="27" t="s">
        <v>5746</v>
      </c>
      <c r="AC1" s="27" t="s">
        <v>5747</v>
      </c>
      <c r="AD1" s="27" t="s">
        <v>5748</v>
      </c>
      <c r="AE1" s="27" t="s">
        <v>5749</v>
      </c>
      <c r="AF1" s="27" t="s">
        <v>5750</v>
      </c>
      <c r="AG1" s="27" t="s">
        <v>5751</v>
      </c>
      <c r="AH1" s="30" t="s">
        <v>5752</v>
      </c>
      <c r="AI1" s="30" t="s">
        <v>5753</v>
      </c>
      <c r="AJ1" s="30" t="s">
        <v>5754</v>
      </c>
      <c r="AK1" s="30" t="s">
        <v>5755</v>
      </c>
      <c r="AL1" s="27" t="s">
        <v>5756</v>
      </c>
      <c r="AM1" s="27" t="s">
        <v>5757</v>
      </c>
      <c r="AN1" s="27" t="s">
        <v>5758</v>
      </c>
      <c r="AO1" s="27" t="s">
        <v>5759</v>
      </c>
      <c r="AP1" s="27" t="s">
        <v>5760</v>
      </c>
      <c r="AQ1" s="27" t="s">
        <v>5761</v>
      </c>
      <c r="AR1" s="27" t="s">
        <v>5762</v>
      </c>
      <c r="AS1" s="27" t="s">
        <v>5763</v>
      </c>
      <c r="AT1" s="30" t="s">
        <v>5764</v>
      </c>
      <c r="AU1" s="30" t="s">
        <v>5765</v>
      </c>
      <c r="AV1" s="30" t="s">
        <v>5766</v>
      </c>
      <c r="AW1" s="30" t="s">
        <v>5767</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1556</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5768</v>
      </c>
      <c r="O1" s="27" t="s">
        <v>5769</v>
      </c>
      <c r="P1" s="27" t="s">
        <v>5770</v>
      </c>
      <c r="Q1" s="27" t="s">
        <v>5771</v>
      </c>
      <c r="R1" s="27" t="s">
        <v>5772</v>
      </c>
      <c r="S1" s="27" t="s">
        <v>5773</v>
      </c>
      <c r="T1" s="27" t="s">
        <v>5774</v>
      </c>
      <c r="U1" s="27" t="s">
        <v>5775</v>
      </c>
      <c r="V1" s="30" t="s">
        <v>5776</v>
      </c>
      <c r="W1" s="30" t="s">
        <v>5777</v>
      </c>
      <c r="X1" s="30" t="s">
        <v>5778</v>
      </c>
      <c r="Y1" s="30" t="s">
        <v>5779</v>
      </c>
      <c r="Z1" s="27" t="s">
        <v>5780</v>
      </c>
      <c r="AA1" s="27" t="s">
        <v>5781</v>
      </c>
      <c r="AB1" s="27" t="s">
        <v>5782</v>
      </c>
      <c r="AC1" s="27" t="s">
        <v>5783</v>
      </c>
      <c r="AD1" s="27" t="s">
        <v>5784</v>
      </c>
      <c r="AE1" s="27" t="s">
        <v>5785</v>
      </c>
      <c r="AF1" s="27" t="s">
        <v>5786</v>
      </c>
      <c r="AG1" s="27" t="s">
        <v>5787</v>
      </c>
      <c r="AH1" s="30" t="s">
        <v>5788</v>
      </c>
      <c r="AI1" s="30" t="s">
        <v>5789</v>
      </c>
      <c r="AJ1" s="30" t="s">
        <v>5790</v>
      </c>
      <c r="AK1" s="30" t="s">
        <v>5791</v>
      </c>
      <c r="AL1" s="27" t="s">
        <v>5792</v>
      </c>
      <c r="AM1" s="27" t="s">
        <v>5793</v>
      </c>
      <c r="AN1" s="27" t="s">
        <v>5794</v>
      </c>
      <c r="AO1" s="27" t="s">
        <v>5795</v>
      </c>
      <c r="AP1" s="27" t="s">
        <v>5796</v>
      </c>
      <c r="AQ1" s="27" t="s">
        <v>5797</v>
      </c>
      <c r="AR1" s="27" t="s">
        <v>5798</v>
      </c>
      <c r="AS1" s="27" t="s">
        <v>5799</v>
      </c>
      <c r="AT1" s="30" t="s">
        <v>5800</v>
      </c>
      <c r="AU1" s="30" t="s">
        <v>5801</v>
      </c>
      <c r="AV1" s="30" t="s">
        <v>5802</v>
      </c>
      <c r="AW1" s="30" t="s">
        <v>5803</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1558</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5804</v>
      </c>
      <c r="O1" s="27" t="s">
        <v>5805</v>
      </c>
      <c r="P1" s="27" t="s">
        <v>5806</v>
      </c>
      <c r="Q1" s="27" t="s">
        <v>5807</v>
      </c>
      <c r="R1" s="27" t="s">
        <v>5808</v>
      </c>
      <c r="S1" s="27" t="s">
        <v>5809</v>
      </c>
      <c r="T1" s="27" t="s">
        <v>5810</v>
      </c>
      <c r="U1" s="27" t="s">
        <v>5811</v>
      </c>
      <c r="V1" s="30" t="s">
        <v>5812</v>
      </c>
      <c r="W1" s="30" t="s">
        <v>5813</v>
      </c>
      <c r="X1" s="30" t="s">
        <v>5814</v>
      </c>
      <c r="Y1" s="30" t="s">
        <v>5815</v>
      </c>
      <c r="Z1" s="27" t="s">
        <v>5816</v>
      </c>
      <c r="AA1" s="27" t="s">
        <v>5817</v>
      </c>
      <c r="AB1" s="27" t="s">
        <v>5818</v>
      </c>
      <c r="AC1" s="27" t="s">
        <v>5819</v>
      </c>
      <c r="AD1" s="27" t="s">
        <v>5820</v>
      </c>
      <c r="AE1" s="27" t="s">
        <v>5821</v>
      </c>
      <c r="AF1" s="27" t="s">
        <v>5822</v>
      </c>
      <c r="AG1" s="27" t="s">
        <v>5823</v>
      </c>
      <c r="AH1" s="30" t="s">
        <v>5824</v>
      </c>
      <c r="AI1" s="30" t="s">
        <v>5825</v>
      </c>
      <c r="AJ1" s="30" t="s">
        <v>5826</v>
      </c>
      <c r="AK1" s="30" t="s">
        <v>5827</v>
      </c>
      <c r="AL1" s="27" t="s">
        <v>5828</v>
      </c>
      <c r="AM1" s="27" t="s">
        <v>5829</v>
      </c>
      <c r="AN1" s="27" t="s">
        <v>5830</v>
      </c>
      <c r="AO1" s="27" t="s">
        <v>5831</v>
      </c>
      <c r="AP1" s="27" t="s">
        <v>5832</v>
      </c>
      <c r="AQ1" s="27" t="s">
        <v>5833</v>
      </c>
      <c r="AR1" s="27" t="s">
        <v>5834</v>
      </c>
      <c r="AS1" s="27" t="s">
        <v>5835</v>
      </c>
      <c r="AT1" s="30" t="s">
        <v>5836</v>
      </c>
      <c r="AU1" s="30" t="s">
        <v>5837</v>
      </c>
      <c r="AV1" s="30" t="s">
        <v>5838</v>
      </c>
      <c r="AW1" s="30" t="s">
        <v>5839</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752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5840</v>
      </c>
      <c r="O1" s="27" t="s">
        <v>5841</v>
      </c>
      <c r="P1" s="27" t="s">
        <v>5842</v>
      </c>
      <c r="Q1" s="27" t="s">
        <v>5843</v>
      </c>
      <c r="R1" s="27" t="s">
        <v>5844</v>
      </c>
      <c r="S1" s="27" t="s">
        <v>5845</v>
      </c>
      <c r="T1" s="27" t="s">
        <v>5846</v>
      </c>
      <c r="U1" s="27" t="s">
        <v>5847</v>
      </c>
      <c r="V1" s="30" t="s">
        <v>5848</v>
      </c>
      <c r="W1" s="30" t="s">
        <v>5849</v>
      </c>
      <c r="X1" s="30" t="s">
        <v>5850</v>
      </c>
      <c r="Y1" s="30" t="s">
        <v>5851</v>
      </c>
      <c r="Z1" s="27" t="s">
        <v>5852</v>
      </c>
      <c r="AA1" s="27" t="s">
        <v>5853</v>
      </c>
      <c r="AB1" s="27" t="s">
        <v>5854</v>
      </c>
      <c r="AC1" s="27" t="s">
        <v>5855</v>
      </c>
      <c r="AD1" s="27" t="s">
        <v>5856</v>
      </c>
      <c r="AE1" s="27" t="s">
        <v>5857</v>
      </c>
      <c r="AF1" s="27" t="s">
        <v>5858</v>
      </c>
      <c r="AG1" s="27" t="s">
        <v>5859</v>
      </c>
      <c r="AH1" s="30" t="s">
        <v>5860</v>
      </c>
      <c r="AI1" s="30" t="s">
        <v>5861</v>
      </c>
      <c r="AJ1" s="30" t="s">
        <v>5862</v>
      </c>
      <c r="AK1" s="30" t="s">
        <v>5863</v>
      </c>
      <c r="AL1" s="27" t="s">
        <v>5864</v>
      </c>
      <c r="AM1" s="27" t="s">
        <v>5865</v>
      </c>
      <c r="AN1" s="27" t="s">
        <v>5866</v>
      </c>
      <c r="AO1" s="27" t="s">
        <v>5867</v>
      </c>
      <c r="AP1" s="27" t="s">
        <v>5868</v>
      </c>
      <c r="AQ1" s="27" t="s">
        <v>5869</v>
      </c>
      <c r="AR1" s="27" t="s">
        <v>5870</v>
      </c>
      <c r="AS1" s="27" t="s">
        <v>5871</v>
      </c>
      <c r="AT1" s="30" t="s">
        <v>5872</v>
      </c>
      <c r="AU1" s="30" t="s">
        <v>5873</v>
      </c>
      <c r="AV1" s="30" t="s">
        <v>5874</v>
      </c>
      <c r="AW1" s="30" t="s">
        <v>5875</v>
      </c>
      <c r="AX1" s="28" t="s">
        <v>35</v>
      </c>
      <c r="AY1" s="28" t="s">
        <v>33</v>
      </c>
      <c r="AZ1" s="28" t="s">
        <v>37</v>
      </c>
      <c r="BA1" s="21" t="s">
        <v>73</v>
      </c>
      <c r="BB1" s="21" t="s">
        <v>826</v>
      </c>
      <c r="BC1" s="21" t="s">
        <v>827</v>
      </c>
      <c r="BD1" s="21" t="s">
        <v>74</v>
      </c>
      <c r="BE1" s="21" t="s">
        <v>2036</v>
      </c>
      <c r="BF1" s="21" t="s">
        <v>2037</v>
      </c>
      <c r="BG1" s="21" t="s">
        <v>828</v>
      </c>
      <c r="BH1" s="21" t="s">
        <v>829</v>
      </c>
      <c r="BI1" s="21" t="s">
        <v>75</v>
      </c>
      <c r="BJ1" s="21" t="s">
        <v>824</v>
      </c>
      <c r="BK1" s="21" t="s">
        <v>825</v>
      </c>
      <c r="BL1" s="21" t="s">
        <v>822</v>
      </c>
      <c r="BM1" s="21" t="s">
        <v>823</v>
      </c>
      <c r="BN1" s="22" t="s">
        <v>76</v>
      </c>
      <c r="BO1" s="22" t="s">
        <v>77</v>
      </c>
      <c r="BP1" s="22" t="s">
        <v>2038</v>
      </c>
      <c r="BQ1" s="22" t="s">
        <v>2039</v>
      </c>
      <c r="BR1" s="22" t="s">
        <v>78</v>
      </c>
      <c r="BS1" s="22" t="s">
        <v>841</v>
      </c>
      <c r="BT1" s="22" t="s">
        <v>2040</v>
      </c>
      <c r="BU1" s="22" t="s">
        <v>2041</v>
      </c>
      <c r="BW1" s="31" t="s">
        <v>2042</v>
      </c>
    </row>
    <row r="2" customFormat="false" ht="15" hidden="false" customHeight="true" outlineLevel="0" collapsed="false">
      <c r="BW2" s="33" t="s">
        <v>1560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5876</v>
      </c>
      <c r="O1" s="27" t="s">
        <v>5877</v>
      </c>
      <c r="P1" s="27" t="s">
        <v>5878</v>
      </c>
      <c r="Q1" s="27" t="s">
        <v>5879</v>
      </c>
      <c r="R1" s="27" t="s">
        <v>5880</v>
      </c>
      <c r="S1" s="27" t="s">
        <v>5881</v>
      </c>
      <c r="T1" s="27" t="s">
        <v>5882</v>
      </c>
      <c r="U1" s="27" t="s">
        <v>5883</v>
      </c>
      <c r="V1" s="30" t="s">
        <v>5884</v>
      </c>
      <c r="W1" s="30" t="s">
        <v>5885</v>
      </c>
      <c r="X1" s="30" t="s">
        <v>5886</v>
      </c>
      <c r="Y1" s="30" t="s">
        <v>5887</v>
      </c>
      <c r="Z1" s="27" t="s">
        <v>5072</v>
      </c>
      <c r="AA1" s="28" t="s">
        <v>35</v>
      </c>
      <c r="AB1" s="28" t="s">
        <v>33</v>
      </c>
      <c r="AC1" s="28" t="s">
        <v>37</v>
      </c>
      <c r="AD1" s="21" t="s">
        <v>73</v>
      </c>
      <c r="AE1" s="21" t="s">
        <v>826</v>
      </c>
      <c r="AF1" s="21" t="s">
        <v>827</v>
      </c>
      <c r="AG1" s="21" t="s">
        <v>74</v>
      </c>
      <c r="AH1" s="21" t="s">
        <v>2036</v>
      </c>
      <c r="AI1" s="21" t="s">
        <v>2037</v>
      </c>
      <c r="AJ1" s="21" t="s">
        <v>828</v>
      </c>
      <c r="AK1" s="21" t="s">
        <v>829</v>
      </c>
      <c r="AL1" s="21" t="s">
        <v>75</v>
      </c>
      <c r="AM1" s="21" t="s">
        <v>824</v>
      </c>
      <c r="AN1" s="21" t="s">
        <v>825</v>
      </c>
      <c r="AO1" s="21" t="s">
        <v>822</v>
      </c>
      <c r="AP1" s="21" t="s">
        <v>823</v>
      </c>
      <c r="AQ1" s="22" t="s">
        <v>76</v>
      </c>
      <c r="AR1" s="22" t="s">
        <v>77</v>
      </c>
      <c r="AS1" s="22" t="s">
        <v>2038</v>
      </c>
      <c r="AT1" s="22" t="s">
        <v>2039</v>
      </c>
      <c r="AU1" s="22" t="s">
        <v>78</v>
      </c>
      <c r="AV1" s="22" t="s">
        <v>841</v>
      </c>
      <c r="AW1" s="22" t="s">
        <v>2040</v>
      </c>
      <c r="AX1" s="22" t="s">
        <v>2041</v>
      </c>
      <c r="AZ1" s="31" t="s">
        <v>2042</v>
      </c>
    </row>
    <row r="2" customFormat="false" ht="15" hidden="false" customHeight="true" outlineLevel="0" collapsed="false">
      <c r="A2" s="5" t="n">
        <v>173</v>
      </c>
      <c r="B2" s="5" t="n">
        <v>173</v>
      </c>
      <c r="C2" s="5" t="s">
        <v>1133</v>
      </c>
      <c r="D2" s="5" t="n">
        <v>2023</v>
      </c>
      <c r="E2" s="5" t="s">
        <v>1134</v>
      </c>
      <c r="F2" s="5" t="s">
        <v>866</v>
      </c>
      <c r="G2" s="5" t="s">
        <v>1137</v>
      </c>
      <c r="H2" s="5" t="n">
        <v>28.633</v>
      </c>
      <c r="I2" s="5" t="n">
        <v>77.15</v>
      </c>
      <c r="J2" s="5" t="s">
        <v>83</v>
      </c>
      <c r="K2" s="5" t="s">
        <v>5888</v>
      </c>
      <c r="L2" s="5" t="s">
        <v>84</v>
      </c>
      <c r="M2" s="5" t="s">
        <v>85</v>
      </c>
      <c r="N2" s="5" t="n">
        <f aca="false">ROUND(2520*12/44,0)</f>
        <v>687</v>
      </c>
      <c r="O2" s="5" t="n">
        <f aca="false">ROUND(1556*12/44,0)</f>
        <v>424</v>
      </c>
      <c r="P2" s="5"/>
      <c r="Q2" s="5" t="n">
        <f aca="false">ROUND(1571*12/44,0)</f>
        <v>428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5889</v>
      </c>
      <c r="AR2" s="5" t="s">
        <v>2165</v>
      </c>
      <c r="AS2" s="5" t="s">
        <v>5890</v>
      </c>
      <c r="AT2" s="5" t="s">
        <v>2167</v>
      </c>
      <c r="AU2" s="5" t="s">
        <v>2884</v>
      </c>
      <c r="AV2" s="23" t="s">
        <v>5891</v>
      </c>
      <c r="AW2" s="5" t="s">
        <v>1148</v>
      </c>
      <c r="AX2" s="5" t="s">
        <v>5892</v>
      </c>
      <c r="AZ2" s="33" t="s">
        <v>1562</v>
      </c>
    </row>
    <row r="3" customFormat="false" ht="15" hidden="false" customHeight="true" outlineLevel="0" collapsed="false">
      <c r="A3" s="5" t="n">
        <v>173</v>
      </c>
      <c r="B3" s="5" t="n">
        <v>173</v>
      </c>
      <c r="C3" s="5" t="s">
        <v>1133</v>
      </c>
      <c r="D3" s="5" t="n">
        <v>2023</v>
      </c>
      <c r="E3" s="5" t="s">
        <v>1134</v>
      </c>
      <c r="F3" s="5" t="s">
        <v>866</v>
      </c>
      <c r="G3" s="5" t="s">
        <v>1137</v>
      </c>
      <c r="H3" s="5" t="n">
        <v>28.633</v>
      </c>
      <c r="I3" s="5" t="n">
        <v>77.15</v>
      </c>
      <c r="J3" s="5" t="s">
        <v>83</v>
      </c>
      <c r="K3" s="5" t="s">
        <v>5888</v>
      </c>
      <c r="L3" s="5" t="s">
        <v>84</v>
      </c>
      <c r="M3" s="5" t="s">
        <v>85</v>
      </c>
      <c r="N3" s="5" t="n">
        <f aca="false">ROUND(2179*12/44,0)</f>
        <v>594</v>
      </c>
      <c r="O3" s="5" t="n">
        <f aca="false">ROUND(1214*12/44,0)</f>
        <v>331</v>
      </c>
      <c r="P3" s="5"/>
      <c r="Q3" s="5" t="n">
        <f aca="false">ROUND(1230*12/44,0)</f>
        <v>335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5889</v>
      </c>
      <c r="AR3" s="5" t="s">
        <v>2165</v>
      </c>
      <c r="AS3" s="5" t="s">
        <v>5890</v>
      </c>
      <c r="AT3" s="5" t="s">
        <v>2167</v>
      </c>
      <c r="AU3" s="5" t="s">
        <v>2884</v>
      </c>
      <c r="AV3" s="23" t="s">
        <v>5893</v>
      </c>
      <c r="AW3" s="5" t="s">
        <v>1148</v>
      </c>
      <c r="AX3" s="5" t="s">
        <v>5892</v>
      </c>
    </row>
    <row r="4" customFormat="false" ht="15" hidden="false" customHeight="true" outlineLevel="0" collapsed="false">
      <c r="A4" s="5" t="n">
        <v>173</v>
      </c>
      <c r="B4" s="5" t="n">
        <v>173</v>
      </c>
      <c r="C4" s="5" t="s">
        <v>1133</v>
      </c>
      <c r="D4" s="5" t="n">
        <v>2023</v>
      </c>
      <c r="E4" s="5" t="s">
        <v>1134</v>
      </c>
      <c r="F4" s="5" t="s">
        <v>866</v>
      </c>
      <c r="G4" s="5" t="s">
        <v>1137</v>
      </c>
      <c r="H4" s="5" t="n">
        <v>28.633</v>
      </c>
      <c r="I4" s="5" t="n">
        <v>77.15</v>
      </c>
      <c r="J4" s="5" t="s">
        <v>83</v>
      </c>
      <c r="K4" s="5" t="s">
        <v>5888</v>
      </c>
      <c r="L4" s="5" t="s">
        <v>84</v>
      </c>
      <c r="M4" s="5" t="s">
        <v>85</v>
      </c>
      <c r="N4" s="5" t="n">
        <f aca="false">ROUND(3253*12/44,0)</f>
        <v>887</v>
      </c>
      <c r="O4" s="5" t="n">
        <f aca="false">ROUND(1556*12/44,0)</f>
        <v>424</v>
      </c>
      <c r="P4" s="5"/>
      <c r="Q4" s="5" t="n">
        <f aca="false">ROUND(1571*12/44,0)</f>
        <v>428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5889</v>
      </c>
      <c r="AR4" s="5" t="s">
        <v>2165</v>
      </c>
      <c r="AS4" s="5" t="s">
        <v>5890</v>
      </c>
      <c r="AT4" s="5" t="s">
        <v>2167</v>
      </c>
      <c r="AU4" s="5" t="s">
        <v>2884</v>
      </c>
      <c r="AV4" s="23" t="s">
        <v>5894</v>
      </c>
      <c r="AW4" s="5" t="s">
        <v>1148</v>
      </c>
      <c r="AX4" s="5" t="s">
        <v>5892</v>
      </c>
    </row>
    <row r="5" customFormat="false" ht="15" hidden="false" customHeight="true" outlineLevel="0" collapsed="false">
      <c r="A5" s="5" t="n">
        <v>173</v>
      </c>
      <c r="B5" s="5" t="n">
        <v>173</v>
      </c>
      <c r="C5" s="5" t="s">
        <v>1133</v>
      </c>
      <c r="D5" s="5" t="n">
        <v>2023</v>
      </c>
      <c r="E5" s="5" t="s">
        <v>1134</v>
      </c>
      <c r="F5" s="5" t="s">
        <v>866</v>
      </c>
      <c r="G5" s="5" t="s">
        <v>1137</v>
      </c>
      <c r="H5" s="5" t="n">
        <v>28.633</v>
      </c>
      <c r="I5" s="5" t="n">
        <v>77.15</v>
      </c>
      <c r="J5" s="5" t="s">
        <v>83</v>
      </c>
      <c r="K5" s="5" t="s">
        <v>5888</v>
      </c>
      <c r="L5" s="5" t="s">
        <v>84</v>
      </c>
      <c r="M5" s="5" t="s">
        <v>85</v>
      </c>
      <c r="N5" s="5" t="n">
        <f aca="false">ROUND(2911*12/44,0)</f>
        <v>794</v>
      </c>
      <c r="O5" s="5" t="n">
        <f aca="false">ROUND(1214*12/44,0)</f>
        <v>331</v>
      </c>
      <c r="P5" s="5"/>
      <c r="Q5" s="5" t="n">
        <f aca="false">ROUND(1230*12/44,0)</f>
        <v>335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5889</v>
      </c>
      <c r="AR5" s="5" t="s">
        <v>2165</v>
      </c>
      <c r="AS5" s="5" t="s">
        <v>5890</v>
      </c>
      <c r="AT5" s="5" t="s">
        <v>2167</v>
      </c>
      <c r="AU5" s="5" t="s">
        <v>2884</v>
      </c>
      <c r="AV5" s="23" t="s">
        <v>5895</v>
      </c>
      <c r="AW5" s="5" t="s">
        <v>1148</v>
      </c>
      <c r="AX5" s="5" t="s">
        <v>5892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5896</v>
      </c>
      <c r="O1" s="27" t="s">
        <v>5897</v>
      </c>
      <c r="P1" s="27" t="s">
        <v>5898</v>
      </c>
      <c r="Q1" s="27" t="s">
        <v>5899</v>
      </c>
      <c r="R1" s="27" t="s">
        <v>5900</v>
      </c>
      <c r="S1" s="27" t="s">
        <v>5901</v>
      </c>
      <c r="T1" s="27" t="s">
        <v>5902</v>
      </c>
      <c r="U1" s="27" t="s">
        <v>5903</v>
      </c>
      <c r="V1" s="30" t="s">
        <v>5904</v>
      </c>
      <c r="W1" s="30" t="s">
        <v>5905</v>
      </c>
      <c r="X1" s="30" t="s">
        <v>5906</v>
      </c>
      <c r="Y1" s="30" t="s">
        <v>5907</v>
      </c>
      <c r="Z1" s="27" t="s">
        <v>5072</v>
      </c>
      <c r="AA1" s="28" t="s">
        <v>35</v>
      </c>
      <c r="AB1" s="28" t="s">
        <v>33</v>
      </c>
      <c r="AC1" s="28" t="s">
        <v>37</v>
      </c>
      <c r="AD1" s="21" t="s">
        <v>73</v>
      </c>
      <c r="AE1" s="21" t="s">
        <v>826</v>
      </c>
      <c r="AF1" s="21" t="s">
        <v>827</v>
      </c>
      <c r="AG1" s="21" t="s">
        <v>74</v>
      </c>
      <c r="AH1" s="21" t="s">
        <v>2036</v>
      </c>
      <c r="AI1" s="21" t="s">
        <v>2037</v>
      </c>
      <c r="AJ1" s="21" t="s">
        <v>828</v>
      </c>
      <c r="AK1" s="21" t="s">
        <v>829</v>
      </c>
      <c r="AL1" s="21" t="s">
        <v>75</v>
      </c>
      <c r="AM1" s="21" t="s">
        <v>824</v>
      </c>
      <c r="AN1" s="21" t="s">
        <v>825</v>
      </c>
      <c r="AO1" s="21" t="s">
        <v>822</v>
      </c>
      <c r="AP1" s="21" t="s">
        <v>823</v>
      </c>
      <c r="AQ1" s="22" t="s">
        <v>76</v>
      </c>
      <c r="AR1" s="22" t="s">
        <v>77</v>
      </c>
      <c r="AS1" s="22" t="s">
        <v>2038</v>
      </c>
      <c r="AT1" s="22" t="s">
        <v>2039</v>
      </c>
      <c r="AU1" s="22" t="s">
        <v>78</v>
      </c>
      <c r="AV1" s="22" t="s">
        <v>841</v>
      </c>
      <c r="AW1" s="22" t="s">
        <v>2040</v>
      </c>
      <c r="AX1" s="22" t="s">
        <v>2041</v>
      </c>
      <c r="AZ1" s="31" t="s">
        <v>2042</v>
      </c>
    </row>
    <row r="2" customFormat="false" ht="15" hidden="false" customHeight="true" outlineLevel="0" collapsed="false">
      <c r="A2" s="5" t="n">
        <v>173</v>
      </c>
      <c r="B2" s="5" t="n">
        <v>173</v>
      </c>
      <c r="C2" s="5" t="s">
        <v>1133</v>
      </c>
      <c r="D2" s="5" t="n">
        <v>2023</v>
      </c>
      <c r="E2" s="5" t="s">
        <v>1134</v>
      </c>
      <c r="F2" s="5" t="s">
        <v>866</v>
      </c>
      <c r="G2" s="5" t="s">
        <v>1137</v>
      </c>
      <c r="H2" s="5" t="n">
        <v>28.633</v>
      </c>
      <c r="I2" s="5" t="n">
        <v>77.15</v>
      </c>
      <c r="J2" s="5" t="s">
        <v>83</v>
      </c>
      <c r="K2" s="5" t="s">
        <v>5888</v>
      </c>
      <c r="L2" s="5" t="s">
        <v>84</v>
      </c>
      <c r="M2" s="5" t="s">
        <v>85</v>
      </c>
      <c r="N2" s="5" t="n">
        <f aca="false">ROUND(9826*12/44,0)</f>
        <v>2680</v>
      </c>
      <c r="O2" s="5" t="n">
        <f aca="false">ROUND(9174*12/44,0)</f>
        <v>2502</v>
      </c>
      <c r="P2" s="5"/>
      <c r="Q2" s="5" t="n">
        <f aca="false">ROUND(9386*12/44,0)</f>
        <v>2560</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5889</v>
      </c>
      <c r="AR2" s="5" t="s">
        <v>2165</v>
      </c>
      <c r="AS2" s="5" t="s">
        <v>5890</v>
      </c>
      <c r="AT2" s="5" t="s">
        <v>2167</v>
      </c>
      <c r="AU2" s="5" t="s">
        <v>2884</v>
      </c>
      <c r="AV2" s="23" t="s">
        <v>5908</v>
      </c>
      <c r="AW2" s="5" t="s">
        <v>1148</v>
      </c>
      <c r="AX2" s="5" t="s">
        <v>5892</v>
      </c>
      <c r="AZ2" s="33" t="s">
        <v>1565</v>
      </c>
    </row>
    <row r="3" customFormat="false" ht="15" hidden="false" customHeight="true" outlineLevel="0" collapsed="false">
      <c r="A3" s="5" t="n">
        <v>173</v>
      </c>
      <c r="B3" s="5" t="n">
        <v>173</v>
      </c>
      <c r="C3" s="5" t="s">
        <v>1133</v>
      </c>
      <c r="D3" s="5" t="n">
        <v>2023</v>
      </c>
      <c r="E3" s="5" t="s">
        <v>1134</v>
      </c>
      <c r="F3" s="5" t="s">
        <v>866</v>
      </c>
      <c r="G3" s="5" t="s">
        <v>1137</v>
      </c>
      <c r="H3" s="5" t="n">
        <v>28.633</v>
      </c>
      <c r="I3" s="5" t="n">
        <v>77.15</v>
      </c>
      <c r="J3" s="5" t="s">
        <v>83</v>
      </c>
      <c r="K3" s="5" t="s">
        <v>5888</v>
      </c>
      <c r="L3" s="5" t="s">
        <v>84</v>
      </c>
      <c r="M3" s="5" t="s">
        <v>85</v>
      </c>
      <c r="N3" s="5" t="n">
        <f aca="false">ROUND(9739*12/44,0)</f>
        <v>2656</v>
      </c>
      <c r="O3" s="5" t="n">
        <f aca="false">ROUND(8914*12/44,0)</f>
        <v>2431</v>
      </c>
      <c r="P3" s="5"/>
      <c r="Q3" s="5" t="n">
        <f aca="false">ROUND(9075*12/44,0)</f>
        <v>2475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5889</v>
      </c>
      <c r="AR3" s="5" t="s">
        <v>2165</v>
      </c>
      <c r="AS3" s="5" t="s">
        <v>5890</v>
      </c>
      <c r="AT3" s="5" t="s">
        <v>2167</v>
      </c>
      <c r="AU3" s="5" t="s">
        <v>2884</v>
      </c>
      <c r="AV3" s="23" t="s">
        <v>5909</v>
      </c>
      <c r="AW3" s="5" t="s">
        <v>1148</v>
      </c>
      <c r="AX3" s="5" t="s">
        <v>5892</v>
      </c>
    </row>
    <row r="4" customFormat="false" ht="15" hidden="false" customHeight="true" outlineLevel="0" collapsed="false">
      <c r="A4" s="5" t="n">
        <v>173</v>
      </c>
      <c r="B4" s="5" t="n">
        <v>173</v>
      </c>
      <c r="C4" s="5" t="s">
        <v>1133</v>
      </c>
      <c r="D4" s="5" t="n">
        <v>2023</v>
      </c>
      <c r="E4" s="5" t="s">
        <v>1134</v>
      </c>
      <c r="F4" s="5" t="s">
        <v>866</v>
      </c>
      <c r="G4" s="5" t="s">
        <v>1137</v>
      </c>
      <c r="H4" s="5" t="n">
        <v>28.633</v>
      </c>
      <c r="I4" s="5" t="n">
        <v>77.15</v>
      </c>
      <c r="J4" s="5" t="s">
        <v>83</v>
      </c>
      <c r="K4" s="5" t="s">
        <v>5888</v>
      </c>
      <c r="L4" s="5" t="s">
        <v>84</v>
      </c>
      <c r="M4" s="5" t="s">
        <v>85</v>
      </c>
      <c r="N4" s="5" t="n">
        <f aca="false">ROUND(10433*12/44,0)</f>
        <v>2845</v>
      </c>
      <c r="O4" s="5" t="n">
        <f aca="false">ROUND(9174*12/44,0)</f>
        <v>2502</v>
      </c>
      <c r="P4" s="5"/>
      <c r="Q4" s="5" t="n">
        <f aca="false">ROUND(9386*12/44,0)</f>
        <v>2560</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5889</v>
      </c>
      <c r="AR4" s="5" t="s">
        <v>2165</v>
      </c>
      <c r="AS4" s="5" t="s">
        <v>5890</v>
      </c>
      <c r="AT4" s="5" t="s">
        <v>2167</v>
      </c>
      <c r="AU4" s="5" t="s">
        <v>2884</v>
      </c>
      <c r="AV4" s="23" t="s">
        <v>5910</v>
      </c>
      <c r="AW4" s="5" t="s">
        <v>1148</v>
      </c>
      <c r="AX4" s="5" t="s">
        <v>5892</v>
      </c>
    </row>
    <row r="5" customFormat="false" ht="15" hidden="false" customHeight="true" outlineLevel="0" collapsed="false">
      <c r="A5" s="5" t="n">
        <v>173</v>
      </c>
      <c r="B5" s="5" t="n">
        <v>173</v>
      </c>
      <c r="C5" s="5" t="s">
        <v>1133</v>
      </c>
      <c r="D5" s="5" t="n">
        <v>2023</v>
      </c>
      <c r="E5" s="5" t="s">
        <v>1134</v>
      </c>
      <c r="F5" s="5" t="s">
        <v>866</v>
      </c>
      <c r="G5" s="5" t="s">
        <v>1137</v>
      </c>
      <c r="H5" s="5" t="n">
        <v>28.633</v>
      </c>
      <c r="I5" s="5" t="n">
        <v>77.15</v>
      </c>
      <c r="J5" s="5" t="s">
        <v>83</v>
      </c>
      <c r="K5" s="5" t="s">
        <v>5888</v>
      </c>
      <c r="L5" s="5" t="s">
        <v>84</v>
      </c>
      <c r="M5" s="5" t="s">
        <v>85</v>
      </c>
      <c r="N5" s="5" t="n">
        <f aca="false">ROUND(10658*12/44,0)</f>
        <v>2907</v>
      </c>
      <c r="O5" s="5" t="n">
        <f aca="false">ROUND(8914*12/44,0)</f>
        <v>2431</v>
      </c>
      <c r="P5" s="5"/>
      <c r="Q5" s="5" t="n">
        <f aca="false">ROUND(9075*12/44,0)</f>
        <v>2475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5889</v>
      </c>
      <c r="AR5" s="5" t="s">
        <v>2165</v>
      </c>
      <c r="AS5" s="5" t="s">
        <v>5890</v>
      </c>
      <c r="AT5" s="5" t="s">
        <v>2167</v>
      </c>
      <c r="AU5" s="5" t="s">
        <v>2884</v>
      </c>
      <c r="AV5" s="23" t="s">
        <v>5911</v>
      </c>
      <c r="AW5" s="5" t="s">
        <v>1148</v>
      </c>
      <c r="AX5" s="5" t="s">
        <v>5892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5912</v>
      </c>
      <c r="O1" s="27" t="s">
        <v>5913</v>
      </c>
      <c r="P1" s="27" t="s">
        <v>5914</v>
      </c>
      <c r="Q1" s="27" t="s">
        <v>5915</v>
      </c>
      <c r="R1" s="27" t="s">
        <v>5916</v>
      </c>
      <c r="S1" s="27" t="s">
        <v>5917</v>
      </c>
      <c r="T1" s="27" t="s">
        <v>5918</v>
      </c>
      <c r="U1" s="27" t="s">
        <v>5919</v>
      </c>
      <c r="V1" s="30" t="s">
        <v>5920</v>
      </c>
      <c r="W1" s="30" t="s">
        <v>5921</v>
      </c>
      <c r="X1" s="30" t="s">
        <v>5922</v>
      </c>
      <c r="Y1" s="30" t="s">
        <v>5923</v>
      </c>
      <c r="Z1" s="27" t="s">
        <v>5072</v>
      </c>
      <c r="AA1" s="28" t="s">
        <v>35</v>
      </c>
      <c r="AB1" s="28" t="s">
        <v>33</v>
      </c>
      <c r="AC1" s="28" t="s">
        <v>37</v>
      </c>
      <c r="AD1" s="21" t="s">
        <v>73</v>
      </c>
      <c r="AE1" s="21" t="s">
        <v>826</v>
      </c>
      <c r="AF1" s="21" t="s">
        <v>827</v>
      </c>
      <c r="AG1" s="21" t="s">
        <v>74</v>
      </c>
      <c r="AH1" s="21" t="s">
        <v>2036</v>
      </c>
      <c r="AI1" s="21" t="s">
        <v>2037</v>
      </c>
      <c r="AJ1" s="21" t="s">
        <v>828</v>
      </c>
      <c r="AK1" s="21" t="s">
        <v>829</v>
      </c>
      <c r="AL1" s="21" t="s">
        <v>75</v>
      </c>
      <c r="AM1" s="21" t="s">
        <v>824</v>
      </c>
      <c r="AN1" s="21" t="s">
        <v>825</v>
      </c>
      <c r="AO1" s="21" t="s">
        <v>822</v>
      </c>
      <c r="AP1" s="21" t="s">
        <v>823</v>
      </c>
      <c r="AQ1" s="22" t="s">
        <v>76</v>
      </c>
      <c r="AR1" s="22" t="s">
        <v>77</v>
      </c>
      <c r="AS1" s="22" t="s">
        <v>2038</v>
      </c>
      <c r="AT1" s="22" t="s">
        <v>2039</v>
      </c>
      <c r="AU1" s="22" t="s">
        <v>78</v>
      </c>
      <c r="AV1" s="22" t="s">
        <v>841</v>
      </c>
      <c r="AW1" s="22" t="s">
        <v>2040</v>
      </c>
      <c r="AX1" s="22" t="s">
        <v>2041</v>
      </c>
      <c r="AZ1" s="31" t="s">
        <v>2042</v>
      </c>
    </row>
    <row r="2" customFormat="false" ht="15" hidden="false" customHeight="true" outlineLevel="0" collapsed="false">
      <c r="A2" s="5" t="n">
        <v>173</v>
      </c>
      <c r="B2" s="5" t="n">
        <v>173</v>
      </c>
      <c r="C2" s="5" t="s">
        <v>1133</v>
      </c>
      <c r="D2" s="5" t="n">
        <v>2023</v>
      </c>
      <c r="E2" s="5" t="s">
        <v>1134</v>
      </c>
      <c r="F2" s="5" t="s">
        <v>866</v>
      </c>
      <c r="G2" s="5" t="s">
        <v>1137</v>
      </c>
      <c r="H2" s="5" t="n">
        <v>28.633</v>
      </c>
      <c r="I2" s="5" t="n">
        <v>77.15</v>
      </c>
      <c r="J2" s="5" t="s">
        <v>83</v>
      </c>
      <c r="K2" s="5" t="s">
        <v>5888</v>
      </c>
      <c r="L2" s="5" t="s">
        <v>84</v>
      </c>
      <c r="M2" s="5" t="s">
        <v>85</v>
      </c>
      <c r="N2" s="5" t="n">
        <v>2.9</v>
      </c>
      <c r="O2" s="5" t="n">
        <v>4.9</v>
      </c>
      <c r="P2" s="5"/>
      <c r="Q2" s="5" t="n">
        <v>4.97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5924</v>
      </c>
      <c r="AR2" s="5" t="s">
        <v>2165</v>
      </c>
      <c r="AS2" s="5" t="s">
        <v>5890</v>
      </c>
      <c r="AT2" s="5" t="s">
        <v>2167</v>
      </c>
      <c r="AU2" s="5" t="s">
        <v>4557</v>
      </c>
      <c r="AV2" s="23" t="s">
        <v>5925</v>
      </c>
      <c r="AW2" s="5" t="s">
        <v>1148</v>
      </c>
      <c r="AX2" s="5" t="s">
        <v>5892</v>
      </c>
      <c r="AZ2" s="33" t="s">
        <v>1567</v>
      </c>
    </row>
    <row r="3" customFormat="false" ht="15" hidden="false" customHeight="true" outlineLevel="0" collapsed="false">
      <c r="A3" s="5" t="n">
        <v>173</v>
      </c>
      <c r="B3" s="5" t="n">
        <v>173</v>
      </c>
      <c r="C3" s="5" t="s">
        <v>1133</v>
      </c>
      <c r="D3" s="5" t="n">
        <v>2023</v>
      </c>
      <c r="E3" s="5" t="s">
        <v>1134</v>
      </c>
      <c r="F3" s="5" t="s">
        <v>866</v>
      </c>
      <c r="G3" s="5" t="s">
        <v>1137</v>
      </c>
      <c r="H3" s="5" t="n">
        <v>28.633</v>
      </c>
      <c r="I3" s="5" t="n">
        <v>77.15</v>
      </c>
      <c r="J3" s="5" t="s">
        <v>83</v>
      </c>
      <c r="K3" s="5" t="s">
        <v>5888</v>
      </c>
      <c r="L3" s="5" t="s">
        <v>84</v>
      </c>
      <c r="M3" s="5" t="s">
        <v>85</v>
      </c>
      <c r="N3" s="5" t="n">
        <v>3.47</v>
      </c>
      <c r="O3" s="5" t="n">
        <v>6.34</v>
      </c>
      <c r="P3" s="5"/>
      <c r="Q3" s="5" t="n">
        <v>6.38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5924</v>
      </c>
      <c r="AR3" s="5" t="s">
        <v>2165</v>
      </c>
      <c r="AS3" s="5" t="s">
        <v>5890</v>
      </c>
      <c r="AT3" s="5" t="s">
        <v>2167</v>
      </c>
      <c r="AU3" s="5" t="s">
        <v>4557</v>
      </c>
      <c r="AV3" s="23" t="s">
        <v>5926</v>
      </c>
      <c r="AW3" s="5" t="s">
        <v>1148</v>
      </c>
      <c r="AX3" s="5" t="s">
        <v>5892</v>
      </c>
    </row>
    <row r="4" customFormat="false" ht="15" hidden="false" customHeight="true" outlineLevel="0" collapsed="false">
      <c r="A4" s="5" t="n">
        <v>173</v>
      </c>
      <c r="B4" s="5" t="n">
        <v>173</v>
      </c>
      <c r="C4" s="5" t="s">
        <v>1133</v>
      </c>
      <c r="D4" s="5" t="n">
        <v>2023</v>
      </c>
      <c r="E4" s="5" t="s">
        <v>1134</v>
      </c>
      <c r="F4" s="5" t="s">
        <v>866</v>
      </c>
      <c r="G4" s="5" t="s">
        <v>1137</v>
      </c>
      <c r="H4" s="5" t="n">
        <v>28.633</v>
      </c>
      <c r="I4" s="5" t="n">
        <v>77.15</v>
      </c>
      <c r="J4" s="5" t="s">
        <v>83</v>
      </c>
      <c r="K4" s="5" t="s">
        <v>5888</v>
      </c>
      <c r="L4" s="5" t="s">
        <v>84</v>
      </c>
      <c r="M4" s="5" t="s">
        <v>85</v>
      </c>
      <c r="N4" s="5" t="n">
        <v>2.21</v>
      </c>
      <c r="O4" s="5" t="n">
        <v>4.9</v>
      </c>
      <c r="P4" s="5"/>
      <c r="Q4" s="5" t="n">
        <v>4.97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5924</v>
      </c>
      <c r="AR4" s="5" t="s">
        <v>2165</v>
      </c>
      <c r="AS4" s="5" t="s">
        <v>5890</v>
      </c>
      <c r="AT4" s="5" t="s">
        <v>2167</v>
      </c>
      <c r="AU4" s="5" t="s">
        <v>4557</v>
      </c>
      <c r="AV4" s="23" t="s">
        <v>5927</v>
      </c>
      <c r="AW4" s="5" t="s">
        <v>1148</v>
      </c>
      <c r="AX4" s="5" t="s">
        <v>5892</v>
      </c>
    </row>
    <row r="5" customFormat="false" ht="15" hidden="false" customHeight="true" outlineLevel="0" collapsed="false">
      <c r="A5" s="5" t="n">
        <v>173</v>
      </c>
      <c r="B5" s="5" t="n">
        <v>173</v>
      </c>
      <c r="C5" s="5" t="s">
        <v>1133</v>
      </c>
      <c r="D5" s="5" t="n">
        <v>2023</v>
      </c>
      <c r="E5" s="5" t="s">
        <v>1134</v>
      </c>
      <c r="F5" s="5" t="s">
        <v>866</v>
      </c>
      <c r="G5" s="5" t="s">
        <v>1137</v>
      </c>
      <c r="H5" s="5" t="n">
        <v>28.633</v>
      </c>
      <c r="I5" s="5" t="n">
        <v>77.15</v>
      </c>
      <c r="J5" s="5" t="s">
        <v>83</v>
      </c>
      <c r="K5" s="5" t="s">
        <v>5888</v>
      </c>
      <c r="L5" s="5" t="s">
        <v>84</v>
      </c>
      <c r="M5" s="5" t="s">
        <v>85</v>
      </c>
      <c r="N5" s="5" t="n">
        <v>2.66</v>
      </c>
      <c r="O5" s="5" t="n">
        <v>6.34</v>
      </c>
      <c r="P5" s="5"/>
      <c r="Q5" s="5" t="n">
        <v>6.38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5924</v>
      </c>
      <c r="AR5" s="5" t="s">
        <v>2165</v>
      </c>
      <c r="AS5" s="5" t="s">
        <v>5890</v>
      </c>
      <c r="AT5" s="5" t="s">
        <v>2167</v>
      </c>
      <c r="AU5" s="5" t="s">
        <v>4557</v>
      </c>
      <c r="AV5" s="23" t="s">
        <v>5928</v>
      </c>
      <c r="AW5" s="5" t="s">
        <v>1148</v>
      </c>
      <c r="AX5" s="5" t="s">
        <v>5892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5929</v>
      </c>
      <c r="O1" s="27" t="s">
        <v>5930</v>
      </c>
      <c r="P1" s="27" t="s">
        <v>5931</v>
      </c>
      <c r="Q1" s="27" t="s">
        <v>5932</v>
      </c>
      <c r="R1" s="27" t="s">
        <v>5933</v>
      </c>
      <c r="S1" s="27" t="s">
        <v>5934</v>
      </c>
      <c r="T1" s="27" t="s">
        <v>5935</v>
      </c>
      <c r="U1" s="27" t="s">
        <v>5936</v>
      </c>
      <c r="V1" s="30" t="s">
        <v>5937</v>
      </c>
      <c r="W1" s="30" t="s">
        <v>5938</v>
      </c>
      <c r="X1" s="30" t="s">
        <v>5939</v>
      </c>
      <c r="Y1" s="30" t="s">
        <v>5940</v>
      </c>
      <c r="Z1" s="27" t="s">
        <v>5072</v>
      </c>
      <c r="AA1" s="28" t="s">
        <v>35</v>
      </c>
      <c r="AB1" s="28" t="s">
        <v>33</v>
      </c>
      <c r="AC1" s="28" t="s">
        <v>37</v>
      </c>
      <c r="AD1" s="21" t="s">
        <v>73</v>
      </c>
      <c r="AE1" s="21" t="s">
        <v>826</v>
      </c>
      <c r="AF1" s="21" t="s">
        <v>827</v>
      </c>
      <c r="AG1" s="21" t="s">
        <v>74</v>
      </c>
      <c r="AH1" s="21" t="s">
        <v>2036</v>
      </c>
      <c r="AI1" s="21" t="s">
        <v>2037</v>
      </c>
      <c r="AJ1" s="21" t="s">
        <v>828</v>
      </c>
      <c r="AK1" s="21" t="s">
        <v>829</v>
      </c>
      <c r="AL1" s="21" t="s">
        <v>75</v>
      </c>
      <c r="AM1" s="21" t="s">
        <v>824</v>
      </c>
      <c r="AN1" s="21" t="s">
        <v>825</v>
      </c>
      <c r="AO1" s="21" t="s">
        <v>822</v>
      </c>
      <c r="AP1" s="21" t="s">
        <v>823</v>
      </c>
      <c r="AQ1" s="22" t="s">
        <v>76</v>
      </c>
      <c r="AR1" s="22" t="s">
        <v>77</v>
      </c>
      <c r="AS1" s="22" t="s">
        <v>2038</v>
      </c>
      <c r="AT1" s="22" t="s">
        <v>2039</v>
      </c>
      <c r="AU1" s="22" t="s">
        <v>78</v>
      </c>
      <c r="AV1" s="22" t="s">
        <v>841</v>
      </c>
      <c r="AW1" s="22" t="s">
        <v>2040</v>
      </c>
      <c r="AX1" s="22" t="s">
        <v>2041</v>
      </c>
      <c r="AZ1" s="31" t="s">
        <v>2042</v>
      </c>
    </row>
    <row r="2" customFormat="false" ht="15" hidden="false" customHeight="true" outlineLevel="0" collapsed="false">
      <c r="A2" s="5" t="n">
        <v>173</v>
      </c>
      <c r="B2" s="5" t="n">
        <v>173</v>
      </c>
      <c r="C2" s="5" t="s">
        <v>1133</v>
      </c>
      <c r="D2" s="5" t="n">
        <v>2023</v>
      </c>
      <c r="E2" s="5" t="s">
        <v>1134</v>
      </c>
      <c r="F2" s="5" t="s">
        <v>866</v>
      </c>
      <c r="G2" s="5" t="s">
        <v>1137</v>
      </c>
      <c r="H2" s="5" t="n">
        <v>28.633</v>
      </c>
      <c r="I2" s="5" t="n">
        <v>77.15</v>
      </c>
      <c r="J2" s="5" t="s">
        <v>83</v>
      </c>
      <c r="K2" s="5" t="s">
        <v>5888</v>
      </c>
      <c r="L2" s="5" t="s">
        <v>84</v>
      </c>
      <c r="M2" s="5" t="s">
        <v>85</v>
      </c>
      <c r="N2" s="5" t="n">
        <v>3.9</v>
      </c>
      <c r="O2" s="5" t="n">
        <v>5.9</v>
      </c>
      <c r="P2" s="5"/>
      <c r="Q2" s="5" t="n">
        <v>5.97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5941</v>
      </c>
      <c r="AR2" s="5" t="s">
        <v>2165</v>
      </c>
      <c r="AS2" s="5" t="s">
        <v>5890</v>
      </c>
      <c r="AT2" s="5" t="s">
        <v>2167</v>
      </c>
      <c r="AU2" s="5" t="s">
        <v>4557</v>
      </c>
      <c r="AV2" s="23" t="s">
        <v>5942</v>
      </c>
      <c r="AW2" s="5" t="s">
        <v>1148</v>
      </c>
      <c r="AX2" s="5" t="s">
        <v>5892</v>
      </c>
      <c r="AZ2" s="33" t="s">
        <v>1569</v>
      </c>
    </row>
    <row r="3" customFormat="false" ht="15" hidden="false" customHeight="true" outlineLevel="0" collapsed="false">
      <c r="A3" s="5" t="n">
        <v>173</v>
      </c>
      <c r="B3" s="5" t="n">
        <v>173</v>
      </c>
      <c r="C3" s="5" t="s">
        <v>1133</v>
      </c>
      <c r="D3" s="5" t="n">
        <v>2023</v>
      </c>
      <c r="E3" s="5" t="s">
        <v>1134</v>
      </c>
      <c r="F3" s="5" t="s">
        <v>866</v>
      </c>
      <c r="G3" s="5" t="s">
        <v>1137</v>
      </c>
      <c r="H3" s="5" t="n">
        <v>28.633</v>
      </c>
      <c r="I3" s="5" t="n">
        <v>77.15</v>
      </c>
      <c r="J3" s="5" t="s">
        <v>83</v>
      </c>
      <c r="K3" s="5" t="s">
        <v>5888</v>
      </c>
      <c r="L3" s="5" t="s">
        <v>84</v>
      </c>
      <c r="M3" s="5" t="s">
        <v>85</v>
      </c>
      <c r="N3" s="5" t="n">
        <v>4.47</v>
      </c>
      <c r="O3" s="5" t="n">
        <v>7.34</v>
      </c>
      <c r="P3" s="5"/>
      <c r="Q3" s="5" t="n">
        <v>7.38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5941</v>
      </c>
      <c r="AR3" s="5" t="s">
        <v>2165</v>
      </c>
      <c r="AS3" s="5" t="s">
        <v>5890</v>
      </c>
      <c r="AT3" s="5" t="s">
        <v>2167</v>
      </c>
      <c r="AU3" s="5" t="s">
        <v>4557</v>
      </c>
      <c r="AV3" s="23" t="s">
        <v>5943</v>
      </c>
      <c r="AW3" s="5" t="s">
        <v>1148</v>
      </c>
      <c r="AX3" s="5" t="s">
        <v>5892</v>
      </c>
    </row>
    <row r="4" customFormat="false" ht="15" hidden="false" customHeight="true" outlineLevel="0" collapsed="false">
      <c r="A4" s="5" t="n">
        <v>173</v>
      </c>
      <c r="B4" s="5" t="n">
        <v>173</v>
      </c>
      <c r="C4" s="5" t="s">
        <v>1133</v>
      </c>
      <c r="D4" s="5" t="n">
        <v>2023</v>
      </c>
      <c r="E4" s="5" t="s">
        <v>1134</v>
      </c>
      <c r="F4" s="5" t="s">
        <v>866</v>
      </c>
      <c r="G4" s="5" t="s">
        <v>1137</v>
      </c>
      <c r="H4" s="5" t="n">
        <v>28.633</v>
      </c>
      <c r="I4" s="5" t="n">
        <v>77.15</v>
      </c>
      <c r="J4" s="5" t="s">
        <v>83</v>
      </c>
      <c r="K4" s="5" t="s">
        <v>5888</v>
      </c>
      <c r="L4" s="5" t="s">
        <v>84</v>
      </c>
      <c r="M4" s="5" t="s">
        <v>85</v>
      </c>
      <c r="N4" s="5" t="n">
        <v>3.21</v>
      </c>
      <c r="O4" s="5" t="n">
        <v>5.9</v>
      </c>
      <c r="P4" s="5"/>
      <c r="Q4" s="5" t="n">
        <v>5.97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5941</v>
      </c>
      <c r="AR4" s="5" t="s">
        <v>2165</v>
      </c>
      <c r="AS4" s="5" t="s">
        <v>5890</v>
      </c>
      <c r="AT4" s="5" t="s">
        <v>2167</v>
      </c>
      <c r="AU4" s="5" t="s">
        <v>4557</v>
      </c>
      <c r="AV4" s="23" t="s">
        <v>5944</v>
      </c>
      <c r="AW4" s="5" t="s">
        <v>1148</v>
      </c>
      <c r="AX4" s="5" t="s">
        <v>5892</v>
      </c>
    </row>
    <row r="5" customFormat="false" ht="15" hidden="false" customHeight="true" outlineLevel="0" collapsed="false">
      <c r="A5" s="5" t="n">
        <v>173</v>
      </c>
      <c r="B5" s="5" t="n">
        <v>173</v>
      </c>
      <c r="C5" s="5" t="s">
        <v>1133</v>
      </c>
      <c r="D5" s="5" t="n">
        <v>2023</v>
      </c>
      <c r="E5" s="5" t="s">
        <v>1134</v>
      </c>
      <c r="F5" s="5" t="s">
        <v>866</v>
      </c>
      <c r="G5" s="5" t="s">
        <v>1137</v>
      </c>
      <c r="H5" s="5" t="n">
        <v>28.633</v>
      </c>
      <c r="I5" s="5" t="n">
        <v>77.15</v>
      </c>
      <c r="J5" s="5" t="s">
        <v>83</v>
      </c>
      <c r="K5" s="5" t="s">
        <v>5888</v>
      </c>
      <c r="L5" s="5" t="s">
        <v>84</v>
      </c>
      <c r="M5" s="5" t="s">
        <v>85</v>
      </c>
      <c r="N5" s="5" t="n">
        <v>3.66</v>
      </c>
      <c r="O5" s="5" t="n">
        <v>7.34</v>
      </c>
      <c r="P5" s="5"/>
      <c r="Q5" s="5" t="n">
        <v>7.38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5941</v>
      </c>
      <c r="AR5" s="5" t="s">
        <v>2165</v>
      </c>
      <c r="AS5" s="5" t="s">
        <v>5890</v>
      </c>
      <c r="AT5" s="5" t="s">
        <v>2167</v>
      </c>
      <c r="AU5" s="5" t="s">
        <v>4557</v>
      </c>
      <c r="AV5" s="23" t="s">
        <v>5945</v>
      </c>
      <c r="AW5" s="5" t="s">
        <v>1148</v>
      </c>
      <c r="AX5" s="5" t="s">
        <v>5892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5946</v>
      </c>
      <c r="O1" s="27" t="s">
        <v>5947</v>
      </c>
      <c r="P1" s="27" t="s">
        <v>5948</v>
      </c>
      <c r="Q1" s="27" t="s">
        <v>5949</v>
      </c>
      <c r="R1" s="27" t="s">
        <v>5950</v>
      </c>
      <c r="S1" s="27" t="s">
        <v>5951</v>
      </c>
      <c r="T1" s="27" t="s">
        <v>5952</v>
      </c>
      <c r="U1" s="27" t="s">
        <v>5953</v>
      </c>
      <c r="V1" s="30" t="s">
        <v>5954</v>
      </c>
      <c r="W1" s="30" t="s">
        <v>5955</v>
      </c>
      <c r="X1" s="30" t="s">
        <v>5956</v>
      </c>
      <c r="Y1" s="30" t="s">
        <v>5957</v>
      </c>
      <c r="Z1" s="27" t="s">
        <v>5072</v>
      </c>
      <c r="AA1" s="28" t="s">
        <v>35</v>
      </c>
      <c r="AB1" s="28" t="s">
        <v>33</v>
      </c>
      <c r="AC1" s="28" t="s">
        <v>37</v>
      </c>
      <c r="AD1" s="21" t="s">
        <v>73</v>
      </c>
      <c r="AE1" s="21" t="s">
        <v>826</v>
      </c>
      <c r="AF1" s="21" t="s">
        <v>827</v>
      </c>
      <c r="AG1" s="21" t="s">
        <v>74</v>
      </c>
      <c r="AH1" s="21" t="s">
        <v>2036</v>
      </c>
      <c r="AI1" s="21" t="s">
        <v>2037</v>
      </c>
      <c r="AJ1" s="21" t="s">
        <v>828</v>
      </c>
      <c r="AK1" s="21" t="s">
        <v>829</v>
      </c>
      <c r="AL1" s="21" t="s">
        <v>75</v>
      </c>
      <c r="AM1" s="21" t="s">
        <v>824</v>
      </c>
      <c r="AN1" s="21" t="s">
        <v>825</v>
      </c>
      <c r="AO1" s="21" t="s">
        <v>822</v>
      </c>
      <c r="AP1" s="21" t="s">
        <v>823</v>
      </c>
      <c r="AQ1" s="22" t="s">
        <v>76</v>
      </c>
      <c r="AR1" s="22" t="s">
        <v>77</v>
      </c>
      <c r="AS1" s="22" t="s">
        <v>2038</v>
      </c>
      <c r="AT1" s="22" t="s">
        <v>2039</v>
      </c>
      <c r="AU1" s="22" t="s">
        <v>78</v>
      </c>
      <c r="AV1" s="22" t="s">
        <v>841</v>
      </c>
      <c r="AW1" s="22" t="s">
        <v>2040</v>
      </c>
      <c r="AX1" s="22" t="s">
        <v>2041</v>
      </c>
      <c r="AZ1" s="31" t="s">
        <v>2042</v>
      </c>
    </row>
    <row r="2" customFormat="false" ht="15" hidden="false" customHeight="true" outlineLevel="0" collapsed="false">
      <c r="A2" s="5" t="n">
        <v>173</v>
      </c>
      <c r="B2" s="5" t="n">
        <v>173</v>
      </c>
      <c r="C2" s="5" t="s">
        <v>1133</v>
      </c>
      <c r="D2" s="5" t="n">
        <v>2023</v>
      </c>
      <c r="E2" s="5" t="s">
        <v>1134</v>
      </c>
      <c r="F2" s="5" t="s">
        <v>866</v>
      </c>
      <c r="G2" s="5" t="s">
        <v>1137</v>
      </c>
      <c r="H2" s="5" t="n">
        <v>28.633</v>
      </c>
      <c r="I2" s="5" t="n">
        <v>77.15</v>
      </c>
      <c r="J2" s="5" t="s">
        <v>83</v>
      </c>
      <c r="K2" s="5" t="s">
        <v>5888</v>
      </c>
      <c r="L2" s="5" t="s">
        <v>84</v>
      </c>
      <c r="M2" s="5" t="s">
        <v>85</v>
      </c>
      <c r="N2" s="5" t="n">
        <v>0.268</v>
      </c>
      <c r="O2" s="5" t="n">
        <v>0.18</v>
      </c>
      <c r="P2" s="5"/>
      <c r="Q2" s="5" t="n">
        <v>0.178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5958</v>
      </c>
      <c r="AR2" s="5" t="s">
        <v>2165</v>
      </c>
      <c r="AS2" s="5" t="s">
        <v>5890</v>
      </c>
      <c r="AT2" s="5" t="s">
        <v>2167</v>
      </c>
      <c r="AU2" s="5" t="s">
        <v>4557</v>
      </c>
      <c r="AV2" s="23" t="s">
        <v>5959</v>
      </c>
      <c r="AW2" s="5" t="s">
        <v>1148</v>
      </c>
      <c r="AX2" s="5" t="s">
        <v>5892</v>
      </c>
      <c r="AZ2" s="33" t="s">
        <v>1571</v>
      </c>
    </row>
    <row r="3" customFormat="false" ht="15" hidden="false" customHeight="true" outlineLevel="0" collapsed="false">
      <c r="A3" s="5" t="n">
        <v>173</v>
      </c>
      <c r="B3" s="5" t="n">
        <v>173</v>
      </c>
      <c r="C3" s="5" t="s">
        <v>1133</v>
      </c>
      <c r="D3" s="5" t="n">
        <v>2023</v>
      </c>
      <c r="E3" s="5" t="s">
        <v>1134</v>
      </c>
      <c r="F3" s="5" t="s">
        <v>866</v>
      </c>
      <c r="G3" s="5" t="s">
        <v>1137</v>
      </c>
      <c r="H3" s="5" t="n">
        <v>28.633</v>
      </c>
      <c r="I3" s="5" t="n">
        <v>77.15</v>
      </c>
      <c r="J3" s="5" t="s">
        <v>83</v>
      </c>
      <c r="K3" s="5" t="s">
        <v>5888</v>
      </c>
      <c r="L3" s="5" t="s">
        <v>84</v>
      </c>
      <c r="M3" s="5" t="s">
        <v>85</v>
      </c>
      <c r="N3" s="5" t="n">
        <v>0.236</v>
      </c>
      <c r="O3" s="5" t="n">
        <v>0.143</v>
      </c>
      <c r="P3" s="5"/>
      <c r="Q3" s="5" t="n">
        <v>0.142</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5958</v>
      </c>
      <c r="AR3" s="5" t="s">
        <v>2165</v>
      </c>
      <c r="AS3" s="5" t="s">
        <v>5890</v>
      </c>
      <c r="AT3" s="5" t="s">
        <v>2167</v>
      </c>
      <c r="AU3" s="5" t="s">
        <v>4557</v>
      </c>
      <c r="AV3" s="23" t="s">
        <v>5960</v>
      </c>
      <c r="AW3" s="5" t="s">
        <v>1148</v>
      </c>
      <c r="AX3" s="5" t="s">
        <v>5892</v>
      </c>
    </row>
    <row r="4" customFormat="false" ht="15" hidden="false" customHeight="true" outlineLevel="0" collapsed="false">
      <c r="A4" s="5" t="n">
        <v>173</v>
      </c>
      <c r="B4" s="5" t="n">
        <v>173</v>
      </c>
      <c r="C4" s="5" t="s">
        <v>1133</v>
      </c>
      <c r="D4" s="5" t="n">
        <v>2023</v>
      </c>
      <c r="E4" s="5" t="s">
        <v>1134</v>
      </c>
      <c r="F4" s="5" t="s">
        <v>866</v>
      </c>
      <c r="G4" s="5" t="s">
        <v>1137</v>
      </c>
      <c r="H4" s="5" t="n">
        <v>28.633</v>
      </c>
      <c r="I4" s="5" t="n">
        <v>77.15</v>
      </c>
      <c r="J4" s="5" t="s">
        <v>83</v>
      </c>
      <c r="K4" s="5" t="s">
        <v>5888</v>
      </c>
      <c r="L4" s="5" t="s">
        <v>84</v>
      </c>
      <c r="M4" s="5" t="s">
        <v>85</v>
      </c>
      <c r="N4" s="5" t="n">
        <v>0.318</v>
      </c>
      <c r="O4" s="5" t="n">
        <v>0.18</v>
      </c>
      <c r="P4" s="5"/>
      <c r="Q4" s="5" t="n">
        <v>0.178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5958</v>
      </c>
      <c r="AR4" s="5" t="s">
        <v>2165</v>
      </c>
      <c r="AS4" s="5" t="s">
        <v>5890</v>
      </c>
      <c r="AT4" s="5" t="s">
        <v>2167</v>
      </c>
      <c r="AU4" s="5" t="s">
        <v>4557</v>
      </c>
      <c r="AV4" s="23" t="s">
        <v>5961</v>
      </c>
      <c r="AW4" s="5" t="s">
        <v>1148</v>
      </c>
      <c r="AX4" s="5" t="s">
        <v>5892</v>
      </c>
    </row>
    <row r="5" customFormat="false" ht="15" hidden="false" customHeight="true" outlineLevel="0" collapsed="false">
      <c r="A5" s="5" t="n">
        <v>173</v>
      </c>
      <c r="B5" s="5" t="n">
        <v>173</v>
      </c>
      <c r="C5" s="5" t="s">
        <v>1133</v>
      </c>
      <c r="D5" s="5" t="n">
        <v>2023</v>
      </c>
      <c r="E5" s="5" t="s">
        <v>1134</v>
      </c>
      <c r="F5" s="5" t="s">
        <v>866</v>
      </c>
      <c r="G5" s="5" t="s">
        <v>1137</v>
      </c>
      <c r="H5" s="5" t="n">
        <v>28.633</v>
      </c>
      <c r="I5" s="5" t="n">
        <v>77.15</v>
      </c>
      <c r="J5" s="5" t="s">
        <v>83</v>
      </c>
      <c r="K5" s="5" t="s">
        <v>5888</v>
      </c>
      <c r="L5" s="5" t="s">
        <v>84</v>
      </c>
      <c r="M5" s="5" t="s">
        <v>85</v>
      </c>
      <c r="N5" s="5" t="n">
        <v>0.285</v>
      </c>
      <c r="O5" s="5" t="n">
        <v>0.143</v>
      </c>
      <c r="P5" s="5"/>
      <c r="Q5" s="5" t="n">
        <v>0.142</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5958</v>
      </c>
      <c r="AR5" s="5" t="s">
        <v>2165</v>
      </c>
      <c r="AS5" s="5" t="s">
        <v>5890</v>
      </c>
      <c r="AT5" s="5" t="s">
        <v>2167</v>
      </c>
      <c r="AU5" s="5" t="s">
        <v>4557</v>
      </c>
      <c r="AV5" s="23" t="s">
        <v>5962</v>
      </c>
      <c r="AW5" s="5" t="s">
        <v>1148</v>
      </c>
      <c r="AX5" s="5" t="s">
        <v>5892</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5963</v>
      </c>
      <c r="Q1" s="39" t="s">
        <v>3831</v>
      </c>
      <c r="R1" s="39" t="s">
        <v>3832</v>
      </c>
      <c r="S1" s="39" t="s">
        <v>3833</v>
      </c>
      <c r="T1" s="39" t="s">
        <v>3834</v>
      </c>
      <c r="U1" s="39" t="s">
        <v>3835</v>
      </c>
      <c r="V1" s="39" t="s">
        <v>3836</v>
      </c>
      <c r="W1" s="39" t="s">
        <v>3837</v>
      </c>
      <c r="X1" s="39" t="s">
        <v>3838</v>
      </c>
      <c r="Y1" s="40" t="s">
        <v>3839</v>
      </c>
      <c r="Z1" s="40" t="s">
        <v>3840</v>
      </c>
      <c r="AA1" s="40" t="s">
        <v>3841</v>
      </c>
      <c r="AB1" s="40" t="s">
        <v>3842</v>
      </c>
      <c r="AC1" s="41" t="s">
        <v>35</v>
      </c>
      <c r="AD1" s="41" t="s">
        <v>33</v>
      </c>
      <c r="AE1" s="41" t="s">
        <v>37</v>
      </c>
      <c r="AF1" s="42" t="s">
        <v>73</v>
      </c>
      <c r="AG1" s="42" t="s">
        <v>826</v>
      </c>
      <c r="AH1" s="42" t="s">
        <v>827</v>
      </c>
      <c r="AI1" s="42" t="s">
        <v>74</v>
      </c>
      <c r="AJ1" s="42" t="s">
        <v>2036</v>
      </c>
      <c r="AK1" s="42" t="s">
        <v>2037</v>
      </c>
      <c r="AL1" s="42" t="s">
        <v>828</v>
      </c>
      <c r="AM1" s="42" t="s">
        <v>829</v>
      </c>
      <c r="AN1" s="42" t="s">
        <v>75</v>
      </c>
      <c r="AO1" s="42" t="s">
        <v>824</v>
      </c>
      <c r="AP1" s="42" t="s">
        <v>825</v>
      </c>
      <c r="AQ1" s="42" t="s">
        <v>822</v>
      </c>
      <c r="AR1" s="42" t="s">
        <v>823</v>
      </c>
      <c r="AS1" s="43" t="s">
        <v>76</v>
      </c>
      <c r="AT1" s="43" t="s">
        <v>77</v>
      </c>
      <c r="AU1" s="43" t="s">
        <v>2038</v>
      </c>
      <c r="AV1" s="43" t="s">
        <v>2039</v>
      </c>
      <c r="AW1" s="43" t="s">
        <v>78</v>
      </c>
      <c r="AX1" s="43" t="s">
        <v>841</v>
      </c>
      <c r="AY1" s="43" t="s">
        <v>2040</v>
      </c>
      <c r="AZ1" s="43" t="s">
        <v>2041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5963</v>
      </c>
      <c r="Q1" s="39" t="s">
        <v>5964</v>
      </c>
      <c r="R1" s="39" t="s">
        <v>5965</v>
      </c>
      <c r="S1" s="39" t="s">
        <v>5966</v>
      </c>
      <c r="T1" s="39" t="s">
        <v>5967</v>
      </c>
      <c r="U1" s="39" t="s">
        <v>5968</v>
      </c>
      <c r="V1" s="39" t="s">
        <v>5969</v>
      </c>
      <c r="W1" s="39" t="s">
        <v>5970</v>
      </c>
      <c r="X1" s="39" t="s">
        <v>5971</v>
      </c>
      <c r="Y1" s="40" t="s">
        <v>5972</v>
      </c>
      <c r="Z1" s="40" t="s">
        <v>5973</v>
      </c>
      <c r="AA1" s="40" t="s">
        <v>5974</v>
      </c>
      <c r="AB1" s="40" t="s">
        <v>5975</v>
      </c>
      <c r="AC1" s="41" t="s">
        <v>35</v>
      </c>
      <c r="AD1" s="41" t="s">
        <v>33</v>
      </c>
      <c r="AE1" s="41" t="s">
        <v>37</v>
      </c>
      <c r="AF1" s="42" t="s">
        <v>73</v>
      </c>
      <c r="AG1" s="42" t="s">
        <v>826</v>
      </c>
      <c r="AH1" s="42" t="s">
        <v>827</v>
      </c>
      <c r="AI1" s="42" t="s">
        <v>74</v>
      </c>
      <c r="AJ1" s="42" t="s">
        <v>2036</v>
      </c>
      <c r="AK1" s="42" t="s">
        <v>2037</v>
      </c>
      <c r="AL1" s="42" t="s">
        <v>828</v>
      </c>
      <c r="AM1" s="42" t="s">
        <v>829</v>
      </c>
      <c r="AN1" s="42" t="s">
        <v>75</v>
      </c>
      <c r="AO1" s="42" t="s">
        <v>824</v>
      </c>
      <c r="AP1" s="42" t="s">
        <v>825</v>
      </c>
      <c r="AQ1" s="42" t="s">
        <v>822</v>
      </c>
      <c r="AR1" s="42" t="s">
        <v>823</v>
      </c>
      <c r="AS1" s="43" t="s">
        <v>76</v>
      </c>
      <c r="AT1" s="43" t="s">
        <v>77</v>
      </c>
      <c r="AU1" s="43" t="s">
        <v>2038</v>
      </c>
      <c r="AV1" s="43" t="s">
        <v>2039</v>
      </c>
      <c r="AW1" s="43" t="s">
        <v>78</v>
      </c>
      <c r="AX1" s="43" t="s">
        <v>841</v>
      </c>
      <c r="AY1" s="43" t="s">
        <v>2040</v>
      </c>
      <c r="AZ1" s="43" t="s">
        <v>2041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5963</v>
      </c>
      <c r="Q1" s="39" t="s">
        <v>4265</v>
      </c>
      <c r="R1" s="39" t="s">
        <v>4266</v>
      </c>
      <c r="S1" s="39" t="s">
        <v>4267</v>
      </c>
      <c r="T1" s="39" t="s">
        <v>4268</v>
      </c>
      <c r="U1" s="39" t="s">
        <v>4269</v>
      </c>
      <c r="V1" s="39" t="s">
        <v>4270</v>
      </c>
      <c r="W1" s="39" t="s">
        <v>4271</v>
      </c>
      <c r="X1" s="39" t="s">
        <v>4272</v>
      </c>
      <c r="Y1" s="40" t="s">
        <v>4273</v>
      </c>
      <c r="Z1" s="40" t="s">
        <v>4274</v>
      </c>
      <c r="AA1" s="40" t="s">
        <v>4275</v>
      </c>
      <c r="AB1" s="40" t="s">
        <v>4276</v>
      </c>
      <c r="AC1" s="41" t="s">
        <v>35</v>
      </c>
      <c r="AD1" s="41" t="s">
        <v>33</v>
      </c>
      <c r="AE1" s="41" t="s">
        <v>37</v>
      </c>
      <c r="AF1" s="42" t="s">
        <v>73</v>
      </c>
      <c r="AG1" s="42" t="s">
        <v>826</v>
      </c>
      <c r="AH1" s="42" t="s">
        <v>827</v>
      </c>
      <c r="AI1" s="42" t="s">
        <v>74</v>
      </c>
      <c r="AJ1" s="42" t="s">
        <v>2036</v>
      </c>
      <c r="AK1" s="42" t="s">
        <v>2037</v>
      </c>
      <c r="AL1" s="42" t="s">
        <v>828</v>
      </c>
      <c r="AM1" s="42" t="s">
        <v>829</v>
      </c>
      <c r="AN1" s="42" t="s">
        <v>75</v>
      </c>
      <c r="AO1" s="42" t="s">
        <v>824</v>
      </c>
      <c r="AP1" s="42" t="s">
        <v>825</v>
      </c>
      <c r="AQ1" s="42" t="s">
        <v>822</v>
      </c>
      <c r="AR1" s="42" t="s">
        <v>823</v>
      </c>
      <c r="AS1" s="43" t="s">
        <v>76</v>
      </c>
      <c r="AT1" s="43" t="s">
        <v>77</v>
      </c>
      <c r="AU1" s="43" t="s">
        <v>2038</v>
      </c>
      <c r="AV1" s="43" t="s">
        <v>2039</v>
      </c>
      <c r="AW1" s="43" t="s">
        <v>78</v>
      </c>
      <c r="AX1" s="43" t="s">
        <v>841</v>
      </c>
      <c r="AY1" s="43" t="s">
        <v>2040</v>
      </c>
      <c r="AZ1" s="43" t="s">
        <v>2041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5963</v>
      </c>
      <c r="Q1" s="39" t="s">
        <v>5976</v>
      </c>
      <c r="R1" s="39" t="s">
        <v>5977</v>
      </c>
      <c r="S1" s="39" t="s">
        <v>5978</v>
      </c>
      <c r="T1" s="39" t="s">
        <v>5979</v>
      </c>
      <c r="U1" s="39" t="s">
        <v>5980</v>
      </c>
      <c r="V1" s="39" t="s">
        <v>5981</v>
      </c>
      <c r="W1" s="39" t="s">
        <v>5982</v>
      </c>
      <c r="X1" s="39" t="s">
        <v>5983</v>
      </c>
      <c r="Y1" s="40" t="s">
        <v>5984</v>
      </c>
      <c r="Z1" s="40" t="s">
        <v>5985</v>
      </c>
      <c r="AA1" s="40" t="s">
        <v>5986</v>
      </c>
      <c r="AB1" s="40" t="s">
        <v>5987</v>
      </c>
      <c r="AC1" s="41" t="s">
        <v>35</v>
      </c>
      <c r="AD1" s="41" t="s">
        <v>33</v>
      </c>
      <c r="AE1" s="41" t="s">
        <v>37</v>
      </c>
      <c r="AF1" s="42" t="s">
        <v>73</v>
      </c>
      <c r="AG1" s="42" t="s">
        <v>826</v>
      </c>
      <c r="AH1" s="42" t="s">
        <v>827</v>
      </c>
      <c r="AI1" s="42" t="s">
        <v>74</v>
      </c>
      <c r="AJ1" s="42" t="s">
        <v>2036</v>
      </c>
      <c r="AK1" s="42" t="s">
        <v>2037</v>
      </c>
      <c r="AL1" s="42" t="s">
        <v>828</v>
      </c>
      <c r="AM1" s="42" t="s">
        <v>829</v>
      </c>
      <c r="AN1" s="42" t="s">
        <v>75</v>
      </c>
      <c r="AO1" s="42" t="s">
        <v>824</v>
      </c>
      <c r="AP1" s="42" t="s">
        <v>825</v>
      </c>
      <c r="AQ1" s="42" t="s">
        <v>822</v>
      </c>
      <c r="AR1" s="42" t="s">
        <v>823</v>
      </c>
      <c r="AS1" s="43" t="s">
        <v>76</v>
      </c>
      <c r="AT1" s="43" t="s">
        <v>77</v>
      </c>
      <c r="AU1" s="43" t="s">
        <v>2038</v>
      </c>
      <c r="AV1" s="43" t="s">
        <v>2039</v>
      </c>
      <c r="AW1" s="43" t="s">
        <v>78</v>
      </c>
      <c r="AX1" s="43" t="s">
        <v>841</v>
      </c>
      <c r="AY1" s="43" t="s">
        <v>2040</v>
      </c>
      <c r="AZ1" s="43" t="s">
        <v>2041</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4" t="s">
        <v>5988</v>
      </c>
      <c r="B1" s="44" t="s">
        <v>56</v>
      </c>
      <c r="C1" s="44" t="s">
        <v>57</v>
      </c>
      <c r="D1" s="44" t="s">
        <v>58</v>
      </c>
      <c r="E1" s="44" t="s">
        <v>5989</v>
      </c>
      <c r="F1" s="44" t="s">
        <v>5990</v>
      </c>
    </row>
    <row r="2" customFormat="false" ht="135.75" hidden="false" customHeight="true" outlineLevel="0" collapsed="false">
      <c r="A2" s="5" t="s">
        <v>5991</v>
      </c>
      <c r="B2" s="5" t="n">
        <v>167</v>
      </c>
      <c r="C2" s="5" t="s">
        <v>1669</v>
      </c>
      <c r="D2" s="5" t="n">
        <v>2023</v>
      </c>
      <c r="E2" s="5" t="s">
        <v>5992</v>
      </c>
      <c r="F2" s="5" t="s">
        <v>5993</v>
      </c>
    </row>
    <row r="3" customFormat="false" ht="124.5" hidden="false" customHeight="true" outlineLevel="0" collapsed="false">
      <c r="A3" s="5" t="s">
        <v>5994</v>
      </c>
      <c r="B3" s="5" t="n">
        <v>164</v>
      </c>
      <c r="C3" s="5" t="s">
        <v>1590</v>
      </c>
      <c r="D3" s="5" t="n">
        <v>2000</v>
      </c>
      <c r="E3" s="5" t="s">
        <v>5995</v>
      </c>
      <c r="F3" s="5" t="s">
        <v>686</v>
      </c>
    </row>
    <row r="4" customFormat="false" ht="135.75" hidden="false" customHeight="true" outlineLevel="0" collapsed="false">
      <c r="A4" s="5" t="s">
        <v>5994</v>
      </c>
      <c r="B4" s="5" t="n">
        <v>166</v>
      </c>
      <c r="C4" s="5" t="s">
        <v>1638</v>
      </c>
      <c r="D4" s="5" t="n">
        <v>2014</v>
      </c>
      <c r="E4" s="5" t="s">
        <v>5996</v>
      </c>
      <c r="F4" s="5" t="s">
        <v>686</v>
      </c>
    </row>
    <row r="5" customFormat="false" ht="157.5" hidden="false" customHeight="true" outlineLevel="0" collapsed="false">
      <c r="A5" s="5" t="s">
        <v>5991</v>
      </c>
      <c r="B5" s="5" t="n">
        <v>169</v>
      </c>
      <c r="C5" s="5" t="s">
        <v>1690</v>
      </c>
      <c r="D5" s="5" t="n">
        <v>2005</v>
      </c>
      <c r="E5" s="5" t="s">
        <v>5997</v>
      </c>
      <c r="F5" s="5" t="s">
        <v>5998</v>
      </c>
    </row>
    <row r="6" customFormat="false" ht="147" hidden="false" customHeight="true" outlineLevel="0" collapsed="false">
      <c r="A6" s="5" t="s">
        <v>5994</v>
      </c>
      <c r="B6" s="5" t="s">
        <v>5999</v>
      </c>
      <c r="C6" s="5" t="s">
        <v>1695</v>
      </c>
      <c r="D6" s="5" t="n">
        <v>2019</v>
      </c>
      <c r="E6" s="5" t="s">
        <v>6000</v>
      </c>
      <c r="F6" s="5" t="s">
        <v>686</v>
      </c>
    </row>
    <row r="7" customFormat="false" ht="157.5" hidden="false" customHeight="true" outlineLevel="0" collapsed="false">
      <c r="A7" s="5" t="s">
        <v>5994</v>
      </c>
      <c r="B7" s="5" t="s">
        <v>982</v>
      </c>
      <c r="C7" s="5" t="s">
        <v>1732</v>
      </c>
      <c r="D7" s="5" t="n">
        <v>2023</v>
      </c>
      <c r="E7" s="5" t="s">
        <v>6001</v>
      </c>
      <c r="F7" s="5" t="s">
        <v>686</v>
      </c>
    </row>
    <row r="8" customFormat="false" ht="124.5" hidden="false" customHeight="true" outlineLevel="0" collapsed="false">
      <c r="A8" s="5" t="s">
        <v>5994</v>
      </c>
      <c r="B8" s="5" t="s">
        <v>1064</v>
      </c>
      <c r="C8" s="5" t="s">
        <v>79</v>
      </c>
      <c r="D8" s="5" t="n">
        <v>2022</v>
      </c>
      <c r="E8" s="5" t="s">
        <v>6002</v>
      </c>
      <c r="F8" s="5" t="s">
        <v>6003</v>
      </c>
    </row>
    <row r="9" customFormat="false" ht="124.5" hidden="false" customHeight="true" outlineLevel="0" collapsed="false">
      <c r="A9" s="5" t="s">
        <v>6004</v>
      </c>
      <c r="B9" s="5" t="s">
        <v>1041</v>
      </c>
      <c r="C9" s="5" t="s">
        <v>1786</v>
      </c>
      <c r="D9" s="5" t="n">
        <v>2022</v>
      </c>
      <c r="E9" s="5" t="s">
        <v>6005</v>
      </c>
      <c r="F9" s="5" t="s">
        <v>686</v>
      </c>
    </row>
    <row r="10" customFormat="false" ht="124.5" hidden="false" customHeight="true" outlineLevel="0" collapsed="false">
      <c r="A10" s="5" t="s">
        <v>5994</v>
      </c>
      <c r="B10" s="5" t="n">
        <v>172</v>
      </c>
      <c r="C10" s="5" t="s">
        <v>1829</v>
      </c>
      <c r="D10" s="5" t="n">
        <v>2005</v>
      </c>
      <c r="E10" s="5" t="s">
        <v>6006</v>
      </c>
      <c r="F10" s="5" t="s">
        <v>686</v>
      </c>
    </row>
    <row r="11" customFormat="false" ht="124.5" hidden="false" customHeight="true" outlineLevel="0" collapsed="false">
      <c r="A11" s="5" t="s">
        <v>5994</v>
      </c>
      <c r="B11" s="5" t="s">
        <v>1115</v>
      </c>
      <c r="C11" s="5" t="s">
        <v>1854</v>
      </c>
      <c r="D11" s="5" t="n">
        <v>2023</v>
      </c>
      <c r="E11" s="5" t="s">
        <v>6007</v>
      </c>
      <c r="F11" s="5" t="s">
        <v>686</v>
      </c>
    </row>
    <row r="12" customFormat="false" ht="124.5" hidden="false" customHeight="true" outlineLevel="0" collapsed="false">
      <c r="A12" s="24" t="s">
        <v>5994</v>
      </c>
      <c r="B12" s="24" t="n">
        <v>176</v>
      </c>
      <c r="C12" s="24" t="s">
        <v>1911</v>
      </c>
      <c r="D12" s="24" t="n">
        <v>2015</v>
      </c>
      <c r="E12" s="24" t="s">
        <v>6008</v>
      </c>
      <c r="F12" s="24" t="s">
        <v>686</v>
      </c>
    </row>
    <row r="13" customFormat="false" ht="124.5" hidden="false" customHeight="true" outlineLevel="0" collapsed="false">
      <c r="A13" s="24" t="s">
        <v>5994</v>
      </c>
      <c r="B13" s="24" t="s">
        <v>1225</v>
      </c>
      <c r="C13" s="24" t="s">
        <v>1944</v>
      </c>
      <c r="D13" s="24" t="n">
        <v>2018</v>
      </c>
      <c r="E13" s="24" t="s">
        <v>6009</v>
      </c>
      <c r="F13" s="24" t="s">
        <v>686</v>
      </c>
    </row>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2026-10-05T09:08:23Z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